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kstop\Upgrad-BA\Superstor project\RidhimaAtrey_superstore_sales project_Submission\"/>
    </mc:Choice>
  </mc:AlternateContent>
  <xr:revisionPtr revIDLastSave="0" documentId="13_ncr:1_{8715DA16-7AE7-4272-BAE1-9252F3F5B3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rporate" sheetId="3" r:id="rId1"/>
    <sheet name="Atlantic" sheetId="8" r:id="rId2"/>
    <sheet name="Northwest Territories" sheetId="9" r:id="rId3"/>
    <sheet name="Nunavut" sheetId="10" r:id="rId4"/>
    <sheet name="Ontario" sheetId="11" r:id="rId5"/>
    <sheet name="Prarie" sheetId="12" r:id="rId6"/>
    <sheet name="Quebec" sheetId="14" r:id="rId7"/>
    <sheet name="West" sheetId="15" r:id="rId8"/>
    <sheet name="Yukon" sheetId="16" r:id="rId9"/>
    <sheet name="Loss-categories" sheetId="17" r:id="rId10"/>
  </sheets>
  <definedNames>
    <definedName name="_xlnm._FilterDatabase" localSheetId="0" hidden="1">Corporate!$A$1:$U$3077</definedName>
    <definedName name="_xlnm.Print_Titles" localSheetId="0">Corporate!$1:$1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06" i="3" l="1"/>
  <c r="T587" i="3"/>
  <c r="T581" i="3"/>
  <c r="T589" i="3"/>
  <c r="T582" i="3"/>
  <c r="T593" i="3"/>
  <c r="T602" i="3"/>
  <c r="T575" i="3"/>
  <c r="T598" i="3"/>
  <c r="T595" i="3"/>
  <c r="T586" i="3"/>
  <c r="T580" i="3"/>
  <c r="T601" i="3"/>
  <c r="T578" i="3"/>
  <c r="T594" i="3"/>
  <c r="T590" i="3"/>
  <c r="T609" i="3"/>
  <c r="T607" i="3"/>
  <c r="T584" i="3"/>
  <c r="T608" i="3"/>
  <c r="T604" i="3"/>
  <c r="T605" i="3"/>
  <c r="T596" i="3"/>
  <c r="T600" i="3"/>
  <c r="T576" i="3"/>
  <c r="T599" i="3"/>
  <c r="T603" i="3"/>
  <c r="T597" i="3"/>
  <c r="T583" i="3"/>
  <c r="T592" i="3"/>
  <c r="T588" i="3"/>
  <c r="T577" i="3"/>
  <c r="T591" i="3"/>
  <c r="T585" i="3"/>
  <c r="T422" i="3"/>
  <c r="T431" i="3"/>
  <c r="T514" i="3"/>
  <c r="T414" i="3"/>
  <c r="T391" i="3"/>
  <c r="T436" i="3"/>
  <c r="T455" i="3"/>
  <c r="T398" i="3"/>
  <c r="T452" i="3"/>
  <c r="T545" i="3"/>
  <c r="T488" i="3"/>
  <c r="T483" i="3"/>
  <c r="T439" i="3"/>
  <c r="T449" i="3"/>
  <c r="T549" i="3"/>
  <c r="T413" i="3"/>
  <c r="T421" i="3"/>
  <c r="T563" i="3"/>
  <c r="T384" i="3"/>
  <c r="T548" i="3"/>
  <c r="T407" i="3"/>
  <c r="T542" i="3"/>
  <c r="T495" i="3"/>
  <c r="T406" i="3"/>
  <c r="T415" i="3"/>
  <c r="T434" i="3"/>
  <c r="T487" i="3"/>
  <c r="T509" i="3"/>
  <c r="T491" i="3"/>
  <c r="T440" i="3"/>
  <c r="T527" i="3"/>
  <c r="T498" i="3"/>
  <c r="T390" i="3"/>
  <c r="T435" i="3"/>
  <c r="T432" i="3"/>
  <c r="T573" i="3"/>
  <c r="T399" i="3"/>
  <c r="T445" i="3"/>
  <c r="T510" i="3"/>
  <c r="T501" i="3"/>
  <c r="T433" i="3"/>
  <c r="T531" i="3"/>
  <c r="T473" i="3"/>
  <c r="T408" i="3"/>
  <c r="T515" i="3"/>
  <c r="T497" i="3"/>
  <c r="T447" i="3"/>
  <c r="T562" i="3"/>
  <c r="T522" i="3"/>
  <c r="T556" i="3"/>
  <c r="T489" i="3"/>
  <c r="T470" i="3"/>
  <c r="T493" i="3"/>
  <c r="T567" i="3"/>
  <c r="T535" i="3"/>
  <c r="T547" i="3"/>
  <c r="T425" i="3"/>
  <c r="T537" i="3"/>
  <c r="T494" i="3"/>
  <c r="T397" i="3"/>
  <c r="T392" i="3"/>
  <c r="T418" i="3"/>
  <c r="T523" i="3"/>
  <c r="T416" i="3"/>
  <c r="T465" i="3"/>
  <c r="T462" i="3"/>
  <c r="T496" i="3"/>
  <c r="T464" i="3"/>
  <c r="T530" i="3"/>
  <c r="T412" i="3"/>
  <c r="T565" i="3"/>
  <c r="T411" i="3"/>
  <c r="T560" i="3"/>
  <c r="T543" i="3"/>
  <c r="T484" i="3"/>
  <c r="T400" i="3"/>
  <c r="T404" i="3"/>
  <c r="T386" i="3"/>
  <c r="T426" i="3"/>
  <c r="T502" i="3"/>
  <c r="T409" i="3"/>
  <c r="T553" i="3"/>
  <c r="T554" i="3"/>
  <c r="T520" i="3"/>
  <c r="T437" i="3"/>
  <c r="T469" i="3"/>
  <c r="T570" i="3"/>
  <c r="T518" i="3"/>
  <c r="T456" i="3"/>
  <c r="T420" i="3"/>
  <c r="T512" i="3"/>
  <c r="T387" i="3"/>
  <c r="T402" i="3"/>
  <c r="T460" i="3"/>
  <c r="T482" i="3"/>
  <c r="T506" i="3"/>
  <c r="T396" i="3"/>
  <c r="T450" i="3"/>
  <c r="T519" i="3"/>
  <c r="T458" i="3"/>
  <c r="T539" i="3"/>
  <c r="T533" i="3"/>
  <c r="T474" i="3"/>
  <c r="T544" i="3"/>
  <c r="T471" i="3"/>
  <c r="T499" i="3"/>
  <c r="T546" i="3"/>
  <c r="T444" i="3"/>
  <c r="T569" i="3"/>
  <c r="T419" i="3"/>
  <c r="T401" i="3"/>
  <c r="T555" i="3"/>
  <c r="T442" i="3"/>
  <c r="T538" i="3"/>
  <c r="T485" i="3"/>
  <c r="T568" i="3"/>
  <c r="T528" i="3"/>
  <c r="T500" i="3"/>
  <c r="T457" i="3"/>
  <c r="T552" i="3"/>
  <c r="T476" i="3"/>
  <c r="T524" i="3"/>
  <c r="T561" i="3"/>
  <c r="T503" i="3"/>
  <c r="T472" i="3"/>
  <c r="T564" i="3"/>
  <c r="T516" i="3"/>
  <c r="T453" i="3"/>
  <c r="T571" i="3"/>
  <c r="T389" i="3"/>
  <c r="T507" i="3"/>
  <c r="T403" i="3"/>
  <c r="T480" i="3"/>
  <c r="T454" i="3"/>
  <c r="T428" i="3"/>
  <c r="T478" i="3"/>
  <c r="T505" i="3"/>
  <c r="T536" i="3"/>
  <c r="T423" i="3"/>
  <c r="T385" i="3"/>
  <c r="T463" i="3"/>
  <c r="T395" i="3"/>
  <c r="T529" i="3"/>
  <c r="T551" i="3"/>
  <c r="T550" i="3"/>
  <c r="T430" i="3"/>
  <c r="T441" i="3"/>
  <c r="T410" i="3"/>
  <c r="T481" i="3"/>
  <c r="T451" i="3"/>
  <c r="T572" i="3"/>
  <c r="T486" i="3"/>
  <c r="T393" i="3"/>
  <c r="T492" i="3"/>
  <c r="T467" i="3"/>
  <c r="T541" i="3"/>
  <c r="T511" i="3"/>
  <c r="T427" i="3"/>
  <c r="T466" i="3"/>
  <c r="T532" i="3"/>
  <c r="T446" i="3"/>
  <c r="T504" i="3"/>
  <c r="T479" i="3"/>
  <c r="T388" i="3"/>
  <c r="T557" i="3"/>
  <c r="T459" i="3"/>
  <c r="T508" i="3"/>
  <c r="T566" i="3"/>
  <c r="T521" i="3"/>
  <c r="T534" i="3"/>
  <c r="T525" i="3"/>
  <c r="T490" i="3"/>
  <c r="T558" i="3"/>
  <c r="T540" i="3"/>
  <c r="T443" i="3"/>
  <c r="T559" i="3"/>
  <c r="T429" i="3"/>
  <c r="T461" i="3"/>
  <c r="T394" i="3"/>
  <c r="T468" i="3"/>
  <c r="T574" i="3"/>
  <c r="T526" i="3"/>
  <c r="T405" i="3"/>
  <c r="T513" i="3"/>
  <c r="T417" i="3"/>
  <c r="T438" i="3"/>
  <c r="T477" i="3"/>
  <c r="T475" i="3"/>
  <c r="T517" i="3"/>
  <c r="T424" i="3"/>
  <c r="T448" i="3"/>
  <c r="T372" i="3"/>
  <c r="T296" i="3"/>
  <c r="T383" i="3"/>
  <c r="T344" i="3"/>
  <c r="T336" i="3"/>
  <c r="T345" i="3"/>
  <c r="T362" i="3"/>
  <c r="T269" i="3"/>
  <c r="T276" i="3"/>
  <c r="T317" i="3"/>
  <c r="T343" i="3"/>
  <c r="T375" i="3"/>
  <c r="T348" i="3"/>
  <c r="T309" i="3"/>
  <c r="T339" i="3"/>
  <c r="T273" i="3"/>
  <c r="T373" i="3"/>
  <c r="T330" i="3"/>
  <c r="T305" i="3"/>
  <c r="T329" i="3"/>
  <c r="T315" i="3"/>
  <c r="T327" i="3"/>
  <c r="T285" i="3"/>
  <c r="T370" i="3"/>
  <c r="T275" i="3"/>
  <c r="T294" i="3"/>
  <c r="T363" i="3"/>
  <c r="T380" i="3"/>
  <c r="T368" i="3"/>
  <c r="T358" i="3"/>
  <c r="T366" i="3"/>
  <c r="T328" i="3"/>
  <c r="T365" i="3"/>
  <c r="T287" i="3"/>
  <c r="T283" i="3"/>
  <c r="T350" i="3"/>
  <c r="T300" i="3"/>
  <c r="T279" i="3"/>
  <c r="T318" i="3"/>
  <c r="T342" i="3"/>
  <c r="T347" i="3"/>
  <c r="T281" i="3"/>
  <c r="T284" i="3"/>
  <c r="T308" i="3"/>
  <c r="T313" i="3"/>
  <c r="T325" i="3"/>
  <c r="T334" i="3"/>
  <c r="T351" i="3"/>
  <c r="T361" i="3"/>
  <c r="T310" i="3"/>
  <c r="T354" i="3"/>
  <c r="T290" i="3"/>
  <c r="T312" i="3"/>
  <c r="T301" i="3"/>
  <c r="T332" i="3"/>
  <c r="T267" i="3"/>
  <c r="T302" i="3"/>
  <c r="T274" i="3"/>
  <c r="T338" i="3"/>
  <c r="T319" i="3"/>
  <c r="T314" i="3"/>
  <c r="T359" i="3"/>
  <c r="T289" i="3"/>
  <c r="T270" i="3"/>
  <c r="T299" i="3"/>
  <c r="T291" i="3"/>
  <c r="T307" i="3"/>
  <c r="T367" i="3"/>
  <c r="T272" i="3"/>
  <c r="T306" i="3"/>
  <c r="T340" i="3"/>
  <c r="T321" i="3"/>
  <c r="T286" i="3"/>
  <c r="T293" i="3"/>
  <c r="T280" i="3"/>
  <c r="T382" i="3"/>
  <c r="T349" i="3"/>
  <c r="T282" i="3"/>
  <c r="T374" i="3"/>
  <c r="T298" i="3"/>
  <c r="T324" i="3"/>
  <c r="T337" i="3"/>
  <c r="T292" i="3"/>
  <c r="T381" i="3"/>
  <c r="T278" i="3"/>
  <c r="T268" i="3"/>
  <c r="T378" i="3"/>
  <c r="T377" i="3"/>
  <c r="T303" i="3"/>
  <c r="T360" i="3"/>
  <c r="T266" i="3"/>
  <c r="T379" i="3"/>
  <c r="T323" i="3"/>
  <c r="T371" i="3"/>
  <c r="T356" i="3"/>
  <c r="T355" i="3"/>
  <c r="T364" i="3"/>
  <c r="T341" i="3"/>
  <c r="T295" i="3"/>
  <c r="T297" i="3"/>
  <c r="T326" i="3"/>
  <c r="T316" i="3"/>
  <c r="T333" i="3"/>
  <c r="T322" i="3"/>
  <c r="T331" i="3"/>
  <c r="T304" i="3"/>
  <c r="T353" i="3"/>
  <c r="T311" i="3"/>
  <c r="T335" i="3"/>
  <c r="T357" i="3"/>
  <c r="T376" i="3"/>
  <c r="T352" i="3"/>
  <c r="T369" i="3"/>
  <c r="T288" i="3"/>
  <c r="T277" i="3"/>
  <c r="T346" i="3"/>
  <c r="T320" i="3"/>
  <c r="T271" i="3"/>
  <c r="T1280" i="3"/>
  <c r="T1390" i="3"/>
  <c r="T1296" i="3"/>
  <c r="T1326" i="3"/>
  <c r="T1382" i="3"/>
  <c r="T1361" i="3"/>
  <c r="T1440" i="3"/>
  <c r="T1292" i="3"/>
  <c r="T1363" i="3"/>
  <c r="T1375" i="3"/>
  <c r="T1380" i="3"/>
  <c r="T1304" i="3"/>
  <c r="T1264" i="3"/>
  <c r="T1346" i="3"/>
  <c r="T1288" i="3"/>
  <c r="T1325" i="3"/>
  <c r="T1495" i="3"/>
  <c r="T1455" i="3"/>
  <c r="T1379" i="3"/>
  <c r="T1322" i="3"/>
  <c r="T1445" i="3"/>
  <c r="T1367" i="3"/>
  <c r="T1285" i="3"/>
  <c r="T1350" i="3"/>
  <c r="T1339" i="3"/>
  <c r="T1286" i="3"/>
  <c r="T1395" i="3"/>
  <c r="T1474" i="3"/>
  <c r="T1408" i="3"/>
  <c r="T1484" i="3"/>
  <c r="T1301" i="3"/>
  <c r="T1430" i="3"/>
  <c r="T1355" i="3"/>
  <c r="T2614" i="3"/>
  <c r="T2661" i="3"/>
  <c r="T2643" i="3"/>
  <c r="T2706" i="3"/>
  <c r="T2674" i="3"/>
  <c r="T2531" i="3"/>
  <c r="T2823" i="3"/>
  <c r="T2488" i="3"/>
  <c r="T2595" i="3"/>
  <c r="T2843" i="3"/>
  <c r="T2503" i="3"/>
  <c r="T2632" i="3"/>
  <c r="T2809" i="3"/>
  <c r="T2766" i="3"/>
  <c r="T2465" i="3"/>
  <c r="T2561" i="3"/>
  <c r="T2557" i="3"/>
  <c r="T2591" i="3"/>
  <c r="T2547" i="3"/>
  <c r="T2696" i="3"/>
  <c r="T2546" i="3"/>
  <c r="T2847" i="3"/>
  <c r="T2463" i="3"/>
  <c r="T2744" i="3"/>
  <c r="T2704" i="3"/>
  <c r="T2852" i="3"/>
  <c r="T2729" i="3"/>
  <c r="T2761" i="3"/>
  <c r="T2829" i="3"/>
  <c r="T2647" i="3"/>
  <c r="T2835" i="3"/>
  <c r="T2663" i="3"/>
  <c r="T2637" i="3"/>
  <c r="T2564" i="3"/>
  <c r="T2815" i="3"/>
  <c r="T2803" i="3"/>
  <c r="T2619" i="3"/>
  <c r="T2746" i="3"/>
  <c r="T2612" i="3"/>
  <c r="T2565" i="3"/>
  <c r="T2570" i="3"/>
  <c r="T2516" i="3"/>
  <c r="T2745" i="3"/>
  <c r="T2737" i="3"/>
  <c r="T2487" i="3"/>
  <c r="T2495" i="3"/>
  <c r="T2537" i="3"/>
  <c r="T2550" i="3"/>
  <c r="T2773" i="3"/>
  <c r="T2657" i="3"/>
  <c r="T2702" i="3"/>
  <c r="T2776" i="3"/>
  <c r="T2672" i="3"/>
  <c r="T2771" i="3"/>
  <c r="T2622" i="3"/>
  <c r="T2671" i="3"/>
  <c r="T2758" i="3"/>
  <c r="T2532" i="3"/>
  <c r="T2470" i="3"/>
  <c r="T2841" i="3"/>
  <c r="T2845" i="3"/>
  <c r="T2763" i="3"/>
  <c r="T2572" i="3"/>
  <c r="T2844" i="3"/>
  <c r="T2820" i="3"/>
  <c r="T2517" i="3"/>
  <c r="T2540" i="3"/>
  <c r="T2475" i="3"/>
  <c r="T2555" i="3"/>
  <c r="T2578" i="3"/>
  <c r="T2731" i="3"/>
  <c r="T2692" i="3"/>
  <c r="T2753" i="3"/>
  <c r="T2533" i="3"/>
  <c r="T2554" i="3"/>
  <c r="T2506" i="3"/>
  <c r="T2783" i="3"/>
  <c r="T2477" i="3"/>
  <c r="T2724" i="3"/>
  <c r="T2473" i="3"/>
  <c r="T2520" i="3"/>
  <c r="T2728" i="3"/>
  <c r="T2821" i="3"/>
  <c r="T2850" i="3"/>
  <c r="T2504" i="3"/>
  <c r="T2606" i="3"/>
  <c r="T2489" i="3"/>
  <c r="T2494" i="3"/>
  <c r="T2723" i="3"/>
  <c r="T2740" i="3"/>
  <c r="T2784" i="3"/>
  <c r="T2583" i="3"/>
  <c r="T2680" i="3"/>
  <c r="T2851" i="3"/>
  <c r="T2738" i="3"/>
  <c r="T2639" i="3"/>
  <c r="T2673" i="3"/>
  <c r="T2627" i="3"/>
  <c r="T2601" i="3"/>
  <c r="T2507" i="3"/>
  <c r="T2727" i="3"/>
  <c r="T2454" i="3"/>
  <c r="T2788" i="3"/>
  <c r="T2458" i="3"/>
  <c r="T2451" i="3"/>
  <c r="T2563" i="3"/>
  <c r="T2631" i="3"/>
  <c r="T2790" i="3"/>
  <c r="T2521" i="3"/>
  <c r="T2695" i="3"/>
  <c r="T2795" i="3"/>
  <c r="T2573" i="3"/>
  <c r="T2535" i="3"/>
  <c r="T2491" i="3"/>
  <c r="T2624" i="3"/>
  <c r="T2519" i="3"/>
  <c r="T2725" i="3"/>
  <c r="T2445" i="3"/>
  <c r="T2703" i="3"/>
  <c r="T2665" i="3"/>
  <c r="T2799" i="3"/>
  <c r="T2839" i="3"/>
  <c r="T2781" i="3"/>
  <c r="T2515" i="3"/>
  <c r="T2679" i="3"/>
  <c r="T2849" i="3"/>
  <c r="T2459" i="3"/>
  <c r="T2794" i="3"/>
  <c r="T2560" i="3"/>
  <c r="T2658" i="3"/>
  <c r="T2756" i="3"/>
  <c r="T2543" i="3"/>
  <c r="T2721" i="3"/>
  <c r="T2462" i="3"/>
  <c r="T2684" i="3"/>
  <c r="T2800" i="3"/>
  <c r="T2669" i="3"/>
  <c r="T2482" i="3"/>
  <c r="T2490" i="3"/>
  <c r="T2526" i="3"/>
  <c r="T2796" i="3"/>
  <c r="T2552" i="3"/>
  <c r="T2592" i="3"/>
  <c r="T2857" i="3"/>
  <c r="T2635" i="3"/>
  <c r="T2541" i="3"/>
  <c r="T2450" i="3"/>
  <c r="T2733" i="3"/>
  <c r="T2638" i="3"/>
  <c r="T2523" i="3"/>
  <c r="T2558" i="3"/>
  <c r="T2668" i="3"/>
  <c r="T2697" i="3"/>
  <c r="T2730" i="3"/>
  <c r="T2567" i="3"/>
  <c r="T2752" i="3"/>
  <c r="T2483" i="3"/>
  <c r="T2608" i="3"/>
  <c r="T2798" i="3"/>
  <c r="T2792" i="3"/>
  <c r="T2759" i="3"/>
  <c r="T2597" i="3"/>
  <c r="T2676" i="3"/>
  <c r="T2518" i="3"/>
  <c r="T2642" i="3"/>
  <c r="T2478" i="3"/>
  <c r="T2701" i="3"/>
  <c r="T2693" i="3"/>
  <c r="T2509" i="3"/>
  <c r="T2786" i="3"/>
  <c r="T2620" i="3"/>
  <c r="T2485" i="3"/>
  <c r="T2685" i="3"/>
  <c r="T2769" i="3"/>
  <c r="T2468" i="3"/>
  <c r="T2686" i="3"/>
  <c r="T2715" i="3"/>
  <c r="T2822" i="3"/>
  <c r="T2722" i="3"/>
  <c r="T2472" i="3"/>
  <c r="T2681" i="3"/>
  <c r="T2461" i="3"/>
  <c r="T2832" i="3"/>
  <c r="T2659" i="3"/>
  <c r="T2574" i="3"/>
  <c r="T2827" i="3"/>
  <c r="T2611" i="3"/>
  <c r="T2760" i="3"/>
  <c r="T2536" i="3"/>
  <c r="T2834" i="3"/>
  <c r="T2785" i="3"/>
  <c r="T2713" i="3"/>
  <c r="T2699" i="3"/>
  <c r="T2629" i="3"/>
  <c r="T2636" i="3"/>
  <c r="T2708" i="3"/>
  <c r="T2720" i="3"/>
  <c r="T2551" i="3"/>
  <c r="T2848" i="3"/>
  <c r="T2734" i="3"/>
  <c r="T2605" i="3"/>
  <c r="T2666" i="3"/>
  <c r="T2452" i="3"/>
  <c r="T2830" i="3"/>
  <c r="T2498" i="3"/>
  <c r="T2579" i="3"/>
  <c r="T2778" i="3"/>
  <c r="T2814" i="3"/>
  <c r="T2625" i="3"/>
  <c r="T2662" i="3"/>
  <c r="T2813" i="3"/>
  <c r="T2569" i="3"/>
  <c r="T2755" i="3"/>
  <c r="T2846" i="3"/>
  <c r="T2762" i="3"/>
  <c r="T2690" i="3"/>
  <c r="T2545" i="3"/>
  <c r="T2529" i="3"/>
  <c r="T2448" i="3"/>
  <c r="T2634" i="3"/>
  <c r="T2604" i="3"/>
  <c r="T2581" i="3"/>
  <c r="T2732" i="3"/>
  <c r="T2615" i="3"/>
  <c r="T2705" i="3"/>
  <c r="T2751" i="3"/>
  <c r="T2596" i="3"/>
  <c r="T2807" i="3"/>
  <c r="T2497" i="3"/>
  <c r="T2513" i="3"/>
  <c r="T2667" i="3"/>
  <c r="T2854" i="3"/>
  <c r="T218" i="3"/>
  <c r="T236" i="3"/>
  <c r="T214" i="3"/>
  <c r="T212" i="3"/>
  <c r="T151" i="3"/>
  <c r="T154" i="3"/>
  <c r="T215" i="3"/>
  <c r="T245" i="3"/>
  <c r="T252" i="3"/>
  <c r="T206" i="3"/>
  <c r="T255" i="3"/>
  <c r="T180" i="3"/>
  <c r="T198" i="3"/>
  <c r="T238" i="3"/>
  <c r="T153" i="3"/>
  <c r="T156" i="3"/>
  <c r="T147" i="3"/>
  <c r="T240" i="3"/>
  <c r="T138" i="3"/>
  <c r="T228" i="3"/>
  <c r="T136" i="3"/>
  <c r="T158" i="3"/>
  <c r="T133" i="3"/>
  <c r="T186" i="3"/>
  <c r="T209" i="3"/>
  <c r="T229" i="3"/>
  <c r="T262" i="3"/>
  <c r="T231" i="3"/>
  <c r="T152" i="3"/>
  <c r="T118" i="3"/>
  <c r="T167" i="3"/>
  <c r="T173" i="3"/>
  <c r="T248" i="3"/>
  <c r="T130" i="3"/>
  <c r="T155" i="3"/>
  <c r="T241" i="3"/>
  <c r="T175" i="3"/>
  <c r="T224" i="3"/>
  <c r="T132" i="3"/>
  <c r="T220" i="3"/>
  <c r="T143" i="3"/>
  <c r="T213" i="3"/>
  <c r="T257" i="3"/>
  <c r="T128" i="3"/>
  <c r="T184" i="3"/>
  <c r="T144" i="3"/>
  <c r="T201" i="3"/>
  <c r="T188" i="3"/>
  <c r="T176" i="3"/>
  <c r="T185" i="3"/>
  <c r="T208" i="3"/>
  <c r="T160" i="3"/>
  <c r="T243" i="3"/>
  <c r="T253" i="3"/>
  <c r="T190" i="3"/>
  <c r="T129" i="3"/>
  <c r="T179" i="3"/>
  <c r="T211" i="3"/>
  <c r="T164" i="3"/>
  <c r="T182" i="3"/>
  <c r="T223" i="3"/>
  <c r="T122" i="3"/>
  <c r="T163" i="3"/>
  <c r="T2750" i="3"/>
  <c r="T2836" i="3"/>
  <c r="T2607" i="3"/>
  <c r="T2542" i="3"/>
  <c r="T2480" i="3"/>
  <c r="T2688" i="3"/>
  <c r="T2549" i="3"/>
  <c r="T2508" i="3"/>
  <c r="T2623" i="3"/>
  <c r="T2630" i="3"/>
  <c r="T2793" i="3"/>
  <c r="T2716" i="3"/>
  <c r="T2512" i="3"/>
  <c r="T2787" i="3"/>
  <c r="T2710" i="3"/>
  <c r="T2840" i="3"/>
  <c r="T2609" i="3"/>
  <c r="T2700" i="3"/>
  <c r="T2559" i="3"/>
  <c r="T1521" i="3"/>
  <c r="T1475" i="3"/>
  <c r="T1283" i="3"/>
  <c r="T1517" i="3"/>
  <c r="T1384" i="3"/>
  <c r="T1508" i="3"/>
  <c r="T1324" i="3"/>
  <c r="T1528" i="3"/>
  <c r="T1392" i="3"/>
  <c r="T1352" i="3"/>
  <c r="T1282" i="3"/>
  <c r="T1426" i="3"/>
  <c r="T1262" i="3"/>
  <c r="T1349" i="3"/>
  <c r="T1307" i="3"/>
  <c r="T1252" i="3"/>
  <c r="T1265" i="3"/>
  <c r="T1370" i="3"/>
  <c r="T1438" i="3"/>
  <c r="T1320" i="3"/>
  <c r="T1276" i="3"/>
  <c r="T1535" i="3"/>
  <c r="T1315" i="3"/>
  <c r="T1540" i="3"/>
  <c r="T1552" i="3"/>
  <c r="T1316" i="3"/>
  <c r="T1442" i="3"/>
  <c r="T1457" i="3"/>
  <c r="T1294" i="3"/>
  <c r="T1485" i="3"/>
  <c r="T1329" i="3"/>
  <c r="T1488" i="3"/>
  <c r="T1483" i="3"/>
  <c r="T1398" i="3"/>
  <c r="T1323" i="3"/>
  <c r="T1406" i="3"/>
  <c r="T1251" i="3"/>
  <c r="T1351" i="3"/>
  <c r="T1513" i="3"/>
  <c r="T1257" i="3"/>
  <c r="T1402" i="3"/>
  <c r="T1409" i="3"/>
  <c r="T1327" i="3"/>
  <c r="T1496" i="3"/>
  <c r="T1334" i="3"/>
  <c r="T1460" i="3"/>
  <c r="T1359" i="3"/>
  <c r="T1371" i="3"/>
  <c r="T1434" i="3"/>
  <c r="T1295" i="3"/>
  <c r="T1407" i="3"/>
  <c r="T1437" i="3"/>
  <c r="T1461" i="3"/>
  <c r="T1444" i="3"/>
  <c r="T1397" i="3"/>
  <c r="T1412" i="3"/>
  <c r="T1279" i="3"/>
  <c r="T1459" i="3"/>
  <c r="T1374" i="3"/>
  <c r="T1522" i="3"/>
  <c r="T1258" i="3"/>
  <c r="T1267" i="3"/>
  <c r="T1290" i="3"/>
  <c r="T1391" i="3"/>
  <c r="T1518" i="3"/>
  <c r="T1249" i="3"/>
  <c r="T1365" i="3"/>
  <c r="T1469" i="3"/>
  <c r="T1492" i="3"/>
  <c r="T864" i="3"/>
  <c r="T1000" i="3"/>
  <c r="T941" i="3"/>
  <c r="T803" i="3"/>
  <c r="T1011" i="3"/>
  <c r="T645" i="3"/>
  <c r="T779" i="3"/>
  <c r="T646" i="3"/>
  <c r="T1148" i="3"/>
  <c r="T783" i="3"/>
  <c r="T663" i="3"/>
  <c r="T1162" i="3"/>
  <c r="T1041" i="3"/>
  <c r="T787" i="3"/>
  <c r="T704" i="3"/>
  <c r="T954" i="3"/>
  <c r="T626" i="3"/>
  <c r="T1104" i="3"/>
  <c r="T614" i="3"/>
  <c r="T1186" i="3"/>
  <c r="T835" i="3"/>
  <c r="T1192" i="3"/>
  <c r="T897" i="3"/>
  <c r="T1244" i="3"/>
  <c r="T1061" i="3"/>
  <c r="T889" i="3"/>
  <c r="T1163" i="3"/>
  <c r="T669" i="3"/>
  <c r="T1159" i="3"/>
  <c r="T613" i="3"/>
  <c r="T1171" i="3"/>
  <c r="T1053" i="3"/>
  <c r="T1042" i="3"/>
  <c r="T1051" i="3"/>
  <c r="T932" i="3"/>
  <c r="T1131" i="3"/>
  <c r="T882" i="3"/>
  <c r="T1123" i="3"/>
  <c r="T1014" i="3"/>
  <c r="T1197" i="3"/>
  <c r="T983" i="3"/>
  <c r="T1046" i="3"/>
  <c r="T970" i="3"/>
  <c r="T840" i="3"/>
  <c r="T654" i="3"/>
  <c r="T971" i="3"/>
  <c r="T1127" i="3"/>
  <c r="T956" i="3"/>
  <c r="T1122" i="3"/>
  <c r="T753" i="3"/>
  <c r="T1118" i="3"/>
  <c r="T924" i="3"/>
  <c r="T1215" i="3"/>
  <c r="T878" i="3"/>
  <c r="T1109" i="3"/>
  <c r="T844" i="3"/>
  <c r="T848" i="3"/>
  <c r="T1179" i="3"/>
  <c r="T789" i="3"/>
  <c r="T1084" i="3"/>
  <c r="T833" i="3"/>
  <c r="T999" i="3"/>
  <c r="T1198" i="3"/>
  <c r="T711" i="3"/>
  <c r="T698" i="3"/>
  <c r="T1152" i="3"/>
  <c r="T867" i="3"/>
  <c r="T1021" i="3"/>
  <c r="T1080" i="3"/>
  <c r="T633" i="3"/>
  <c r="T1230" i="3"/>
  <c r="T644" i="3"/>
  <c r="T808" i="3"/>
  <c r="T683" i="3"/>
  <c r="T1231" i="3"/>
  <c r="T662" i="3"/>
  <c r="T937" i="3"/>
  <c r="T1083" i="3"/>
  <c r="T1170" i="3"/>
  <c r="T1108" i="3"/>
  <c r="T842" i="3"/>
  <c r="T1220" i="3"/>
  <c r="T1140" i="3"/>
  <c r="T861" i="3"/>
  <c r="T986" i="3"/>
  <c r="T1062" i="3"/>
  <c r="T1216" i="3"/>
  <c r="T735" i="3"/>
  <c r="T792" i="3"/>
  <c r="T988" i="3"/>
  <c r="T811" i="3"/>
  <c r="T1155" i="3"/>
  <c r="T1126" i="3"/>
  <c r="T746" i="3"/>
  <c r="T1232" i="3"/>
  <c r="T991" i="3"/>
  <c r="T1028" i="3"/>
  <c r="T721" i="3"/>
  <c r="T969" i="3"/>
  <c r="T1097" i="3"/>
  <c r="T705" i="3"/>
  <c r="T758" i="3"/>
  <c r="T898" i="3"/>
  <c r="T1022" i="3"/>
  <c r="T784" i="3"/>
  <c r="T1081" i="3"/>
  <c r="T965" i="3"/>
  <c r="T955" i="3"/>
  <c r="T877" i="3"/>
  <c r="T834" i="3"/>
  <c r="T1032" i="3"/>
  <c r="T1119" i="3"/>
  <c r="T702" i="3"/>
  <c r="T1223" i="3"/>
  <c r="T643" i="3"/>
  <c r="T1196" i="3"/>
  <c r="T640" i="3"/>
  <c r="T610" i="3"/>
  <c r="T714" i="3"/>
  <c r="T1004" i="3"/>
  <c r="T1137" i="3"/>
  <c r="T1054" i="3"/>
  <c r="T1105" i="3"/>
  <c r="T652" i="3"/>
  <c r="T1050" i="3"/>
  <c r="T744" i="3"/>
  <c r="T767" i="3"/>
  <c r="T1012" i="3"/>
  <c r="T1203" i="3"/>
  <c r="T809" i="3"/>
  <c r="T1017" i="3"/>
  <c r="T910" i="3"/>
  <c r="T1038" i="3"/>
  <c r="T914" i="3"/>
  <c r="T1211" i="3"/>
  <c r="T641" i="3"/>
  <c r="T661" i="3"/>
  <c r="T615" i="3"/>
  <c r="T780" i="3"/>
  <c r="T1065" i="3"/>
  <c r="T1005" i="3"/>
  <c r="T1138" i="3"/>
  <c r="T935" i="3"/>
  <c r="T1219" i="3"/>
  <c r="T993" i="3"/>
  <c r="T664" i="3"/>
  <c r="T1150" i="3"/>
  <c r="T670" i="3"/>
  <c r="T793" i="3"/>
  <c r="T690" i="3"/>
  <c r="T755" i="3"/>
  <c r="T822" i="3"/>
  <c r="T957" i="3"/>
  <c r="T1099" i="3"/>
  <c r="T961" i="3"/>
  <c r="T812" i="3"/>
  <c r="T1052" i="3"/>
  <c r="T699" i="3"/>
  <c r="T617" i="3"/>
  <c r="T916" i="3"/>
  <c r="T1086" i="3"/>
  <c r="T1234" i="3"/>
  <c r="T1007" i="3"/>
  <c r="T1187" i="3"/>
  <c r="T1195" i="3"/>
  <c r="T689" i="3"/>
  <c r="T1161" i="3"/>
  <c r="T1024" i="3"/>
  <c r="T929" i="3"/>
  <c r="T936" i="3"/>
  <c r="T1174" i="3"/>
  <c r="T1079" i="3"/>
  <c r="T1078" i="3"/>
  <c r="T775" i="3"/>
  <c r="T966" i="3"/>
  <c r="T817" i="3"/>
  <c r="T1075" i="3"/>
  <c r="T830" i="3"/>
  <c r="T741" i="3"/>
  <c r="T909" i="3"/>
  <c r="T632" i="3"/>
  <c r="T1184" i="3"/>
  <c r="T1206" i="3"/>
  <c r="T911" i="3"/>
  <c r="T786" i="3"/>
  <c r="T1089" i="3"/>
  <c r="T1033" i="3"/>
  <c r="T1154" i="3"/>
  <c r="T847" i="3"/>
  <c r="T724" i="3"/>
  <c r="T790" i="3"/>
  <c r="T1209" i="3"/>
  <c r="T874" i="3"/>
  <c r="T919" i="3"/>
  <c r="T1039" i="3"/>
  <c r="T1175" i="3"/>
  <c r="T1001" i="3"/>
  <c r="T853" i="3"/>
  <c r="T759" i="3"/>
  <c r="T891" i="3"/>
  <c r="T650" i="3"/>
  <c r="T1185" i="3"/>
  <c r="T773" i="3"/>
  <c r="T801" i="3"/>
  <c r="T712" i="3"/>
  <c r="T1125" i="3"/>
  <c r="T921" i="3"/>
  <c r="T852" i="3"/>
  <c r="T651" i="3"/>
  <c r="T748" i="3"/>
  <c r="T785" i="3"/>
  <c r="T762" i="3"/>
  <c r="T674" i="3"/>
  <c r="T726" i="3"/>
  <c r="T944" i="3"/>
  <c r="T818" i="3"/>
  <c r="T727" i="3"/>
  <c r="T686" i="3"/>
  <c r="T660" i="3"/>
  <c r="T1019" i="3"/>
  <c r="T781" i="3"/>
  <c r="T994" i="3"/>
  <c r="T906" i="3"/>
  <c r="T902" i="3"/>
  <c r="T992" i="3"/>
  <c r="T907" i="3"/>
  <c r="T694" i="3"/>
  <c r="T1085" i="3"/>
  <c r="T1030" i="3"/>
  <c r="T1009" i="3"/>
  <c r="T1020" i="3"/>
  <c r="T982" i="3"/>
  <c r="T1136" i="3"/>
  <c r="T1040" i="3"/>
  <c r="T679" i="3"/>
  <c r="T925" i="3"/>
  <c r="T772" i="3"/>
  <c r="T675" i="3"/>
  <c r="T676" i="3"/>
  <c r="T964" i="3"/>
  <c r="T875" i="3"/>
  <c r="T1141" i="3"/>
  <c r="T915" i="3"/>
  <c r="T870" i="3"/>
  <c r="T1087" i="3"/>
  <c r="T769" i="3"/>
  <c r="T855" i="3"/>
  <c r="T927" i="3"/>
  <c r="T1172" i="3"/>
  <c r="T718" i="3"/>
  <c r="T642" i="3"/>
  <c r="T1107" i="3"/>
  <c r="T1142" i="3"/>
  <c r="T1224" i="3"/>
  <c r="T922" i="3"/>
  <c r="T682" i="3"/>
  <c r="T655" i="3"/>
  <c r="T1169" i="3"/>
  <c r="T904" i="3"/>
  <c r="T619" i="3"/>
  <c r="T828" i="3"/>
  <c r="T1218" i="3"/>
  <c r="T1115" i="3"/>
  <c r="T687" i="3"/>
  <c r="T1015" i="3"/>
  <c r="T951" i="3"/>
  <c r="T871" i="3"/>
  <c r="T791" i="3"/>
  <c r="T953" i="3"/>
  <c r="T1145" i="3"/>
  <c r="T732" i="3"/>
  <c r="T1204" i="3"/>
  <c r="T865" i="3"/>
  <c r="T1217" i="3"/>
  <c r="T747" i="3"/>
  <c r="T1037" i="3"/>
  <c r="T625" i="3"/>
  <c r="T799" i="3"/>
  <c r="T629" i="3"/>
  <c r="T1165" i="3"/>
  <c r="T1241" i="3"/>
  <c r="T1103" i="3"/>
  <c r="T1067" i="3"/>
  <c r="T737" i="3"/>
  <c r="T1016" i="3"/>
  <c r="T837" i="3"/>
  <c r="T795" i="3"/>
  <c r="T622" i="3"/>
  <c r="T980" i="3"/>
  <c r="T892" i="3"/>
  <c r="T920" i="3"/>
  <c r="T1036" i="3"/>
  <c r="T940" i="3"/>
  <c r="T659" i="3"/>
  <c r="T918" i="3"/>
  <c r="T862" i="3"/>
  <c r="T1055" i="3"/>
  <c r="T849" i="3"/>
  <c r="T823" i="3"/>
  <c r="T760" i="3"/>
  <c r="T1090" i="3"/>
  <c r="T854" i="3"/>
  <c r="T709" i="3"/>
  <c r="T1225" i="3"/>
  <c r="T1139" i="3"/>
  <c r="T1088" i="3"/>
  <c r="T856" i="3"/>
  <c r="T685" i="3"/>
  <c r="T1178" i="3"/>
  <c r="T952" i="3"/>
  <c r="T1111" i="3"/>
  <c r="T949" i="3"/>
  <c r="T728" i="3"/>
  <c r="T873" i="3"/>
  <c r="T719" i="3"/>
  <c r="T730" i="3"/>
  <c r="T938" i="3"/>
  <c r="T1183" i="3"/>
  <c r="T881" i="3"/>
  <c r="T1049" i="3"/>
  <c r="T778" i="3"/>
  <c r="T649" i="3"/>
  <c r="T1189" i="3"/>
  <c r="T713" i="3"/>
  <c r="T700" i="3"/>
  <c r="T838" i="3"/>
  <c r="T725" i="3"/>
  <c r="T1235" i="3"/>
  <c r="T928" i="3"/>
  <c r="T1057" i="3"/>
  <c r="T948" i="3"/>
  <c r="T1091" i="3"/>
  <c r="T656" i="3"/>
  <c r="T930" i="3"/>
  <c r="T1157" i="3"/>
  <c r="T1193" i="3"/>
  <c r="T802" i="3"/>
  <c r="T628" i="3"/>
  <c r="T858" i="3"/>
  <c r="T1135" i="3"/>
  <c r="T814" i="3"/>
  <c r="T831" i="3"/>
  <c r="T851" i="3"/>
  <c r="T1173" i="3"/>
  <c r="T883" i="3"/>
  <c r="T624" i="3"/>
  <c r="T720" i="3"/>
  <c r="T1121" i="3"/>
  <c r="T1153" i="3"/>
  <c r="T710" i="3"/>
  <c r="T749" i="3"/>
  <c r="T738" i="3"/>
  <c r="T668" i="3"/>
  <c r="T913" i="3"/>
  <c r="T868" i="3"/>
  <c r="T794" i="3"/>
  <c r="T688" i="3"/>
  <c r="T880" i="3"/>
  <c r="T1068" i="3"/>
  <c r="T1229" i="3"/>
  <c r="T756" i="3"/>
  <c r="T1168" i="3"/>
  <c r="T681" i="3"/>
  <c r="T1222" i="3"/>
  <c r="T821" i="3"/>
  <c r="T826" i="3"/>
  <c r="T958" i="3"/>
  <c r="T1164" i="3"/>
  <c r="T1029" i="3"/>
  <c r="T887" i="3"/>
  <c r="T621" i="3"/>
  <c r="T987" i="3"/>
  <c r="T665" i="3"/>
  <c r="T696" i="3"/>
  <c r="T1031" i="3"/>
  <c r="T1110" i="3"/>
  <c r="T770" i="3"/>
  <c r="T807" i="3"/>
  <c r="T673" i="3"/>
  <c r="T734" i="3"/>
  <c r="T706" i="3"/>
  <c r="T1003" i="3"/>
  <c r="T797" i="3"/>
  <c r="T742" i="3"/>
  <c r="T901" i="3"/>
  <c r="T666" i="3"/>
  <c r="T1045" i="3"/>
  <c r="T886" i="3"/>
  <c r="T876" i="3"/>
  <c r="T973" i="3"/>
  <c r="T96" i="3"/>
  <c r="T112" i="3"/>
  <c r="T88" i="3"/>
  <c r="T106" i="3"/>
  <c r="T104" i="3"/>
  <c r="T98" i="3"/>
  <c r="T100" i="3"/>
  <c r="T114" i="3"/>
  <c r="T91" i="3"/>
  <c r="T102" i="3"/>
  <c r="T111" i="3"/>
  <c r="T95" i="3"/>
  <c r="T97" i="3"/>
  <c r="T113" i="3"/>
  <c r="T99" i="3"/>
  <c r="T107" i="3"/>
  <c r="T110" i="3"/>
  <c r="T101" i="3"/>
  <c r="T109" i="3"/>
  <c r="T105" i="3"/>
  <c r="T94" i="3"/>
  <c r="T116" i="3"/>
  <c r="T108" i="3"/>
  <c r="T90" i="3"/>
  <c r="T117" i="3"/>
  <c r="T115" i="3"/>
  <c r="T103" i="3"/>
  <c r="T89" i="3"/>
  <c r="T93" i="3"/>
  <c r="T92" i="3"/>
  <c r="T254" i="3"/>
  <c r="T197" i="3"/>
  <c r="T123" i="3"/>
  <c r="T120" i="3"/>
  <c r="T219" i="3"/>
  <c r="T162" i="3"/>
  <c r="T148" i="3"/>
  <c r="T226" i="3"/>
  <c r="T199" i="3"/>
  <c r="T183" i="3"/>
  <c r="T207" i="3"/>
  <c r="T181" i="3"/>
  <c r="T194" i="3"/>
  <c r="T225" i="3"/>
  <c r="T137" i="3"/>
  <c r="T205" i="3"/>
  <c r="T131" i="3"/>
  <c r="T234" i="3"/>
  <c r="T146" i="3"/>
  <c r="T227" i="3"/>
  <c r="T170" i="3"/>
  <c r="T149" i="3"/>
  <c r="T232" i="3"/>
  <c r="T210" i="3"/>
  <c r="T139" i="3"/>
  <c r="T246" i="3"/>
  <c r="T142" i="3"/>
  <c r="T140" i="3"/>
  <c r="T251" i="3"/>
  <c r="T235" i="3"/>
  <c r="T217" i="3"/>
  <c r="T204" i="3"/>
  <c r="T177" i="3"/>
  <c r="T125" i="3"/>
  <c r="T202" i="3"/>
  <c r="T124" i="3"/>
  <c r="T189" i="3"/>
  <c r="T264" i="3"/>
  <c r="T261" i="3"/>
  <c r="T221" i="3"/>
  <c r="T127" i="3"/>
  <c r="T258" i="3"/>
  <c r="T203" i="3"/>
  <c r="T222" i="3"/>
  <c r="T237" i="3"/>
  <c r="T145" i="3"/>
  <c r="T216" i="3"/>
  <c r="T135" i="3"/>
  <c r="T165" i="3"/>
  <c r="T174" i="3"/>
  <c r="T260" i="3"/>
  <c r="T157" i="3"/>
  <c r="T259" i="3"/>
  <c r="T119" i="3"/>
  <c r="T166" i="3"/>
  <c r="T134" i="3"/>
  <c r="T187" i="3"/>
  <c r="T233" i="3"/>
  <c r="T159" i="3"/>
  <c r="T171" i="3"/>
  <c r="T161" i="3"/>
  <c r="T178" i="3"/>
  <c r="T200" i="3"/>
  <c r="T250" i="3"/>
  <c r="T196" i="3"/>
  <c r="T230" i="3"/>
  <c r="T141" i="3"/>
  <c r="T126" i="3"/>
  <c r="T191" i="3"/>
  <c r="T256" i="3"/>
  <c r="T169" i="3"/>
  <c r="T193" i="3"/>
  <c r="T195" i="3"/>
  <c r="T249" i="3"/>
  <c r="T247" i="3"/>
  <c r="T265" i="3"/>
  <c r="T263" i="3"/>
  <c r="T172" i="3"/>
  <c r="T242" i="3"/>
  <c r="T121" i="3"/>
  <c r="T150" i="3"/>
  <c r="T168" i="3"/>
  <c r="T192" i="3"/>
  <c r="T239" i="3"/>
  <c r="T244" i="3"/>
  <c r="T2034" i="3"/>
  <c r="T1972" i="3"/>
  <c r="T1966" i="3"/>
  <c r="T2090" i="3"/>
  <c r="T2092" i="3"/>
  <c r="T2038" i="3"/>
  <c r="T2067" i="3"/>
  <c r="T1975" i="3"/>
  <c r="T2151" i="3"/>
  <c r="T2041" i="3"/>
  <c r="T2160" i="3"/>
  <c r="T1976" i="3"/>
  <c r="T2089" i="3"/>
  <c r="T2111" i="3"/>
  <c r="T2059" i="3"/>
  <c r="T2126" i="3"/>
  <c r="T1988" i="3"/>
  <c r="T1969" i="3"/>
  <c r="T2130" i="3"/>
  <c r="T2114" i="3"/>
  <c r="T2012" i="3"/>
  <c r="T2079" i="3"/>
  <c r="T2031" i="3"/>
  <c r="T1937" i="3"/>
  <c r="T2063" i="3"/>
  <c r="T2066" i="3"/>
  <c r="T2132" i="3"/>
  <c r="T1963" i="3"/>
  <c r="T2071" i="3"/>
  <c r="T1993" i="3"/>
  <c r="T2083" i="3"/>
  <c r="T2062" i="3"/>
  <c r="T2162" i="3"/>
  <c r="T2045" i="3"/>
  <c r="T2001" i="3"/>
  <c r="T1971" i="3"/>
  <c r="T2129" i="3"/>
  <c r="T1991" i="3"/>
  <c r="T2064" i="3"/>
  <c r="T1961" i="3"/>
  <c r="T2149" i="3"/>
  <c r="T2047" i="3"/>
  <c r="T2084" i="3"/>
  <c r="T2161" i="3"/>
  <c r="T1962" i="3"/>
  <c r="T2163" i="3"/>
  <c r="T1981" i="3"/>
  <c r="T2146" i="3"/>
  <c r="T2095" i="3"/>
  <c r="T1954" i="3"/>
  <c r="T2115" i="3"/>
  <c r="T2124" i="3"/>
  <c r="T2029" i="3"/>
  <c r="T2150" i="3"/>
  <c r="T1985" i="3"/>
  <c r="T1997" i="3"/>
  <c r="T2073" i="3"/>
  <c r="T2133" i="3"/>
  <c r="T2106" i="3"/>
  <c r="T2065" i="3"/>
  <c r="T2166" i="3"/>
  <c r="T2107" i="3"/>
  <c r="T2138" i="3"/>
  <c r="T2099" i="3"/>
  <c r="T2009" i="3"/>
  <c r="T2042" i="3"/>
  <c r="T1992" i="3"/>
  <c r="T1951" i="3"/>
  <c r="T2165" i="3"/>
  <c r="T1946" i="3"/>
  <c r="T1984" i="3"/>
  <c r="T2035" i="3"/>
  <c r="T2121" i="3"/>
  <c r="T2093" i="3"/>
  <c r="T2113" i="3"/>
  <c r="T1979" i="3"/>
  <c r="T2051" i="3"/>
  <c r="T2097" i="3"/>
  <c r="T1939" i="3"/>
  <c r="T1978" i="3"/>
  <c r="T2003" i="3"/>
  <c r="T1948" i="3"/>
  <c r="T2005" i="3"/>
  <c r="T1940" i="3"/>
  <c r="T2057" i="3"/>
  <c r="T2052" i="3"/>
  <c r="T1956" i="3"/>
  <c r="T2153" i="3"/>
  <c r="T1986" i="3"/>
  <c r="T2154" i="3"/>
  <c r="T2050" i="3"/>
  <c r="T1949" i="3"/>
  <c r="T2022" i="3"/>
  <c r="T2014" i="3"/>
  <c r="T2056" i="3"/>
  <c r="T2104" i="3"/>
  <c r="T1955" i="3"/>
  <c r="T2061" i="3"/>
  <c r="T1943" i="3"/>
  <c r="T2152" i="3"/>
  <c r="T2100" i="3"/>
  <c r="T2142" i="3"/>
  <c r="T1998" i="3"/>
  <c r="T1982" i="3"/>
  <c r="T2077" i="3"/>
  <c r="T2013" i="3"/>
  <c r="T2123" i="3"/>
  <c r="T2116" i="3"/>
  <c r="T1945" i="3"/>
  <c r="T1994" i="3"/>
  <c r="T1936" i="3"/>
  <c r="T1999" i="3"/>
  <c r="T2039" i="3"/>
  <c r="T2086" i="3"/>
  <c r="T1965" i="3"/>
  <c r="T2109" i="3"/>
  <c r="T2144" i="3"/>
  <c r="T2002" i="3"/>
  <c r="T2112" i="3"/>
  <c r="T2148" i="3"/>
  <c r="T2131" i="3"/>
  <c r="T2134" i="3"/>
  <c r="T2028" i="3"/>
  <c r="T2141" i="3"/>
  <c r="T2140" i="3"/>
  <c r="T2021" i="3"/>
  <c r="T1959" i="3"/>
  <c r="T1995" i="3"/>
  <c r="T1973" i="3"/>
  <c r="T2000" i="3"/>
  <c r="T2044" i="3"/>
  <c r="T2118" i="3"/>
  <c r="T2032" i="3"/>
  <c r="T2155" i="3"/>
  <c r="T1968" i="3"/>
  <c r="T2058" i="3"/>
  <c r="T2036" i="3"/>
  <c r="T2068" i="3"/>
  <c r="T2075" i="3"/>
  <c r="T2048" i="3"/>
  <c r="T2080" i="3"/>
  <c r="T2016" i="3"/>
  <c r="T2105" i="3"/>
  <c r="T2135" i="3"/>
  <c r="T2054" i="3"/>
  <c r="T1950" i="3"/>
  <c r="T2010" i="3"/>
  <c r="T2018" i="3"/>
  <c r="T1952" i="3"/>
  <c r="T1938" i="3"/>
  <c r="T2098" i="3"/>
  <c r="T2082" i="3"/>
  <c r="T2026" i="3"/>
  <c r="T1974" i="3"/>
  <c r="T2074" i="3"/>
  <c r="T2020" i="3"/>
  <c r="T2120" i="3"/>
  <c r="T2081" i="3"/>
  <c r="T2019" i="3"/>
  <c r="T2004" i="3"/>
  <c r="T1935" i="3"/>
  <c r="T2147" i="3"/>
  <c r="T2143" i="3"/>
  <c r="T2139" i="3"/>
  <c r="T1957" i="3"/>
  <c r="T1942" i="3"/>
  <c r="T1964" i="3"/>
  <c r="T1960" i="3"/>
  <c r="T2024" i="3"/>
  <c r="T2043" i="3"/>
  <c r="T2049" i="3"/>
  <c r="T2110" i="3"/>
  <c r="T1977" i="3"/>
  <c r="T1970" i="3"/>
  <c r="T2006" i="3"/>
  <c r="T2101" i="3"/>
  <c r="T2087" i="3"/>
  <c r="T2025" i="3"/>
  <c r="T2027" i="3"/>
  <c r="T1983" i="3"/>
  <c r="T2069" i="3"/>
  <c r="T2078" i="3"/>
  <c r="T2119" i="3"/>
  <c r="T2023" i="3"/>
  <c r="T1947" i="3"/>
  <c r="T2076" i="3"/>
  <c r="T2108" i="3"/>
  <c r="T2128" i="3"/>
  <c r="T1941" i="3"/>
  <c r="T2102" i="3"/>
  <c r="T1996" i="3"/>
  <c r="T2046" i="3"/>
  <c r="T2157" i="3"/>
  <c r="T1980" i="3"/>
  <c r="T2008" i="3"/>
  <c r="T2072" i="3"/>
  <c r="T2011" i="3"/>
  <c r="T1967" i="3"/>
  <c r="T2037" i="3"/>
  <c r="T2007" i="3"/>
  <c r="T2159" i="3"/>
  <c r="T2040" i="3"/>
  <c r="T2145" i="3"/>
  <c r="T2094" i="3"/>
  <c r="T2030" i="3"/>
  <c r="T2125" i="3"/>
  <c r="T2096" i="3"/>
  <c r="T2060" i="3"/>
  <c r="T1958" i="3"/>
  <c r="T2158" i="3"/>
  <c r="T2053" i="3"/>
  <c r="T1989" i="3"/>
  <c r="T2117" i="3"/>
  <c r="T1987" i="3"/>
  <c r="T2164" i="3"/>
  <c r="T2127" i="3"/>
  <c r="T2091" i="3"/>
  <c r="T2033" i="3"/>
  <c r="T2070" i="3"/>
  <c r="T1990" i="3"/>
  <c r="T2156" i="3"/>
  <c r="T2103" i="3"/>
  <c r="T2017" i="3"/>
  <c r="T1944" i="3"/>
  <c r="T2055" i="3"/>
  <c r="T2015" i="3"/>
  <c r="T2136" i="3"/>
  <c r="T2122" i="3"/>
  <c r="T2088" i="3"/>
  <c r="T2137" i="3"/>
  <c r="T1953" i="3"/>
  <c r="T2085" i="3"/>
  <c r="T1238" i="3"/>
  <c r="T1237" i="3"/>
  <c r="T950" i="3"/>
  <c r="T1205" i="3"/>
  <c r="T630" i="3"/>
  <c r="T866" i="3"/>
  <c r="T647" i="3"/>
  <c r="T869" i="3"/>
  <c r="T959" i="3"/>
  <c r="T798" i="3"/>
  <c r="T890" i="3"/>
  <c r="T1130" i="3"/>
  <c r="T736" i="3"/>
  <c r="T680" i="3"/>
  <c r="T1242" i="3"/>
  <c r="T1149" i="3"/>
  <c r="T1158" i="3"/>
  <c r="T976" i="3"/>
  <c r="T691" i="3"/>
  <c r="T771" i="3"/>
  <c r="T1092" i="3"/>
  <c r="T715" i="3"/>
  <c r="T979" i="3"/>
  <c r="T1058" i="3"/>
  <c r="T1026" i="3"/>
  <c r="T627" i="3"/>
  <c r="T1082" i="3"/>
  <c r="T1202" i="3"/>
  <c r="T863" i="3"/>
  <c r="T1048" i="3"/>
  <c r="T816" i="3"/>
  <c r="T667" i="3"/>
  <c r="T934" i="3"/>
  <c r="T947" i="3"/>
  <c r="T1035" i="3"/>
  <c r="T764" i="3"/>
  <c r="T1182" i="3"/>
  <c r="T857" i="3"/>
  <c r="T716" i="3"/>
  <c r="T1212" i="3"/>
  <c r="T825" i="3"/>
  <c r="T962" i="3"/>
  <c r="T1094" i="3"/>
  <c r="T671" i="3"/>
  <c r="T1146" i="3"/>
  <c r="T1117" i="3"/>
  <c r="T1188" i="3"/>
  <c r="T768" i="3"/>
  <c r="T635" i="3"/>
  <c r="T981" i="3"/>
  <c r="T1066" i="3"/>
  <c r="T903" i="3"/>
  <c r="T1116" i="3"/>
  <c r="T829" i="3"/>
  <c r="T740" i="3"/>
  <c r="T1214" i="3"/>
  <c r="T1043" i="3"/>
  <c r="T612" i="3"/>
  <c r="T860" i="3"/>
  <c r="T1181" i="3"/>
  <c r="T1240" i="3"/>
  <c r="T820" i="3"/>
  <c r="T1071" i="3"/>
  <c r="T1072" i="3"/>
  <c r="T1044" i="3"/>
  <c r="T722" i="3"/>
  <c r="T1027" i="3"/>
  <c r="T899" i="3"/>
  <c r="T985" i="3"/>
  <c r="T1227" i="3"/>
  <c r="T974" i="3"/>
  <c r="T1176" i="3"/>
  <c r="T717" i="3"/>
  <c r="T879" i="3"/>
  <c r="T1199" i="3"/>
  <c r="T1177" i="3"/>
  <c r="T804" i="3"/>
  <c r="T1002" i="3"/>
  <c r="T931" i="3"/>
  <c r="T743" i="3"/>
  <c r="T777" i="3"/>
  <c r="T997" i="3"/>
  <c r="T1100" i="3"/>
  <c r="T1034" i="3"/>
  <c r="T850" i="3"/>
  <c r="T1047" i="3"/>
  <c r="T1213" i="3"/>
  <c r="T839" i="3"/>
  <c r="T695" i="3"/>
  <c r="T1112" i="3"/>
  <c r="T637" i="3"/>
  <c r="T859" i="3"/>
  <c r="T1167" i="3"/>
  <c r="T1191" i="3"/>
  <c r="T1064" i="3"/>
  <c r="T1095" i="3"/>
  <c r="T1124" i="3"/>
  <c r="T1133" i="3"/>
  <c r="T1156" i="3"/>
  <c r="T1106" i="3"/>
  <c r="T1143" i="3"/>
  <c r="T1013" i="3"/>
  <c r="T1210" i="3"/>
  <c r="T751" i="3"/>
  <c r="T1059" i="3"/>
  <c r="T723" i="3"/>
  <c r="T1233" i="3"/>
  <c r="T693" i="3"/>
  <c r="T1023" i="3"/>
  <c r="T896" i="3"/>
  <c r="T845" i="3"/>
  <c r="T611" i="3"/>
  <c r="T731" i="3"/>
  <c r="T1228" i="3"/>
  <c r="T960" i="3"/>
  <c r="T990" i="3"/>
  <c r="T684" i="3"/>
  <c r="T739" i="3"/>
  <c r="T872" i="3"/>
  <c r="T893" i="3"/>
  <c r="T800" i="3"/>
  <c r="T1180" i="3"/>
  <c r="T977" i="3"/>
  <c r="T888" i="3"/>
  <c r="T978" i="3"/>
  <c r="T908" i="3"/>
  <c r="T776" i="3"/>
  <c r="T658" i="3"/>
  <c r="T1101" i="3"/>
  <c r="T894" i="3"/>
  <c r="T945" i="3"/>
  <c r="T1096" i="3"/>
  <c r="T1226" i="3"/>
  <c r="T900" i="3"/>
  <c r="T1093" i="3"/>
  <c r="T1025" i="3"/>
  <c r="T824" i="3"/>
  <c r="T763" i="3"/>
  <c r="T631" i="3"/>
  <c r="T707" i="3"/>
  <c r="T1208" i="3"/>
  <c r="T733" i="3"/>
  <c r="T782" i="3"/>
  <c r="T1069" i="3"/>
  <c r="T805" i="3"/>
  <c r="T813" i="3"/>
  <c r="T697" i="3"/>
  <c r="T623" i="3"/>
  <c r="T1236" i="3"/>
  <c r="T975" i="3"/>
  <c r="T1008" i="3"/>
  <c r="T1134" i="3"/>
  <c r="T996" i="3"/>
  <c r="T1076" i="3"/>
  <c r="T1144" i="3"/>
  <c r="T1166" i="3"/>
  <c r="T1018" i="3"/>
  <c r="T942" i="3"/>
  <c r="T912" i="3"/>
  <c r="T754" i="3"/>
  <c r="T1113" i="3"/>
  <c r="T810" i="3"/>
  <c r="T1077" i="3"/>
  <c r="T832" i="3"/>
  <c r="T761" i="3"/>
  <c r="T1243" i="3"/>
  <c r="T1073" i="3"/>
  <c r="T653" i="3"/>
  <c r="T774" i="3"/>
  <c r="T708" i="3"/>
  <c r="T618" i="3"/>
  <c r="T846" i="3"/>
  <c r="T677" i="3"/>
  <c r="T1060" i="3"/>
  <c r="T745" i="3"/>
  <c r="T968" i="3"/>
  <c r="T1074" i="3"/>
  <c r="T678" i="3"/>
  <c r="T1006" i="3"/>
  <c r="T648" i="3"/>
  <c r="T766" i="3"/>
  <c r="T1147" i="3"/>
  <c r="T926" i="3"/>
  <c r="T616" i="3"/>
  <c r="T815" i="3"/>
  <c r="T757" i="3"/>
  <c r="T1129" i="3"/>
  <c r="T1190" i="3"/>
  <c r="T943" i="3"/>
  <c r="T995" i="3"/>
  <c r="T806" i="3"/>
  <c r="T917" i="3"/>
  <c r="T634" i="3"/>
  <c r="T963" i="3"/>
  <c r="T1098" i="3"/>
  <c r="T765" i="3"/>
  <c r="T750" i="3"/>
  <c r="T1200" i="3"/>
  <c r="T639" i="3"/>
  <c r="T967" i="3"/>
  <c r="T672" i="3"/>
  <c r="T701" i="3"/>
  <c r="T1239" i="3"/>
  <c r="T843" i="3"/>
  <c r="T989" i="3"/>
  <c r="T729" i="3"/>
  <c r="T905" i="3"/>
  <c r="T841" i="3"/>
  <c r="T998" i="3"/>
  <c r="T1056" i="3"/>
  <c r="T939" i="3"/>
  <c r="T819" i="3"/>
  <c r="T1132" i="3"/>
  <c r="T884" i="3"/>
  <c r="T836" i="3"/>
  <c r="T1102" i="3"/>
  <c r="T984" i="3"/>
  <c r="T895" i="3"/>
  <c r="T1221" i="3"/>
  <c r="T946" i="3"/>
  <c r="T692" i="3"/>
  <c r="T657" i="3"/>
  <c r="T885" i="3"/>
  <c r="T1207" i="3"/>
  <c r="T620" i="3"/>
  <c r="T638" i="3"/>
  <c r="T1128" i="3"/>
  <c r="T1070" i="3"/>
  <c r="T1151" i="3"/>
  <c r="T1114" i="3"/>
  <c r="T827" i="3"/>
  <c r="T796" i="3"/>
  <c r="T923" i="3"/>
  <c r="T1120" i="3"/>
  <c r="T703" i="3"/>
  <c r="T1201" i="3"/>
  <c r="T788" i="3"/>
  <c r="T1063" i="3"/>
  <c r="T752" i="3"/>
  <c r="T1160" i="3"/>
  <c r="T1194" i="3"/>
  <c r="T636" i="3"/>
  <c r="T933" i="3"/>
  <c r="T972" i="3"/>
  <c r="T1010" i="3"/>
  <c r="T40" i="3"/>
  <c r="T76" i="3"/>
  <c r="T7" i="3"/>
  <c r="T18" i="3"/>
  <c r="T86" i="3"/>
  <c r="T56" i="3"/>
  <c r="T84" i="3"/>
  <c r="T43" i="3"/>
  <c r="T39" i="3"/>
  <c r="T36" i="3"/>
  <c r="T49" i="3"/>
  <c r="T22" i="3"/>
  <c r="T3" i="3"/>
  <c r="T11" i="3"/>
  <c r="T41" i="3"/>
  <c r="T65" i="3"/>
  <c r="T59" i="3"/>
  <c r="T21" i="3"/>
  <c r="T25" i="3"/>
  <c r="T30" i="3"/>
  <c r="T57" i="3"/>
  <c r="T38" i="3"/>
  <c r="T54" i="3"/>
  <c r="T31" i="3"/>
  <c r="T67" i="3"/>
  <c r="T71" i="3"/>
  <c r="T1432" i="3"/>
  <c r="T1310" i="3"/>
  <c r="T1487" i="3"/>
  <c r="T1467" i="3"/>
  <c r="T1497" i="3"/>
  <c r="T1331" i="3"/>
  <c r="T1344" i="3"/>
  <c r="T1443" i="3"/>
  <c r="T1272" i="3"/>
  <c r="T1343" i="3"/>
  <c r="T1336" i="3"/>
  <c r="T1254" i="3"/>
  <c r="T1539" i="3"/>
  <c r="T1464" i="3"/>
  <c r="T1502" i="3"/>
  <c r="T1308" i="3"/>
  <c r="T1277" i="3"/>
  <c r="T1524" i="3"/>
  <c r="T1481" i="3"/>
  <c r="T1289" i="3"/>
  <c r="T1330" i="3"/>
  <c r="T1463" i="3"/>
  <c r="T1293" i="3"/>
  <c r="T1250" i="3"/>
  <c r="T1541" i="3"/>
  <c r="T1309" i="3"/>
  <c r="T1377" i="3"/>
  <c r="T1458" i="3"/>
  <c r="T1510" i="3"/>
  <c r="T1369" i="3"/>
  <c r="T1447" i="3"/>
  <c r="T1389" i="3"/>
  <c r="T1477" i="3"/>
  <c r="T1545" i="3"/>
  <c r="T1543" i="3"/>
  <c r="T1338" i="3"/>
  <c r="T1554" i="3"/>
  <c r="T1314" i="3"/>
  <c r="T1245" i="3"/>
  <c r="T1302" i="3"/>
  <c r="T1305" i="3"/>
  <c r="T1526" i="3"/>
  <c r="T1317" i="3"/>
  <c r="T1274" i="3"/>
  <c r="T1534" i="3"/>
  <c r="T1335" i="3"/>
  <c r="T1414" i="3"/>
  <c r="T1433" i="3"/>
  <c r="T1530" i="3"/>
  <c r="T1263" i="3"/>
  <c r="T1425" i="3"/>
  <c r="T1418" i="3"/>
  <c r="T1400" i="3"/>
  <c r="T1278" i="3"/>
  <c r="T1340" i="3"/>
  <c r="T1489" i="3"/>
  <c r="T1537" i="3"/>
  <c r="T1448" i="3"/>
  <c r="T1471" i="3"/>
  <c r="T1396" i="3"/>
  <c r="T1291" i="3"/>
  <c r="T1529" i="3"/>
  <c r="T1332" i="3"/>
  <c r="T1298" i="3"/>
  <c r="T1478" i="3"/>
  <c r="T1366" i="3"/>
  <c r="T1388" i="3"/>
  <c r="T1386" i="3"/>
  <c r="T1509" i="3"/>
  <c r="T1527" i="3"/>
  <c r="T1312" i="3"/>
  <c r="T1275" i="3"/>
  <c r="T1506" i="3"/>
  <c r="T1549" i="3"/>
  <c r="T1446" i="3"/>
  <c r="T1515" i="3"/>
  <c r="T1353" i="3"/>
  <c r="T1427" i="3"/>
  <c r="T1373" i="3"/>
  <c r="T1424" i="3"/>
  <c r="T1453" i="3"/>
  <c r="T1429" i="3"/>
  <c r="T1404" i="3"/>
  <c r="T1247" i="3"/>
  <c r="T1297" i="3"/>
  <c r="T1544" i="3"/>
  <c r="T1466" i="3"/>
  <c r="T1368" i="3"/>
  <c r="T1256" i="3"/>
  <c r="T1451" i="3"/>
  <c r="T1491" i="3"/>
  <c r="T1422" i="3"/>
  <c r="T1387" i="3"/>
  <c r="T1482" i="3"/>
  <c r="T1486" i="3"/>
  <c r="T1531" i="3"/>
  <c r="T1532" i="3"/>
  <c r="T1499" i="3"/>
  <c r="T1372" i="3"/>
  <c r="T1394" i="3"/>
  <c r="T1435" i="3"/>
  <c r="T1273" i="3"/>
  <c r="T1504" i="3"/>
  <c r="T1318" i="3"/>
  <c r="T1533" i="3"/>
  <c r="T1399" i="3"/>
  <c r="T1268" i="3"/>
  <c r="T1311" i="3"/>
  <c r="T1505" i="3"/>
  <c r="T1546" i="3"/>
  <c r="T1514" i="3"/>
  <c r="T1525" i="3"/>
  <c r="T1417" i="3"/>
  <c r="T1439" i="3"/>
  <c r="T1493" i="3"/>
  <c r="T1260" i="3"/>
  <c r="T1357" i="3"/>
  <c r="T1542" i="3"/>
  <c r="T1449" i="3"/>
  <c r="T1306" i="3"/>
  <c r="T1253" i="3"/>
  <c r="T1287" i="3"/>
  <c r="T1403" i="3"/>
  <c r="T1347" i="3"/>
  <c r="T1436" i="3"/>
  <c r="T1520" i="3"/>
  <c r="T1337" i="3"/>
  <c r="T1362" i="3"/>
  <c r="T1456" i="3"/>
  <c r="T1519" i="3"/>
  <c r="T1271" i="3"/>
  <c r="T1462" i="3"/>
  <c r="T1281" i="3"/>
  <c r="T1341" i="3"/>
  <c r="T1303" i="3"/>
  <c r="T1420" i="3"/>
  <c r="T1321" i="3"/>
  <c r="T1501" i="3"/>
  <c r="T1472" i="3"/>
  <c r="T1538" i="3"/>
  <c r="T1470" i="3"/>
  <c r="T1507" i="3"/>
  <c r="T1354" i="3"/>
  <c r="T1536" i="3"/>
  <c r="T1498" i="3"/>
  <c r="T1270" i="3"/>
  <c r="T1345" i="3"/>
  <c r="T1266" i="3"/>
  <c r="T1473" i="3"/>
  <c r="T1431" i="3"/>
  <c r="T1511" i="3"/>
  <c r="T1381" i="3"/>
  <c r="T1246" i="3"/>
  <c r="T1548" i="3"/>
  <c r="T1465" i="3"/>
  <c r="T1423" i="3"/>
  <c r="T1376" i="3"/>
  <c r="T1319" i="3"/>
  <c r="T1300" i="3"/>
  <c r="T1411" i="3"/>
  <c r="T1516" i="3"/>
  <c r="T1503" i="3"/>
  <c r="T1421" i="3"/>
  <c r="T1248" i="3"/>
  <c r="T1415" i="3"/>
  <c r="T1299" i="3"/>
  <c r="T1454" i="3"/>
  <c r="T1358" i="3"/>
  <c r="T1550" i="3"/>
  <c r="T1416" i="3"/>
  <c r="T1452" i="3"/>
  <c r="T1360" i="3"/>
  <c r="T1428" i="3"/>
  <c r="T1269" i="3"/>
  <c r="T1383" i="3"/>
  <c r="T1479" i="3"/>
  <c r="T1441" i="3"/>
  <c r="T1328" i="3"/>
  <c r="T1313" i="3"/>
  <c r="T1259" i="3"/>
  <c r="T1348" i="3"/>
  <c r="T1284" i="3"/>
  <c r="T1419" i="3"/>
  <c r="T1547" i="3"/>
  <c r="T1401" i="3"/>
  <c r="T1342" i="3"/>
  <c r="T1480" i="3"/>
  <c r="T1500" i="3"/>
  <c r="T1523" i="3"/>
  <c r="T1551" i="3"/>
  <c r="T1385" i="3"/>
  <c r="T1494" i="3"/>
  <c r="T1490" i="3"/>
  <c r="T1378" i="3"/>
  <c r="T1413" i="3"/>
  <c r="T1255" i="3"/>
  <c r="T1364" i="3"/>
  <c r="T1512" i="3"/>
  <c r="T1450" i="3"/>
  <c r="T1356" i="3"/>
  <c r="T1410" i="3"/>
  <c r="T1476" i="3"/>
  <c r="T1333" i="3"/>
  <c r="T1393" i="3"/>
  <c r="T1261" i="3"/>
  <c r="T1405" i="3"/>
  <c r="T1553" i="3"/>
  <c r="T1468" i="3"/>
  <c r="T1596" i="3"/>
  <c r="T1911" i="3"/>
  <c r="T1627" i="3"/>
  <c r="T1597" i="3"/>
  <c r="T1780" i="3"/>
  <c r="T1850" i="3"/>
  <c r="T1635" i="3"/>
  <c r="T1797" i="3"/>
  <c r="T1560" i="3"/>
  <c r="T1877" i="3"/>
  <c r="T1699" i="3"/>
  <c r="T1605" i="3"/>
  <c r="T1844" i="3"/>
  <c r="T1853" i="3"/>
  <c r="T1667" i="3"/>
  <c r="T1739" i="3"/>
  <c r="T1882" i="3"/>
  <c r="T1926" i="3"/>
  <c r="T1684" i="3"/>
  <c r="T1814" i="3"/>
  <c r="T1809" i="3"/>
  <c r="T1567" i="3"/>
  <c r="T1822" i="3"/>
  <c r="T1824" i="3"/>
  <c r="T1758" i="3"/>
  <c r="T1735" i="3"/>
  <c r="T1869" i="3"/>
  <c r="T1675" i="3"/>
  <c r="T1864" i="3"/>
  <c r="T1917" i="3"/>
  <c r="T1807" i="3"/>
  <c r="T1656" i="3"/>
  <c r="T1720" i="3"/>
  <c r="T1626" i="3"/>
  <c r="T1743" i="3"/>
  <c r="T1638" i="3"/>
  <c r="T1802" i="3"/>
  <c r="T1846" i="3"/>
  <c r="T1721" i="3"/>
  <c r="T1623" i="3"/>
  <c r="T1923" i="3"/>
  <c r="T1561" i="3"/>
  <c r="T1733" i="3"/>
  <c r="T1588" i="3"/>
  <c r="T1618" i="3"/>
  <c r="T1611" i="3"/>
  <c r="T1907" i="3"/>
  <c r="T1895" i="3"/>
  <c r="T1591" i="3"/>
  <c r="T1608" i="3"/>
  <c r="T1763" i="3"/>
  <c r="T1713" i="3"/>
  <c r="T1616" i="3"/>
  <c r="T1830" i="3"/>
  <c r="T1682" i="3"/>
  <c r="T1764" i="3"/>
  <c r="T1778" i="3"/>
  <c r="T1722" i="3"/>
  <c r="T1633" i="3"/>
  <c r="T1879" i="3"/>
  <c r="T1740" i="3"/>
  <c r="T1783" i="3"/>
  <c r="T1787" i="3"/>
  <c r="T1918" i="3"/>
  <c r="T1887" i="3"/>
  <c r="T1692" i="3"/>
  <c r="T1897" i="3"/>
  <c r="T1658" i="3"/>
  <c r="T1753" i="3"/>
  <c r="T1760" i="3"/>
  <c r="T1874" i="3"/>
  <c r="T1786" i="3"/>
  <c r="T1629" i="3"/>
  <c r="T1905" i="3"/>
  <c r="T1700" i="3"/>
  <c r="T1837" i="3"/>
  <c r="T1558" i="3"/>
  <c r="T1664" i="3"/>
  <c r="T1752" i="3"/>
  <c r="T1565" i="3"/>
  <c r="T1661" i="3"/>
  <c r="T1619" i="3"/>
  <c r="T1816" i="3"/>
  <c r="T1914" i="3"/>
  <c r="T1622" i="3"/>
  <c r="T1715" i="3"/>
  <c r="T1912" i="3"/>
  <c r="T1641" i="3"/>
  <c r="T1913" i="3"/>
  <c r="T1841" i="3"/>
  <c r="T1686" i="3"/>
  <c r="T1649" i="3"/>
  <c r="T1625" i="3"/>
  <c r="T1659" i="3"/>
  <c r="T1836" i="3"/>
  <c r="T1569" i="3"/>
  <c r="T1885" i="3"/>
  <c r="T1573" i="3"/>
  <c r="T1683" i="3"/>
  <c r="T1655" i="3"/>
  <c r="T1833" i="3"/>
  <c r="T1653" i="3"/>
  <c r="T1880" i="3"/>
  <c r="T1701" i="3"/>
  <c r="T1678" i="3"/>
  <c r="T1563" i="3"/>
  <c r="T1676" i="3"/>
  <c r="T1645" i="3"/>
  <c r="T1883" i="3"/>
  <c r="T1606" i="3"/>
  <c r="T1767" i="3"/>
  <c r="T1808" i="3"/>
  <c r="T1745" i="3"/>
  <c r="T1559" i="3"/>
  <c r="T1934" i="3"/>
  <c r="T1669" i="3"/>
  <c r="T1706" i="3"/>
  <c r="T1663" i="3"/>
  <c r="T1704" i="3"/>
  <c r="T1703" i="3"/>
  <c r="T1718" i="3"/>
  <c r="T1654" i="3"/>
  <c r="T1584" i="3"/>
  <c r="T1789" i="3"/>
  <c r="T1731" i="3"/>
  <c r="T1867" i="3"/>
  <c r="T1600" i="3"/>
  <c r="T1810" i="3"/>
  <c r="T1899" i="3"/>
  <c r="T1860" i="3"/>
  <c r="T1920" i="3"/>
  <c r="T1617" i="3"/>
  <c r="T1599" i="3"/>
  <c r="T1710" i="3"/>
  <c r="T1580" i="3"/>
  <c r="T1900" i="3"/>
  <c r="T1896" i="3"/>
  <c r="T1690" i="3"/>
  <c r="T1756" i="3"/>
  <c r="T1738" i="3"/>
  <c r="T1557" i="3"/>
  <c r="T1858" i="3"/>
  <c r="T1930" i="3"/>
  <c r="T1889" i="3"/>
  <c r="T1647" i="3"/>
  <c r="T1729" i="3"/>
  <c r="T1921" i="3"/>
  <c r="T1719" i="3"/>
  <c r="T1650" i="3"/>
  <c r="T1660" i="3"/>
  <c r="T1845" i="3"/>
  <c r="T1587" i="3"/>
  <c r="T1578" i="3"/>
  <c r="T1774" i="3"/>
  <c r="T1709" i="3"/>
  <c r="T1856" i="3"/>
  <c r="T1736" i="3"/>
  <c r="T1571" i="3"/>
  <c r="T1884" i="3"/>
  <c r="T1866" i="3"/>
  <c r="T1811" i="3"/>
  <c r="T1870" i="3"/>
  <c r="T1826" i="3"/>
  <c r="T1791" i="3"/>
  <c r="T1586" i="3"/>
  <c r="T1770" i="3"/>
  <c r="T1556" i="3"/>
  <c r="T1747" i="3"/>
  <c r="T1823" i="3"/>
  <c r="T1730" i="3"/>
  <c r="T1843" i="3"/>
  <c r="T1892" i="3"/>
  <c r="T1637" i="3"/>
  <c r="T1910" i="3"/>
  <c r="T1694" i="3"/>
  <c r="T1831" i="3"/>
  <c r="T1796" i="3"/>
  <c r="T1927" i="3"/>
  <c r="T1754" i="3"/>
  <c r="T1714" i="3"/>
  <c r="T1839" i="3"/>
  <c r="T1873" i="3"/>
  <c r="T1825" i="3"/>
  <c r="T1689" i="3"/>
  <c r="T1840" i="3"/>
  <c r="T1711" i="3"/>
  <c r="T1838" i="3"/>
  <c r="T1872" i="3"/>
  <c r="T1779" i="3"/>
  <c r="T1847" i="3"/>
  <c r="T1652" i="3"/>
  <c r="T1785" i="3"/>
  <c r="T1680" i="3"/>
  <c r="T1848" i="3"/>
  <c r="T1666" i="3"/>
  <c r="T1906" i="3"/>
  <c r="T1579" i="3"/>
  <c r="T1727" i="3"/>
  <c r="T1861" i="3"/>
  <c r="T1915" i="3"/>
  <c r="T1842" i="3"/>
  <c r="T1875" i="3"/>
  <c r="T1794" i="3"/>
  <c r="T1610" i="3"/>
  <c r="T1646" i="3"/>
  <c r="T1693" i="3"/>
  <c r="T1775" i="3"/>
  <c r="T1665" i="3"/>
  <c r="T1614" i="3"/>
  <c r="T1762" i="3"/>
  <c r="T1801" i="3"/>
  <c r="T1642" i="3"/>
  <c r="T1916" i="3"/>
  <c r="T1728" i="3"/>
  <c r="T1741" i="3"/>
  <c r="T1702" i="3"/>
  <c r="T1708" i="3"/>
  <c r="T1604" i="3"/>
  <c r="T1674" i="3"/>
  <c r="T1871" i="3"/>
  <c r="T1919" i="3"/>
  <c r="T1898" i="3"/>
  <c r="T1903" i="3"/>
  <c r="T1751" i="3"/>
  <c r="T1799" i="3"/>
  <c r="T1857" i="3"/>
  <c r="T1598" i="3"/>
  <c r="T1790" i="3"/>
  <c r="T1851" i="3"/>
  <c r="T1777" i="3"/>
  <c r="T1577" i="3"/>
  <c r="T1931" i="3"/>
  <c r="T1726" i="3"/>
  <c r="T1792" i="3"/>
  <c r="T1628" i="3"/>
  <c r="T1662" i="3"/>
  <c r="T1835" i="3"/>
  <c r="T1668" i="3"/>
  <c r="T1687" i="3"/>
  <c r="T1817" i="3"/>
  <c r="T1904" i="3"/>
  <c r="T1769" i="3"/>
  <c r="T1827" i="3"/>
  <c r="T1574" i="3"/>
  <c r="T1691" i="3"/>
  <c r="T1712" i="3"/>
  <c r="T1624" i="3"/>
  <c r="T1555" i="3"/>
  <c r="T1788" i="3"/>
  <c r="T1828" i="3"/>
  <c r="T1929" i="3"/>
  <c r="T1732" i="3"/>
  <c r="T1673" i="3"/>
  <c r="T1575" i="3"/>
  <c r="T1832" i="3"/>
  <c r="T1878" i="3"/>
  <c r="T1570" i="3"/>
  <c r="T1868" i="3"/>
  <c r="T1849" i="3"/>
  <c r="T1820" i="3"/>
  <c r="T1594" i="3"/>
  <c r="T1593" i="3"/>
  <c r="T1672" i="3"/>
  <c r="T1671" i="3"/>
  <c r="T1568" i="3"/>
  <c r="T1815" i="3"/>
  <c r="T1698" i="3"/>
  <c r="T1707" i="3"/>
  <c r="T1793" i="3"/>
  <c r="T1813" i="3"/>
  <c r="T1781" i="3"/>
  <c r="T1670" i="3"/>
  <c r="T1615" i="3"/>
  <c r="T1583" i="3"/>
  <c r="T1755" i="3"/>
  <c r="T1924" i="3"/>
  <c r="T1601" i="3"/>
  <c r="T1636" i="3"/>
  <c r="T1582" i="3"/>
  <c r="T1894" i="3"/>
  <c r="T1855" i="3"/>
  <c r="T1677" i="3"/>
  <c r="T1798" i="3"/>
  <c r="T1572" i="3"/>
  <c r="T1576" i="3"/>
  <c r="T1688" i="3"/>
  <c r="T1890" i="3"/>
  <c r="T1773" i="3"/>
  <c r="T1876" i="3"/>
  <c r="T1759" i="3"/>
  <c r="T1901" i="3"/>
  <c r="T1886" i="3"/>
  <c r="T1865" i="3"/>
  <c r="T1834" i="3"/>
  <c r="T1640" i="3"/>
  <c r="T1776" i="3"/>
  <c r="T1908" i="3"/>
  <c r="T1603" i="3"/>
  <c r="T1602" i="3"/>
  <c r="T1782" i="3"/>
  <c r="T1566" i="3"/>
  <c r="T1695" i="3"/>
  <c r="T1909" i="3"/>
  <c r="T1612" i="3"/>
  <c r="T1928" i="3"/>
  <c r="T1862" i="3"/>
  <c r="T1750" i="3"/>
  <c r="T1863" i="3"/>
  <c r="T1803" i="3"/>
  <c r="T1829" i="3"/>
  <c r="T1891" i="3"/>
  <c r="T1852" i="3"/>
  <c r="T1806" i="3"/>
  <c r="T1705" i="3"/>
  <c r="T1679" i="3"/>
  <c r="T1562" i="3"/>
  <c r="T1922" i="3"/>
  <c r="T1685" i="3"/>
  <c r="T1768" i="3"/>
  <c r="T1748" i="3"/>
  <c r="T1639" i="3"/>
  <c r="T1716" i="3"/>
  <c r="T1784" i="3"/>
  <c r="T1643" i="3"/>
  <c r="T1717" i="3"/>
  <c r="T1925" i="3"/>
  <c r="T1613" i="3"/>
  <c r="T1595" i="3"/>
  <c r="T1620" i="3"/>
  <c r="T1746" i="3"/>
  <c r="T1725" i="3"/>
  <c r="T1805" i="3"/>
  <c r="T1609" i="3"/>
  <c r="T1772" i="3"/>
  <c r="T1657" i="3"/>
  <c r="T1902" i="3"/>
  <c r="T1644" i="3"/>
  <c r="T1634" i="3"/>
  <c r="T1742" i="3"/>
  <c r="T1585" i="3"/>
  <c r="T1761" i="3"/>
  <c r="T1607" i="3"/>
  <c r="T1804" i="3"/>
  <c r="T1589" i="3"/>
  <c r="T1821" i="3"/>
  <c r="T1881" i="3"/>
  <c r="T1697" i="3"/>
  <c r="T1800" i="3"/>
  <c r="T1734" i="3"/>
  <c r="T1590" i="3"/>
  <c r="T1564" i="3"/>
  <c r="T1581" i="3"/>
  <c r="T1757" i="3"/>
  <c r="T1681" i="3"/>
  <c r="T1765" i="3"/>
  <c r="T1888" i="3"/>
  <c r="T1893" i="3"/>
  <c r="T1631" i="3"/>
  <c r="T1859" i="3"/>
  <c r="T1632" i="3"/>
  <c r="T1621" i="3"/>
  <c r="T1696" i="3"/>
  <c r="T1723" i="3"/>
  <c r="T1819" i="3"/>
  <c r="T1630" i="3"/>
  <c r="T1854" i="3"/>
  <c r="T1766" i="3"/>
  <c r="T1651" i="3"/>
  <c r="T1648" i="3"/>
  <c r="T1812" i="3"/>
  <c r="T1818" i="3"/>
  <c r="T1724" i="3"/>
  <c r="T1771" i="3"/>
  <c r="T1737" i="3"/>
  <c r="T1592" i="3"/>
  <c r="T1795" i="3"/>
  <c r="T1744" i="3"/>
  <c r="T1933" i="3"/>
  <c r="T1749" i="3"/>
  <c r="T1932" i="3"/>
  <c r="T46" i="3"/>
  <c r="T62" i="3"/>
  <c r="T10" i="3"/>
  <c r="T35" i="3"/>
  <c r="T33" i="3"/>
  <c r="T80" i="3"/>
  <c r="T52" i="3"/>
  <c r="T85" i="3"/>
  <c r="T79" i="3"/>
  <c r="T78" i="3"/>
  <c r="T42" i="3"/>
  <c r="T47" i="3"/>
  <c r="T14" i="3"/>
  <c r="T34" i="3"/>
  <c r="T9" i="3"/>
  <c r="T83" i="3"/>
  <c r="T4" i="3"/>
  <c r="T17" i="3"/>
  <c r="T19" i="3"/>
  <c r="T74" i="3"/>
  <c r="T53" i="3"/>
  <c r="T26" i="3"/>
  <c r="T24" i="3"/>
  <c r="T13" i="3"/>
  <c r="T2" i="3"/>
  <c r="T37" i="3"/>
  <c r="T16" i="3"/>
  <c r="T5" i="3"/>
  <c r="T81" i="3"/>
  <c r="T66" i="3"/>
  <c r="T27" i="3"/>
  <c r="T73" i="3"/>
  <c r="T12" i="3"/>
  <c r="T28" i="3"/>
  <c r="T50" i="3"/>
  <c r="T45" i="3"/>
  <c r="T64" i="3"/>
  <c r="T69" i="3"/>
  <c r="T70" i="3"/>
  <c r="T87" i="3"/>
  <c r="T82" i="3"/>
  <c r="T51" i="3"/>
  <c r="T58" i="3"/>
  <c r="T63" i="3"/>
  <c r="T61" i="3"/>
  <c r="T44" i="3"/>
  <c r="T77" i="3"/>
  <c r="T6" i="3"/>
  <c r="T20" i="3"/>
  <c r="T72" i="3"/>
  <c r="T23" i="3"/>
  <c r="T8" i="3"/>
  <c r="T48" i="3"/>
  <c r="T60" i="3"/>
  <c r="T15" i="3"/>
  <c r="T55" i="3"/>
  <c r="T29" i="3"/>
  <c r="T75" i="3"/>
  <c r="T32" i="3"/>
  <c r="T68" i="3"/>
  <c r="T3003" i="3"/>
  <c r="T3006" i="3"/>
  <c r="T2962" i="3"/>
  <c r="T3069" i="3"/>
  <c r="T2981" i="3"/>
  <c r="T2922" i="3"/>
  <c r="T2871" i="3"/>
  <c r="T3046" i="3"/>
  <c r="T3072" i="3"/>
  <c r="T2864" i="3"/>
  <c r="T2908" i="3"/>
  <c r="T3056" i="3"/>
  <c r="T2991" i="3"/>
  <c r="T2895" i="3"/>
  <c r="T3068" i="3"/>
  <c r="T3077" i="3"/>
  <c r="T2896" i="3"/>
  <c r="T2972" i="3"/>
  <c r="T2965" i="3"/>
  <c r="T2899" i="3"/>
  <c r="T2860" i="3"/>
  <c r="T2971" i="3"/>
  <c r="T2998" i="3"/>
  <c r="T2982" i="3"/>
  <c r="T2936" i="3"/>
  <c r="T2882" i="3"/>
  <c r="T3020" i="3"/>
  <c r="T3053" i="3"/>
  <c r="T2967" i="3"/>
  <c r="T3005" i="3"/>
  <c r="T2873" i="3"/>
  <c r="T3009" i="3"/>
  <c r="T2950" i="3"/>
  <c r="T2959" i="3"/>
  <c r="T2975" i="3"/>
  <c r="T2940" i="3"/>
  <c r="T2903" i="3"/>
  <c r="T3066" i="3"/>
  <c r="T3067" i="3"/>
  <c r="T3043" i="3"/>
  <c r="T2948" i="3"/>
  <c r="T3060" i="3"/>
  <c r="T2881" i="3"/>
  <c r="T3044" i="3"/>
  <c r="T3004" i="3"/>
  <c r="T2989" i="3"/>
  <c r="T2954" i="3"/>
  <c r="T3024" i="3"/>
  <c r="T2930" i="3"/>
  <c r="T2996" i="3"/>
  <c r="T3041" i="3"/>
  <c r="T2929" i="3"/>
  <c r="T2934" i="3"/>
  <c r="T2924" i="3"/>
  <c r="T2928" i="3"/>
  <c r="T3015" i="3"/>
  <c r="T2978" i="3"/>
  <c r="T3042" i="3"/>
  <c r="T2872" i="3"/>
  <c r="T2874" i="3"/>
  <c r="T3061" i="3"/>
  <c r="T2911" i="3"/>
  <c r="T3038" i="3"/>
  <c r="T2968" i="3"/>
  <c r="T2901" i="3"/>
  <c r="T2963" i="3"/>
  <c r="T2859" i="3"/>
  <c r="T3010" i="3"/>
  <c r="T2880" i="3"/>
  <c r="T2939" i="3"/>
  <c r="T2997" i="3"/>
  <c r="T2974" i="3"/>
  <c r="T2933" i="3"/>
  <c r="T2906" i="3"/>
  <c r="T3018" i="3"/>
  <c r="T3048" i="3"/>
  <c r="T3064" i="3"/>
  <c r="T2943" i="3"/>
  <c r="T2941" i="3"/>
  <c r="T3057" i="3"/>
  <c r="T3075" i="3"/>
  <c r="T2976" i="3"/>
  <c r="T2960" i="3"/>
  <c r="T2886" i="3"/>
  <c r="T2907" i="3"/>
  <c r="T2952" i="3"/>
  <c r="T3022" i="3"/>
  <c r="T2913" i="3"/>
  <c r="T2945" i="3"/>
  <c r="T2919" i="3"/>
  <c r="T2885" i="3"/>
  <c r="T2946" i="3"/>
  <c r="T2887" i="3"/>
  <c r="T3037" i="3"/>
  <c r="T2955" i="3"/>
  <c r="T3012" i="3"/>
  <c r="T2944" i="3"/>
  <c r="T2947" i="3"/>
  <c r="T2900" i="3"/>
  <c r="T2904" i="3"/>
  <c r="T3030" i="3"/>
  <c r="T2935" i="3"/>
  <c r="T2861" i="3"/>
  <c r="T2980" i="3"/>
  <c r="T3001" i="3"/>
  <c r="T3014" i="3"/>
  <c r="T2892" i="3"/>
  <c r="T2868" i="3"/>
  <c r="T2889" i="3"/>
  <c r="T3023" i="3"/>
  <c r="T2888" i="3"/>
  <c r="T3019" i="3"/>
  <c r="T2905" i="3"/>
  <c r="T2894" i="3"/>
  <c r="T2912" i="3"/>
  <c r="T2902" i="3"/>
  <c r="T3013" i="3"/>
  <c r="T2931" i="3"/>
  <c r="T3054" i="3"/>
  <c r="T3040" i="3"/>
  <c r="T3021" i="3"/>
  <c r="T3058" i="3"/>
  <c r="T2956" i="3"/>
  <c r="T3035" i="3"/>
  <c r="T2949" i="3"/>
  <c r="T3052" i="3"/>
  <c r="T3070" i="3"/>
  <c r="T2883" i="3"/>
  <c r="T2964" i="3"/>
  <c r="T2942" i="3"/>
  <c r="T3008" i="3"/>
  <c r="T2910" i="3"/>
  <c r="T3002" i="3"/>
  <c r="T2877" i="3"/>
  <c r="T2973" i="3"/>
  <c r="T2890" i="3"/>
  <c r="T2921" i="3"/>
  <c r="T2937" i="3"/>
  <c r="T2969" i="3"/>
  <c r="T3026" i="3"/>
  <c r="T2865" i="3"/>
  <c r="T2863" i="3"/>
  <c r="T3016" i="3"/>
  <c r="T2893" i="3"/>
  <c r="T2858" i="3"/>
  <c r="T2867" i="3"/>
  <c r="T2878" i="3"/>
  <c r="T2979" i="3"/>
  <c r="T2916" i="3"/>
  <c r="T3050" i="3"/>
  <c r="T2986" i="3"/>
  <c r="T2898" i="3"/>
  <c r="T3049" i="3"/>
  <c r="T2918" i="3"/>
  <c r="T2932" i="3"/>
  <c r="T2961" i="3"/>
  <c r="T2953" i="3"/>
  <c r="T2999" i="3"/>
  <c r="T3059" i="3"/>
  <c r="T2909" i="3"/>
  <c r="T3045" i="3"/>
  <c r="T3076" i="3"/>
  <c r="T3062" i="3"/>
  <c r="T2869" i="3"/>
  <c r="T3039" i="3"/>
  <c r="T3027" i="3"/>
  <c r="T3028" i="3"/>
  <c r="T2923" i="3"/>
  <c r="T2915" i="3"/>
  <c r="T2925" i="3"/>
  <c r="T3071" i="3"/>
  <c r="T2875" i="3"/>
  <c r="T2966" i="3"/>
  <c r="T2891" i="3"/>
  <c r="T2993" i="3"/>
  <c r="T2862" i="3"/>
  <c r="T3007" i="3"/>
  <c r="T2870" i="3"/>
  <c r="T2914" i="3"/>
  <c r="T2977" i="3"/>
  <c r="T2958" i="3"/>
  <c r="T2876" i="3"/>
  <c r="T3063" i="3"/>
  <c r="T3065" i="3"/>
  <c r="T3025" i="3"/>
  <c r="T2983" i="3"/>
  <c r="T2926" i="3"/>
  <c r="T3034" i="3"/>
  <c r="T2985" i="3"/>
  <c r="T3033" i="3"/>
  <c r="T3073" i="3"/>
  <c r="T2987" i="3"/>
  <c r="T2951" i="3"/>
  <c r="T2884" i="3"/>
  <c r="T2938" i="3"/>
  <c r="T2970" i="3"/>
  <c r="T2866" i="3"/>
  <c r="T3051" i="3"/>
  <c r="T2990" i="3"/>
  <c r="T2988" i="3"/>
  <c r="T2927" i="3"/>
  <c r="T2995" i="3"/>
  <c r="T3000" i="3"/>
  <c r="T2984" i="3"/>
  <c r="T3031" i="3"/>
  <c r="T2992" i="3"/>
  <c r="T3032" i="3"/>
  <c r="T3011" i="3"/>
  <c r="T2957" i="3"/>
  <c r="T2917" i="3"/>
  <c r="T3036" i="3"/>
  <c r="T3074" i="3"/>
  <c r="T3017" i="3"/>
  <c r="T3047" i="3"/>
  <c r="T2879" i="3"/>
  <c r="T2994" i="3"/>
  <c r="T2920" i="3"/>
  <c r="T3055" i="3"/>
  <c r="T2897" i="3"/>
  <c r="T3029" i="3"/>
  <c r="T2648" i="3"/>
  <c r="T2443" i="3"/>
  <c r="T2808" i="3"/>
  <c r="T2811" i="3"/>
  <c r="T2748" i="3"/>
  <c r="T2594" i="3"/>
  <c r="T2617" i="3"/>
  <c r="T2538" i="3"/>
  <c r="T2613" i="3"/>
  <c r="T2747" i="3"/>
  <c r="T2449" i="3"/>
  <c r="T2476" i="3"/>
  <c r="T2817" i="3"/>
  <c r="T2628" i="3"/>
  <c r="T2566" i="3"/>
  <c r="T2492" i="3"/>
  <c r="T2481" i="3"/>
  <c r="T2626" i="3"/>
  <c r="T2580" i="3"/>
  <c r="T2575" i="3"/>
  <c r="T2640" i="3"/>
  <c r="T2660" i="3"/>
  <c r="T2514" i="3"/>
  <c r="T2644" i="3"/>
  <c r="T2553" i="3"/>
  <c r="T2556" i="3"/>
  <c r="T2805" i="3"/>
  <c r="T2593" i="3"/>
  <c r="T2525" i="3"/>
  <c r="T2501" i="3"/>
  <c r="T2810" i="3"/>
  <c r="T2587" i="3"/>
  <c r="T2707" i="3"/>
  <c r="T2646" i="3"/>
  <c r="T2496" i="3"/>
  <c r="T2812" i="3"/>
  <c r="T2772" i="3"/>
  <c r="T2474" i="3"/>
  <c r="T2678" i="3"/>
  <c r="T2499" i="3"/>
  <c r="T2711" i="3"/>
  <c r="T2527" i="3"/>
  <c r="T2726" i="3"/>
  <c r="T2511" i="3"/>
  <c r="T2818" i="3"/>
  <c r="T2802" i="3"/>
  <c r="T2530" i="3"/>
  <c r="T2502" i="3"/>
  <c r="T2562" i="3"/>
  <c r="T2819" i="3"/>
  <c r="T2571" i="3"/>
  <c r="T2585" i="3"/>
  <c r="T2524" i="3"/>
  <c r="T2534" i="3"/>
  <c r="T2719" i="3"/>
  <c r="T2717" i="3"/>
  <c r="T2801" i="3"/>
  <c r="T2455" i="3"/>
  <c r="T2779" i="3"/>
  <c r="T2453" i="3"/>
  <c r="T2486" i="3"/>
  <c r="T2505" i="3"/>
  <c r="T2670" i="3"/>
  <c r="T2444" i="3"/>
  <c r="T2754" i="3"/>
  <c r="T2649" i="3"/>
  <c r="T2804" i="3"/>
  <c r="T2500" i="3"/>
  <c r="T2828" i="3"/>
  <c r="T2586" i="3"/>
  <c r="T2687" i="3"/>
  <c r="T2775" i="3"/>
  <c r="T2599" i="3"/>
  <c r="T2714" i="3"/>
  <c r="T2826" i="3"/>
  <c r="T2584" i="3"/>
  <c r="T2837" i="3"/>
  <c r="T2650" i="3"/>
  <c r="T2767" i="3"/>
  <c r="T2464" i="3"/>
  <c r="T2780" i="3"/>
  <c r="T2446" i="3"/>
  <c r="T2777" i="3"/>
  <c r="T2736" i="3"/>
  <c r="T2467" i="3"/>
  <c r="T2651" i="3"/>
  <c r="T2789" i="3"/>
  <c r="T2590" i="3"/>
  <c r="T2816" i="3"/>
  <c r="T2641" i="3"/>
  <c r="T2856" i="3"/>
  <c r="T2689" i="3"/>
  <c r="T2645" i="3"/>
  <c r="T2633" i="3"/>
  <c r="T2548" i="3"/>
  <c r="T2484" i="3"/>
  <c r="T2833" i="3"/>
  <c r="T2825" i="3"/>
  <c r="T2677" i="3"/>
  <c r="T2855" i="3"/>
  <c r="T2618" i="3"/>
  <c r="T2471" i="3"/>
  <c r="T2652" i="3"/>
  <c r="T2749" i="3"/>
  <c r="T2621" i="3"/>
  <c r="T2675" i="3"/>
  <c r="T2582" i="3"/>
  <c r="T2544" i="3"/>
  <c r="T2577" i="3"/>
  <c r="T2610" i="3"/>
  <c r="T2806" i="3"/>
  <c r="T2576" i="3"/>
  <c r="T2698" i="3"/>
  <c r="T2824" i="3"/>
  <c r="T2479" i="3"/>
  <c r="T2528" i="3"/>
  <c r="T2741" i="3"/>
  <c r="T2655" i="3"/>
  <c r="T2683" i="3"/>
  <c r="T2764" i="3"/>
  <c r="T2791" i="3"/>
  <c r="T2691" i="3"/>
  <c r="T2735" i="3"/>
  <c r="T2682" i="3"/>
  <c r="T2602" i="3"/>
  <c r="T2456" i="3"/>
  <c r="T2842" i="3"/>
  <c r="T2712" i="3"/>
  <c r="T2694" i="3"/>
  <c r="T2782" i="3"/>
  <c r="T2600" i="3"/>
  <c r="T2838" i="3"/>
  <c r="T2447" i="3"/>
  <c r="T2757" i="3"/>
  <c r="T2469" i="3"/>
  <c r="T2765" i="3"/>
  <c r="T2653" i="3"/>
  <c r="T2654" i="3"/>
  <c r="T2568" i="3"/>
  <c r="T2466" i="3"/>
  <c r="T2603" i="3"/>
  <c r="T2457" i="3"/>
  <c r="T2588" i="3"/>
  <c r="T2589" i="3"/>
  <c r="T2774" i="3"/>
  <c r="T2510" i="3"/>
  <c r="T2493" i="3"/>
  <c r="T2797" i="3"/>
  <c r="T2656" i="3"/>
  <c r="T2522" i="3"/>
  <c r="T2664" i="3"/>
  <c r="T2739" i="3"/>
  <c r="T2598" i="3"/>
  <c r="T2853" i="3"/>
  <c r="T2460" i="3"/>
  <c r="T2539" i="3"/>
  <c r="T2743" i="3"/>
  <c r="T2742" i="3"/>
  <c r="T2770" i="3"/>
  <c r="T2709" i="3"/>
  <c r="T2718" i="3"/>
  <c r="T2768" i="3"/>
  <c r="T2616" i="3"/>
  <c r="T2831" i="3"/>
  <c r="T2239" i="3"/>
  <c r="T2254" i="3"/>
  <c r="T2420" i="3"/>
  <c r="T2355" i="3"/>
  <c r="T2182" i="3"/>
  <c r="T2218" i="3"/>
  <c r="T2392" i="3"/>
  <c r="T2418" i="3"/>
  <c r="T2228" i="3"/>
  <c r="T2303" i="3"/>
  <c r="T2259" i="3"/>
  <c r="T2322" i="3"/>
  <c r="T2188" i="3"/>
  <c r="T2263" i="3"/>
  <c r="T2213" i="3"/>
  <c r="T2231" i="3"/>
  <c r="T2419" i="3"/>
  <c r="T2294" i="3"/>
  <c r="T2310" i="3"/>
  <c r="T2261" i="3"/>
  <c r="T2405" i="3"/>
  <c r="T2319" i="3"/>
  <c r="T2380" i="3"/>
  <c r="T2340" i="3"/>
  <c r="T2189" i="3"/>
  <c r="T2244" i="3"/>
  <c r="T2208" i="3"/>
  <c r="T2422" i="3"/>
  <c r="T2435" i="3"/>
  <c r="T2190" i="3"/>
  <c r="T2291" i="3"/>
  <c r="T2178" i="3"/>
  <c r="T2185" i="3"/>
  <c r="T2284" i="3"/>
  <c r="T2287" i="3"/>
  <c r="T2399" i="3"/>
  <c r="T2414" i="3"/>
  <c r="T2306" i="3"/>
  <c r="T2396" i="3"/>
  <c r="T2348" i="3"/>
  <c r="T2352" i="3"/>
  <c r="T2214" i="3"/>
  <c r="T2229" i="3"/>
  <c r="T2349" i="3"/>
  <c r="T2253" i="3"/>
  <c r="T2337" i="3"/>
  <c r="T2186" i="3"/>
  <c r="T2286" i="3"/>
  <c r="T2408" i="3"/>
  <c r="T2215" i="3"/>
  <c r="T2224" i="3"/>
  <c r="T2242" i="3"/>
  <c r="T2262" i="3"/>
  <c r="T2389" i="3"/>
  <c r="T2421" i="3"/>
  <c r="T2360" i="3"/>
  <c r="T2285" i="3"/>
  <c r="T2407" i="3"/>
  <c r="T2225" i="3"/>
  <c r="T2223" i="3"/>
  <c r="T2205" i="3"/>
  <c r="T2431" i="3"/>
  <c r="T2245" i="3"/>
  <c r="T2290" i="3"/>
  <c r="T2282" i="3"/>
  <c r="T2309" i="3"/>
  <c r="T2324" i="3"/>
  <c r="T2297" i="3"/>
  <c r="T2280" i="3"/>
  <c r="T2343" i="3"/>
  <c r="T2333" i="3"/>
  <c r="T2283" i="3"/>
  <c r="T2441" i="3"/>
  <c r="T2270" i="3"/>
  <c r="T2295" i="3"/>
  <c r="T2376" i="3"/>
  <c r="T2315" i="3"/>
  <c r="T2331" i="3"/>
  <c r="T2329" i="3"/>
  <c r="T2438" i="3"/>
  <c r="T2195" i="3"/>
  <c r="T2298" i="3"/>
  <c r="T2356" i="3"/>
  <c r="T2365" i="3"/>
  <c r="T2336" i="3"/>
  <c r="T2204" i="3"/>
  <c r="T2344" i="3"/>
  <c r="T2385" i="3"/>
  <c r="T2361" i="3"/>
  <c r="T2345" i="3"/>
  <c r="T2346" i="3"/>
  <c r="T2313" i="3"/>
  <c r="T2434" i="3"/>
  <c r="T2184" i="3"/>
  <c r="T2257" i="3"/>
  <c r="T2276" i="3"/>
  <c r="T2175" i="3"/>
  <c r="T2437" i="3"/>
  <c r="T2403" i="3"/>
  <c r="T2359" i="3"/>
  <c r="T2364" i="3"/>
  <c r="T2351" i="3"/>
  <c r="T2318" i="3"/>
  <c r="T2249" i="3"/>
  <c r="T2260" i="3"/>
  <c r="T2423" i="3"/>
  <c r="T2216" i="3"/>
  <c r="T2393" i="3"/>
  <c r="T2209" i="3"/>
  <c r="T2181" i="3"/>
  <c r="T2258" i="3"/>
  <c r="T2268" i="3"/>
  <c r="T2347" i="3"/>
  <c r="T2251" i="3"/>
  <c r="T2192" i="3"/>
  <c r="T2311" i="3"/>
  <c r="T2321" i="3"/>
  <c r="T2314" i="3"/>
  <c r="T2424" i="3"/>
  <c r="T2274" i="3"/>
  <c r="T2312" i="3"/>
  <c r="T2191" i="3"/>
  <c r="T2183" i="3"/>
  <c r="T2169" i="3"/>
  <c r="T2374" i="3"/>
  <c r="T2196" i="3"/>
  <c r="T2339" i="3"/>
  <c r="T2264" i="3"/>
  <c r="T2221" i="3"/>
  <c r="T2180" i="3"/>
  <c r="T2217" i="3"/>
  <c r="T2440" i="3"/>
  <c r="T2304" i="3"/>
  <c r="T2240" i="3"/>
  <c r="T2375" i="3"/>
  <c r="T2367" i="3"/>
  <c r="T2373" i="3"/>
  <c r="T2174" i="3"/>
  <c r="T2378" i="3"/>
  <c r="T2248" i="3"/>
  <c r="T2323" i="3"/>
  <c r="T2269" i="3"/>
  <c r="T2256" i="3"/>
  <c r="T2401" i="3"/>
  <c r="T2402" i="3"/>
  <c r="T2335" i="3"/>
  <c r="T2413" i="3"/>
  <c r="T2206" i="3"/>
  <c r="T2415" i="3"/>
  <c r="T2167" i="3"/>
  <c r="T2273" i="3"/>
  <c r="T2288" i="3"/>
  <c r="T2296" i="3"/>
  <c r="T2327" i="3"/>
  <c r="T2353" i="3"/>
  <c r="T2379" i="3"/>
  <c r="T2412" i="3"/>
  <c r="T2222" i="3"/>
  <c r="T2354" i="3"/>
  <c r="T2250" i="3"/>
  <c r="T2428" i="3"/>
  <c r="T2292" i="3"/>
  <c r="T2272" i="3"/>
  <c r="T2237" i="3"/>
  <c r="T2275" i="3"/>
  <c r="T2358" i="3"/>
  <c r="T2266" i="3"/>
  <c r="T2252" i="3"/>
  <c r="T2316" i="3"/>
  <c r="T2368" i="3"/>
  <c r="T2350" i="3"/>
  <c r="T2193" i="3"/>
  <c r="T2236" i="3"/>
  <c r="T2383" i="3"/>
  <c r="T2302" i="3"/>
  <c r="T2410" i="3"/>
  <c r="T2241" i="3"/>
  <c r="T2382" i="3"/>
  <c r="T2325" i="3"/>
  <c r="T2200" i="3"/>
  <c r="T2187" i="3"/>
  <c r="T2416" i="3"/>
  <c r="T2320" i="3"/>
  <c r="T2370" i="3"/>
  <c r="T2207" i="3"/>
  <c r="T2199" i="3"/>
  <c r="T2271" i="3"/>
  <c r="T2305" i="3"/>
  <c r="T2289" i="3"/>
  <c r="T2233" i="3"/>
  <c r="T2371" i="3"/>
  <c r="T2427" i="3"/>
  <c r="T2307" i="3"/>
  <c r="T2341" i="3"/>
  <c r="T2238" i="3"/>
  <c r="T2391" i="3"/>
  <c r="T2326" i="3"/>
  <c r="T2357" i="3"/>
  <c r="T2436" i="3"/>
  <c r="T2328" i="3"/>
  <c r="T2398" i="3"/>
  <c r="T2404" i="3"/>
  <c r="T2381" i="3"/>
  <c r="T2235" i="3"/>
  <c r="T2426" i="3"/>
  <c r="T2390" i="3"/>
  <c r="T2220" i="3"/>
  <c r="T2198" i="3"/>
  <c r="T2210" i="3"/>
  <c r="T2386" i="3"/>
  <c r="T2246" i="3"/>
  <c r="T2442" i="3"/>
  <c r="T2212" i="3"/>
  <c r="T2234" i="3"/>
  <c r="T2366" i="3"/>
  <c r="T2243" i="3"/>
  <c r="T2334" i="3"/>
  <c r="T2369" i="3"/>
  <c r="T2388" i="3"/>
  <c r="T2168" i="3"/>
  <c r="T2409" i="3"/>
  <c r="T2362" i="3"/>
  <c r="T2255" i="3"/>
  <c r="T2211" i="3"/>
  <c r="T2342" i="3"/>
  <c r="T2308" i="3"/>
  <c r="T2397" i="3"/>
  <c r="T2429" i="3"/>
  <c r="T2281" i="3"/>
  <c r="T2439" i="3"/>
  <c r="T2417" i="3"/>
  <c r="T2227" i="3"/>
  <c r="T2425" i="3"/>
  <c r="T2338" i="3"/>
  <c r="T2232" i="3"/>
  <c r="T2278" i="3"/>
  <c r="T2432" i="3"/>
  <c r="T2171" i="3"/>
  <c r="T2170" i="3"/>
  <c r="T2299" i="3"/>
  <c r="T2384" i="3"/>
  <c r="T2172" i="3"/>
  <c r="T2433" i="3"/>
  <c r="T2372" i="3"/>
  <c r="T2279" i="3"/>
  <c r="T2387" i="3"/>
  <c r="T2300" i="3"/>
  <c r="T2317" i="3"/>
  <c r="T2203" i="3"/>
  <c r="T2363" i="3"/>
  <c r="T2377" i="3"/>
  <c r="T2201" i="3"/>
  <c r="T2394" i="3"/>
  <c r="T2277" i="3"/>
  <c r="T2301" i="3"/>
  <c r="T2332" i="3"/>
  <c r="T2411" i="3"/>
  <c r="T2219" i="3"/>
  <c r="T2176" i="3"/>
  <c r="T2247" i="3"/>
  <c r="T2330" i="3"/>
  <c r="T2179" i="3"/>
  <c r="T2400" i="3"/>
  <c r="T2226" i="3"/>
  <c r="T2430" i="3"/>
  <c r="T2202" i="3"/>
  <c r="T2173" i="3"/>
  <c r="T2395" i="3"/>
  <c r="T2293" i="3"/>
  <c r="T2230" i="3"/>
  <c r="T2267" i="3"/>
  <c r="T2197" i="3"/>
  <c r="T2406" i="3"/>
  <c r="T2194" i="3"/>
  <c r="T2265" i="3"/>
  <c r="T2177" i="3"/>
  <c r="T579" i="3"/>
  <c r="D579" i="3"/>
  <c r="D2363" i="3"/>
  <c r="D2377" i="3"/>
  <c r="D2201" i="3"/>
  <c r="D2394" i="3"/>
  <c r="D2277" i="3"/>
  <c r="D2301" i="3"/>
  <c r="D2332" i="3"/>
  <c r="D2411" i="3"/>
  <c r="D2219" i="3"/>
  <c r="D2176" i="3"/>
  <c r="D2247" i="3"/>
  <c r="D2330" i="3"/>
  <c r="D2179" i="3"/>
  <c r="D2400" i="3"/>
  <c r="D2226" i="3"/>
  <c r="D2430" i="3"/>
  <c r="D2202" i="3"/>
  <c r="D2173" i="3"/>
  <c r="D2395" i="3"/>
  <c r="D2293" i="3"/>
  <c r="D2230" i="3"/>
  <c r="D2267" i="3"/>
  <c r="D2197" i="3"/>
  <c r="D2406" i="3"/>
  <c r="D2194" i="3"/>
  <c r="D2265" i="3"/>
  <c r="D2177" i="3"/>
  <c r="D2203" i="3"/>
  <c r="D606" i="3"/>
  <c r="D587" i="3"/>
  <c r="D581" i="3"/>
  <c r="D589" i="3"/>
  <c r="D582" i="3"/>
  <c r="D593" i="3"/>
  <c r="D602" i="3"/>
  <c r="D575" i="3"/>
  <c r="D598" i="3"/>
  <c r="D595" i="3"/>
  <c r="D586" i="3"/>
  <c r="D580" i="3"/>
  <c r="D601" i="3"/>
  <c r="D578" i="3"/>
  <c r="D594" i="3"/>
  <c r="D590" i="3"/>
  <c r="D609" i="3"/>
  <c r="D607" i="3"/>
  <c r="D584" i="3"/>
  <c r="D608" i="3"/>
  <c r="D604" i="3"/>
  <c r="D605" i="3"/>
  <c r="D596" i="3"/>
  <c r="D600" i="3"/>
  <c r="D576" i="3"/>
  <c r="D599" i="3"/>
  <c r="D603" i="3"/>
  <c r="D597" i="3"/>
  <c r="D583" i="3"/>
  <c r="D592" i="3"/>
  <c r="D588" i="3"/>
  <c r="D577" i="3"/>
  <c r="D591" i="3"/>
  <c r="D585" i="3"/>
  <c r="D422" i="3"/>
  <c r="D431" i="3"/>
  <c r="D514" i="3"/>
  <c r="D414" i="3"/>
  <c r="D391" i="3"/>
  <c r="D436" i="3"/>
  <c r="D455" i="3"/>
  <c r="D398" i="3"/>
  <c r="D452" i="3"/>
  <c r="D545" i="3"/>
  <c r="D488" i="3"/>
  <c r="D483" i="3"/>
  <c r="D439" i="3"/>
  <c r="D449" i="3"/>
  <c r="D549" i="3"/>
  <c r="D413" i="3"/>
  <c r="D421" i="3"/>
  <c r="D563" i="3"/>
  <c r="D384" i="3"/>
  <c r="D548" i="3"/>
  <c r="D407" i="3"/>
  <c r="D542" i="3"/>
  <c r="D495" i="3"/>
  <c r="D406" i="3"/>
  <c r="D415" i="3"/>
  <c r="D434" i="3"/>
  <c r="D487" i="3"/>
  <c r="D509" i="3"/>
  <c r="D491" i="3"/>
  <c r="D440" i="3"/>
  <c r="D527" i="3"/>
  <c r="D498" i="3"/>
  <c r="D390" i="3"/>
  <c r="D435" i="3"/>
  <c r="D432" i="3"/>
  <c r="D573" i="3"/>
  <c r="D399" i="3"/>
  <c r="D445" i="3"/>
  <c r="D510" i="3"/>
  <c r="D501" i="3"/>
  <c r="D433" i="3"/>
  <c r="D531" i="3"/>
  <c r="D473" i="3"/>
  <c r="D408" i="3"/>
  <c r="D515" i="3"/>
  <c r="D497" i="3"/>
  <c r="D447" i="3"/>
  <c r="D562" i="3"/>
  <c r="D522" i="3"/>
  <c r="D556" i="3"/>
  <c r="D489" i="3"/>
  <c r="D470" i="3"/>
  <c r="D493" i="3"/>
  <c r="D567" i="3"/>
  <c r="D535" i="3"/>
  <c r="D547" i="3"/>
  <c r="D425" i="3"/>
  <c r="D537" i="3"/>
  <c r="D494" i="3"/>
  <c r="D397" i="3"/>
  <c r="D392" i="3"/>
  <c r="D418" i="3"/>
  <c r="D523" i="3"/>
  <c r="D416" i="3"/>
  <c r="D465" i="3"/>
  <c r="D462" i="3"/>
  <c r="D496" i="3"/>
  <c r="D464" i="3"/>
  <c r="D530" i="3"/>
  <c r="D412" i="3"/>
  <c r="D565" i="3"/>
  <c r="D411" i="3"/>
  <c r="D560" i="3"/>
  <c r="D543" i="3"/>
  <c r="D484" i="3"/>
  <c r="D400" i="3"/>
  <c r="D404" i="3"/>
  <c r="D386" i="3"/>
  <c r="D426" i="3"/>
  <c r="D502" i="3"/>
  <c r="D409" i="3"/>
  <c r="D553" i="3"/>
  <c r="D554" i="3"/>
  <c r="D520" i="3"/>
  <c r="D437" i="3"/>
  <c r="D469" i="3"/>
  <c r="D570" i="3"/>
  <c r="D518" i="3"/>
  <c r="D456" i="3"/>
  <c r="D420" i="3"/>
  <c r="D512" i="3"/>
  <c r="D387" i="3"/>
  <c r="D402" i="3"/>
  <c r="D460" i="3"/>
  <c r="D482" i="3"/>
  <c r="D506" i="3"/>
  <c r="D396" i="3"/>
  <c r="D450" i="3"/>
  <c r="D519" i="3"/>
  <c r="D458" i="3"/>
  <c r="D539" i="3"/>
  <c r="D533" i="3"/>
  <c r="D474" i="3"/>
  <c r="D544" i="3"/>
  <c r="D471" i="3"/>
  <c r="D499" i="3"/>
  <c r="D546" i="3"/>
  <c r="D444" i="3"/>
  <c r="D569" i="3"/>
  <c r="D419" i="3"/>
  <c r="D401" i="3"/>
  <c r="D555" i="3"/>
  <c r="D442" i="3"/>
  <c r="D538" i="3"/>
  <c r="D485" i="3"/>
  <c r="D568" i="3"/>
  <c r="D528" i="3"/>
  <c r="D500" i="3"/>
  <c r="D457" i="3"/>
  <c r="D552" i="3"/>
  <c r="D476" i="3"/>
  <c r="D524" i="3"/>
  <c r="D561" i="3"/>
  <c r="D503" i="3"/>
  <c r="D472" i="3"/>
  <c r="D564" i="3"/>
  <c r="D516" i="3"/>
  <c r="D453" i="3"/>
  <c r="D571" i="3"/>
  <c r="D389" i="3"/>
  <c r="D507" i="3"/>
  <c r="D403" i="3"/>
  <c r="D480" i="3"/>
  <c r="D454" i="3"/>
  <c r="D428" i="3"/>
  <c r="D478" i="3"/>
  <c r="D505" i="3"/>
  <c r="D536" i="3"/>
  <c r="D423" i="3"/>
  <c r="D385" i="3"/>
  <c r="D463" i="3"/>
  <c r="D395" i="3"/>
  <c r="D529" i="3"/>
  <c r="D551" i="3"/>
  <c r="D550" i="3"/>
  <c r="D430" i="3"/>
  <c r="D441" i="3"/>
  <c r="D410" i="3"/>
  <c r="D481" i="3"/>
  <c r="D451" i="3"/>
  <c r="D572" i="3"/>
  <c r="D486" i="3"/>
  <c r="D393" i="3"/>
  <c r="D492" i="3"/>
  <c r="D467" i="3"/>
  <c r="D541" i="3"/>
  <c r="D511" i="3"/>
  <c r="D427" i="3"/>
  <c r="D466" i="3"/>
  <c r="D532" i="3"/>
  <c r="D446" i="3"/>
  <c r="D504" i="3"/>
  <c r="D479" i="3"/>
  <c r="D388" i="3"/>
  <c r="D557" i="3"/>
  <c r="D459" i="3"/>
  <c r="D508" i="3"/>
  <c r="D566" i="3"/>
  <c r="D521" i="3"/>
  <c r="D534" i="3"/>
  <c r="D525" i="3"/>
  <c r="D490" i="3"/>
  <c r="D558" i="3"/>
  <c r="D540" i="3"/>
  <c r="D443" i="3"/>
  <c r="D559" i="3"/>
  <c r="D429" i="3"/>
  <c r="D461" i="3"/>
  <c r="D394" i="3"/>
  <c r="D468" i="3"/>
  <c r="D574" i="3"/>
  <c r="D526" i="3"/>
  <c r="D405" i="3"/>
  <c r="D513" i="3"/>
  <c r="D417" i="3"/>
  <c r="D438" i="3"/>
  <c r="D477" i="3"/>
  <c r="D475" i="3"/>
  <c r="D517" i="3"/>
  <c r="D424" i="3"/>
  <c r="D448" i="3"/>
  <c r="D372" i="3"/>
  <c r="D296" i="3"/>
  <c r="D383" i="3"/>
  <c r="D344" i="3"/>
  <c r="D336" i="3"/>
  <c r="D345" i="3"/>
  <c r="D362" i="3"/>
  <c r="D269" i="3"/>
  <c r="D276" i="3"/>
  <c r="D317" i="3"/>
  <c r="D343" i="3"/>
  <c r="D375" i="3"/>
  <c r="D348" i="3"/>
  <c r="D309" i="3"/>
  <c r="D339" i="3"/>
  <c r="D273" i="3"/>
  <c r="D373" i="3"/>
  <c r="D330" i="3"/>
  <c r="D305" i="3"/>
  <c r="D329" i="3"/>
  <c r="D315" i="3"/>
  <c r="D327" i="3"/>
  <c r="D285" i="3"/>
  <c r="D370" i="3"/>
  <c r="D275" i="3"/>
  <c r="D294" i="3"/>
  <c r="D363" i="3"/>
  <c r="D380" i="3"/>
  <c r="D368" i="3"/>
  <c r="D358" i="3"/>
  <c r="D366" i="3"/>
  <c r="D328" i="3"/>
  <c r="D365" i="3"/>
  <c r="D287" i="3"/>
  <c r="D283" i="3"/>
  <c r="D350" i="3"/>
  <c r="D300" i="3"/>
  <c r="D279" i="3"/>
  <c r="D318" i="3"/>
  <c r="D342" i="3"/>
  <c r="D347" i="3"/>
  <c r="D281" i="3"/>
  <c r="D284" i="3"/>
  <c r="D308" i="3"/>
  <c r="D313" i="3"/>
  <c r="D325" i="3"/>
  <c r="D334" i="3"/>
  <c r="D351" i="3"/>
  <c r="D361" i="3"/>
  <c r="D310" i="3"/>
  <c r="D354" i="3"/>
  <c r="D290" i="3"/>
  <c r="D312" i="3"/>
  <c r="D301" i="3"/>
  <c r="D332" i="3"/>
  <c r="D267" i="3"/>
  <c r="D302" i="3"/>
  <c r="D274" i="3"/>
  <c r="D338" i="3"/>
  <c r="D319" i="3"/>
  <c r="D314" i="3"/>
  <c r="D359" i="3"/>
  <c r="D289" i="3"/>
  <c r="D270" i="3"/>
  <c r="D299" i="3"/>
  <c r="D291" i="3"/>
  <c r="D307" i="3"/>
  <c r="D367" i="3"/>
  <c r="D272" i="3"/>
  <c r="D306" i="3"/>
  <c r="D340" i="3"/>
  <c r="D321" i="3"/>
  <c r="D286" i="3"/>
  <c r="D293" i="3"/>
  <c r="D280" i="3"/>
  <c r="D382" i="3"/>
  <c r="D349" i="3"/>
  <c r="D282" i="3"/>
  <c r="D374" i="3"/>
  <c r="D298" i="3"/>
  <c r="D324" i="3"/>
  <c r="D337" i="3"/>
  <c r="D292" i="3"/>
  <c r="D381" i="3"/>
  <c r="D278" i="3"/>
  <c r="D268" i="3"/>
  <c r="D378" i="3"/>
  <c r="D377" i="3"/>
  <c r="D303" i="3"/>
  <c r="D360" i="3"/>
  <c r="D266" i="3"/>
  <c r="D379" i="3"/>
  <c r="D323" i="3"/>
  <c r="D371" i="3"/>
  <c r="D356" i="3"/>
  <c r="D355" i="3"/>
  <c r="D364" i="3"/>
  <c r="D341" i="3"/>
  <c r="D295" i="3"/>
  <c r="D297" i="3"/>
  <c r="D326" i="3"/>
  <c r="D316" i="3"/>
  <c r="D333" i="3"/>
  <c r="D322" i="3"/>
  <c r="D331" i="3"/>
  <c r="D304" i="3"/>
  <c r="D353" i="3"/>
  <c r="D311" i="3"/>
  <c r="D335" i="3"/>
  <c r="D357" i="3"/>
  <c r="D376" i="3"/>
  <c r="D352" i="3"/>
  <c r="D369" i="3"/>
  <c r="D288" i="3"/>
  <c r="D277" i="3"/>
  <c r="D346" i="3"/>
  <c r="D320" i="3"/>
  <c r="D271" i="3"/>
  <c r="D1280" i="3"/>
  <c r="D1390" i="3"/>
  <c r="D1296" i="3"/>
  <c r="D1326" i="3"/>
  <c r="D1382" i="3"/>
  <c r="D1361" i="3"/>
  <c r="D1440" i="3"/>
  <c r="D1292" i="3"/>
  <c r="D1363" i="3"/>
  <c r="D1375" i="3"/>
  <c r="D1380" i="3"/>
  <c r="D1304" i="3"/>
  <c r="D1264" i="3"/>
  <c r="D1346" i="3"/>
  <c r="D1288" i="3"/>
  <c r="D1325" i="3"/>
  <c r="D1495" i="3"/>
  <c r="D1455" i="3"/>
  <c r="D1379" i="3"/>
  <c r="D1322" i="3"/>
  <c r="D1445" i="3"/>
  <c r="D1367" i="3"/>
  <c r="D1285" i="3"/>
  <c r="D1350" i="3"/>
  <c r="D1339" i="3"/>
  <c r="D1286" i="3"/>
  <c r="D1395" i="3"/>
  <c r="D1474" i="3"/>
  <c r="D1408" i="3"/>
  <c r="D1484" i="3"/>
  <c r="D1301" i="3"/>
  <c r="D1430" i="3"/>
  <c r="D1355" i="3"/>
  <c r="D2614" i="3"/>
  <c r="D2661" i="3"/>
  <c r="D2643" i="3"/>
  <c r="D2706" i="3"/>
  <c r="D2674" i="3"/>
  <c r="D2531" i="3"/>
  <c r="D2823" i="3"/>
  <c r="D2488" i="3"/>
  <c r="D2595" i="3"/>
  <c r="D2843" i="3"/>
  <c r="D2503" i="3"/>
  <c r="D2632" i="3"/>
  <c r="D2809" i="3"/>
  <c r="D2766" i="3"/>
  <c r="D2465" i="3"/>
  <c r="D2561" i="3"/>
  <c r="D2557" i="3"/>
  <c r="D2591" i="3"/>
  <c r="D2547" i="3"/>
  <c r="D2696" i="3"/>
  <c r="D2546" i="3"/>
  <c r="D2847" i="3"/>
  <c r="D2463" i="3"/>
  <c r="D2744" i="3"/>
  <c r="D2704" i="3"/>
  <c r="D2852" i="3"/>
  <c r="D2729" i="3"/>
  <c r="D2761" i="3"/>
  <c r="D2829" i="3"/>
  <c r="D2647" i="3"/>
  <c r="D2835" i="3"/>
  <c r="D2663" i="3"/>
  <c r="D2637" i="3"/>
  <c r="D2564" i="3"/>
  <c r="D2815" i="3"/>
  <c r="D2803" i="3"/>
  <c r="D2619" i="3"/>
  <c r="D2746" i="3"/>
  <c r="D2612" i="3"/>
  <c r="D2565" i="3"/>
  <c r="D2570" i="3"/>
  <c r="D2516" i="3"/>
  <c r="D2745" i="3"/>
  <c r="D2737" i="3"/>
  <c r="D2487" i="3"/>
  <c r="D2495" i="3"/>
  <c r="D2537" i="3"/>
  <c r="D2550" i="3"/>
  <c r="D2773" i="3"/>
  <c r="D2657" i="3"/>
  <c r="D2702" i="3"/>
  <c r="D2776" i="3"/>
  <c r="D2672" i="3"/>
  <c r="D2771" i="3"/>
  <c r="D2622" i="3"/>
  <c r="D2671" i="3"/>
  <c r="D2758" i="3"/>
  <c r="D2532" i="3"/>
  <c r="D2470" i="3"/>
  <c r="D2841" i="3"/>
  <c r="D2845" i="3"/>
  <c r="D2763" i="3"/>
  <c r="D2572" i="3"/>
  <c r="D2844" i="3"/>
  <c r="D2820" i="3"/>
  <c r="D2517" i="3"/>
  <c r="D2540" i="3"/>
  <c r="D2475" i="3"/>
  <c r="D2555" i="3"/>
  <c r="D2578" i="3"/>
  <c r="D2731" i="3"/>
  <c r="D2692" i="3"/>
  <c r="D2753" i="3"/>
  <c r="D2533" i="3"/>
  <c r="D2554" i="3"/>
  <c r="D2506" i="3"/>
  <c r="D2783" i="3"/>
  <c r="D2477" i="3"/>
  <c r="D2724" i="3"/>
  <c r="D2473" i="3"/>
  <c r="D2520" i="3"/>
  <c r="D2728" i="3"/>
  <c r="D2821" i="3"/>
  <c r="D2850" i="3"/>
  <c r="D2504" i="3"/>
  <c r="D2606" i="3"/>
  <c r="D2489" i="3"/>
  <c r="D2494" i="3"/>
  <c r="D2723" i="3"/>
  <c r="D2740" i="3"/>
  <c r="D2784" i="3"/>
  <c r="D2583" i="3"/>
  <c r="D2680" i="3"/>
  <c r="D2851" i="3"/>
  <c r="D2738" i="3"/>
  <c r="D2639" i="3"/>
  <c r="D2673" i="3"/>
  <c r="D2627" i="3"/>
  <c r="D2601" i="3"/>
  <c r="D2507" i="3"/>
  <c r="D2727" i="3"/>
  <c r="D2454" i="3"/>
  <c r="D2788" i="3"/>
  <c r="D2458" i="3"/>
  <c r="D2451" i="3"/>
  <c r="D2563" i="3"/>
  <c r="D2631" i="3"/>
  <c r="D2790" i="3"/>
  <c r="D2521" i="3"/>
  <c r="D2695" i="3"/>
  <c r="D2795" i="3"/>
  <c r="D2573" i="3"/>
  <c r="D2535" i="3"/>
  <c r="D2491" i="3"/>
  <c r="D2624" i="3"/>
  <c r="D2519" i="3"/>
  <c r="D2725" i="3"/>
  <c r="D2445" i="3"/>
  <c r="D2703" i="3"/>
  <c r="D2665" i="3"/>
  <c r="D2799" i="3"/>
  <c r="D2839" i="3"/>
  <c r="D2781" i="3"/>
  <c r="D2515" i="3"/>
  <c r="D2679" i="3"/>
  <c r="D2849" i="3"/>
  <c r="D2459" i="3"/>
  <c r="D2794" i="3"/>
  <c r="D2560" i="3"/>
  <c r="D2658" i="3"/>
  <c r="D2756" i="3"/>
  <c r="D2543" i="3"/>
  <c r="D2721" i="3"/>
  <c r="D2462" i="3"/>
  <c r="D2684" i="3"/>
  <c r="D2800" i="3"/>
  <c r="D2669" i="3"/>
  <c r="D2482" i="3"/>
  <c r="D2490" i="3"/>
  <c r="D2526" i="3"/>
  <c r="D2796" i="3"/>
  <c r="D2552" i="3"/>
  <c r="D2592" i="3"/>
  <c r="D2857" i="3"/>
  <c r="D2635" i="3"/>
  <c r="D2541" i="3"/>
  <c r="D2450" i="3"/>
  <c r="D2733" i="3"/>
  <c r="D2638" i="3"/>
  <c r="D2523" i="3"/>
  <c r="D2558" i="3"/>
  <c r="D2668" i="3"/>
  <c r="D2697" i="3"/>
  <c r="D2730" i="3"/>
  <c r="D2567" i="3"/>
  <c r="D2752" i="3"/>
  <c r="D2483" i="3"/>
  <c r="D2608" i="3"/>
  <c r="D2798" i="3"/>
  <c r="D2792" i="3"/>
  <c r="D2759" i="3"/>
  <c r="D2597" i="3"/>
  <c r="D2676" i="3"/>
  <c r="D2518" i="3"/>
  <c r="D2642" i="3"/>
  <c r="D2478" i="3"/>
  <c r="D2701" i="3"/>
  <c r="D2693" i="3"/>
  <c r="D2509" i="3"/>
  <c r="D2786" i="3"/>
  <c r="D2620" i="3"/>
  <c r="D2485" i="3"/>
  <c r="D2685" i="3"/>
  <c r="D2769" i="3"/>
  <c r="D2468" i="3"/>
  <c r="D2686" i="3"/>
  <c r="D2715" i="3"/>
  <c r="D2822" i="3"/>
  <c r="D2722" i="3"/>
  <c r="D2472" i="3"/>
  <c r="D2681" i="3"/>
  <c r="D2461" i="3"/>
  <c r="D2832" i="3"/>
  <c r="D2659" i="3"/>
  <c r="D2574" i="3"/>
  <c r="D2827" i="3"/>
  <c r="D2611" i="3"/>
  <c r="D2760" i="3"/>
  <c r="D2536" i="3"/>
  <c r="D2834" i="3"/>
  <c r="D2785" i="3"/>
  <c r="D2713" i="3"/>
  <c r="D2699" i="3"/>
  <c r="D2629" i="3"/>
  <c r="D2636" i="3"/>
  <c r="D2708" i="3"/>
  <c r="D2720" i="3"/>
  <c r="D2551" i="3"/>
  <c r="D2848" i="3"/>
  <c r="D2734" i="3"/>
  <c r="D2605" i="3"/>
  <c r="D2666" i="3"/>
  <c r="D2452" i="3"/>
  <c r="D2830" i="3"/>
  <c r="D2498" i="3"/>
  <c r="D2579" i="3"/>
  <c r="D2778" i="3"/>
  <c r="D2814" i="3"/>
  <c r="D2625" i="3"/>
  <c r="D2662" i="3"/>
  <c r="D2813" i="3"/>
  <c r="D2569" i="3"/>
  <c r="D2755" i="3"/>
  <c r="D2846" i="3"/>
  <c r="D2762" i="3"/>
  <c r="D2690" i="3"/>
  <c r="D2545" i="3"/>
  <c r="D2529" i="3"/>
  <c r="D2448" i="3"/>
  <c r="D2634" i="3"/>
  <c r="D2604" i="3"/>
  <c r="D2581" i="3"/>
  <c r="D2732" i="3"/>
  <c r="D2615" i="3"/>
  <c r="D2705" i="3"/>
  <c r="D2751" i="3"/>
  <c r="D2596" i="3"/>
  <c r="D2807" i="3"/>
  <c r="D2497" i="3"/>
  <c r="D2513" i="3"/>
  <c r="D2667" i="3"/>
  <c r="D2854" i="3"/>
  <c r="D218" i="3"/>
  <c r="D236" i="3"/>
  <c r="D214" i="3"/>
  <c r="D212" i="3"/>
  <c r="D151" i="3"/>
  <c r="D154" i="3"/>
  <c r="D215" i="3"/>
  <c r="D245" i="3"/>
  <c r="D252" i="3"/>
  <c r="D206" i="3"/>
  <c r="D255" i="3"/>
  <c r="D180" i="3"/>
  <c r="D198" i="3"/>
  <c r="D238" i="3"/>
  <c r="D153" i="3"/>
  <c r="D156" i="3"/>
  <c r="D147" i="3"/>
  <c r="D240" i="3"/>
  <c r="D138" i="3"/>
  <c r="D228" i="3"/>
  <c r="D136" i="3"/>
  <c r="D158" i="3"/>
  <c r="D133" i="3"/>
  <c r="D186" i="3"/>
  <c r="D209" i="3"/>
  <c r="D229" i="3"/>
  <c r="D262" i="3"/>
  <c r="D231" i="3"/>
  <c r="D152" i="3"/>
  <c r="D118" i="3"/>
  <c r="D167" i="3"/>
  <c r="D173" i="3"/>
  <c r="D248" i="3"/>
  <c r="D130" i="3"/>
  <c r="D155" i="3"/>
  <c r="D241" i="3"/>
  <c r="D175" i="3"/>
  <c r="D224" i="3"/>
  <c r="D132" i="3"/>
  <c r="D220" i="3"/>
  <c r="D143" i="3"/>
  <c r="D213" i="3"/>
  <c r="D257" i="3"/>
  <c r="D128" i="3"/>
  <c r="D184" i="3"/>
  <c r="D144" i="3"/>
  <c r="D201" i="3"/>
  <c r="D188" i="3"/>
  <c r="D176" i="3"/>
  <c r="D185" i="3"/>
  <c r="D208" i="3"/>
  <c r="D160" i="3"/>
  <c r="D243" i="3"/>
  <c r="D253" i="3"/>
  <c r="D190" i="3"/>
  <c r="D129" i="3"/>
  <c r="D179" i="3"/>
  <c r="D211" i="3"/>
  <c r="D164" i="3"/>
  <c r="D182" i="3"/>
  <c r="D223" i="3"/>
  <c r="D122" i="3"/>
  <c r="D163" i="3"/>
  <c r="D2750" i="3"/>
  <c r="D2836" i="3"/>
  <c r="D2607" i="3"/>
  <c r="D2542" i="3"/>
  <c r="D2480" i="3"/>
  <c r="D2688" i="3"/>
  <c r="D2549" i="3"/>
  <c r="D2508" i="3"/>
  <c r="D2623" i="3"/>
  <c r="D2630" i="3"/>
  <c r="D2793" i="3"/>
  <c r="D2716" i="3"/>
  <c r="D2512" i="3"/>
  <c r="D2787" i="3"/>
  <c r="D2710" i="3"/>
  <c r="D2840" i="3"/>
  <c r="D2609" i="3"/>
  <c r="D2700" i="3"/>
  <c r="D2559" i="3"/>
  <c r="D1521" i="3"/>
  <c r="D1475" i="3"/>
  <c r="D1283" i="3"/>
  <c r="D1517" i="3"/>
  <c r="D1384" i="3"/>
  <c r="D1508" i="3"/>
  <c r="D1324" i="3"/>
  <c r="D1528" i="3"/>
  <c r="D1392" i="3"/>
  <c r="D1352" i="3"/>
  <c r="D1282" i="3"/>
  <c r="D1426" i="3"/>
  <c r="D1262" i="3"/>
  <c r="D1349" i="3"/>
  <c r="D1307" i="3"/>
  <c r="D1252" i="3"/>
  <c r="D1265" i="3"/>
  <c r="D1370" i="3"/>
  <c r="D1438" i="3"/>
  <c r="D1320" i="3"/>
  <c r="D1276" i="3"/>
  <c r="D1535" i="3"/>
  <c r="D1315" i="3"/>
  <c r="D1540" i="3"/>
  <c r="D1552" i="3"/>
  <c r="D1316" i="3"/>
  <c r="D1442" i="3"/>
  <c r="D1457" i="3"/>
  <c r="D1294" i="3"/>
  <c r="D1485" i="3"/>
  <c r="D1329" i="3"/>
  <c r="D1488" i="3"/>
  <c r="D1483" i="3"/>
  <c r="D1398" i="3"/>
  <c r="D1323" i="3"/>
  <c r="D1406" i="3"/>
  <c r="D1251" i="3"/>
  <c r="D1351" i="3"/>
  <c r="D1513" i="3"/>
  <c r="D1257" i="3"/>
  <c r="D1402" i="3"/>
  <c r="D1409" i="3"/>
  <c r="D1327" i="3"/>
  <c r="D1496" i="3"/>
  <c r="D1334" i="3"/>
  <c r="D1460" i="3"/>
  <c r="D1359" i="3"/>
  <c r="D1371" i="3"/>
  <c r="D1434" i="3"/>
  <c r="D1295" i="3"/>
  <c r="D1407" i="3"/>
  <c r="D1437" i="3"/>
  <c r="D1461" i="3"/>
  <c r="D1444" i="3"/>
  <c r="D1397" i="3"/>
  <c r="D1412" i="3"/>
  <c r="D1279" i="3"/>
  <c r="D1459" i="3"/>
  <c r="D1374" i="3"/>
  <c r="D1522" i="3"/>
  <c r="D1258" i="3"/>
  <c r="D1267" i="3"/>
  <c r="D1290" i="3"/>
  <c r="D1391" i="3"/>
  <c r="D1518" i="3"/>
  <c r="D1249" i="3"/>
  <c r="D1365" i="3"/>
  <c r="D1469" i="3"/>
  <c r="D1492" i="3"/>
  <c r="D864" i="3"/>
  <c r="D1000" i="3"/>
  <c r="D941" i="3"/>
  <c r="D803" i="3"/>
  <c r="D1011" i="3"/>
  <c r="D645" i="3"/>
  <c r="D779" i="3"/>
  <c r="D646" i="3"/>
  <c r="D1148" i="3"/>
  <c r="D783" i="3"/>
  <c r="D663" i="3"/>
  <c r="D1162" i="3"/>
  <c r="D1041" i="3"/>
  <c r="D787" i="3"/>
  <c r="D704" i="3"/>
  <c r="D954" i="3"/>
  <c r="D626" i="3"/>
  <c r="D1104" i="3"/>
  <c r="D614" i="3"/>
  <c r="D1186" i="3"/>
  <c r="D835" i="3"/>
  <c r="D1192" i="3"/>
  <c r="D897" i="3"/>
  <c r="D1244" i="3"/>
  <c r="D1061" i="3"/>
  <c r="D889" i="3"/>
  <c r="D1163" i="3"/>
  <c r="D669" i="3"/>
  <c r="D1159" i="3"/>
  <c r="D613" i="3"/>
  <c r="D1171" i="3"/>
  <c r="D1053" i="3"/>
  <c r="D1042" i="3"/>
  <c r="D1051" i="3"/>
  <c r="D932" i="3"/>
  <c r="D1131" i="3"/>
  <c r="D882" i="3"/>
  <c r="D1123" i="3"/>
  <c r="D1014" i="3"/>
  <c r="D1197" i="3"/>
  <c r="D983" i="3"/>
  <c r="D1046" i="3"/>
  <c r="D970" i="3"/>
  <c r="D840" i="3"/>
  <c r="D654" i="3"/>
  <c r="D971" i="3"/>
  <c r="D1127" i="3"/>
  <c r="D956" i="3"/>
  <c r="D1122" i="3"/>
  <c r="D753" i="3"/>
  <c r="D1118" i="3"/>
  <c r="D924" i="3"/>
  <c r="D1215" i="3"/>
  <c r="D878" i="3"/>
  <c r="D1109" i="3"/>
  <c r="D844" i="3"/>
  <c r="D848" i="3"/>
  <c r="D1179" i="3"/>
  <c r="D789" i="3"/>
  <c r="D1084" i="3"/>
  <c r="D833" i="3"/>
  <c r="D999" i="3"/>
  <c r="D1198" i="3"/>
  <c r="D711" i="3"/>
  <c r="D698" i="3"/>
  <c r="D1152" i="3"/>
  <c r="D867" i="3"/>
  <c r="D1021" i="3"/>
  <c r="D1080" i="3"/>
  <c r="D633" i="3"/>
  <c r="D1230" i="3"/>
  <c r="D644" i="3"/>
  <c r="D808" i="3"/>
  <c r="D683" i="3"/>
  <c r="D1231" i="3"/>
  <c r="D662" i="3"/>
  <c r="D937" i="3"/>
  <c r="D1083" i="3"/>
  <c r="D1170" i="3"/>
  <c r="D1108" i="3"/>
  <c r="D842" i="3"/>
  <c r="D1220" i="3"/>
  <c r="D1140" i="3"/>
  <c r="D861" i="3"/>
  <c r="D986" i="3"/>
  <c r="D1062" i="3"/>
  <c r="D1216" i="3"/>
  <c r="D735" i="3"/>
  <c r="D792" i="3"/>
  <c r="D988" i="3"/>
  <c r="D811" i="3"/>
  <c r="D1155" i="3"/>
  <c r="D1126" i="3"/>
  <c r="D746" i="3"/>
  <c r="D1232" i="3"/>
  <c r="D991" i="3"/>
  <c r="D1028" i="3"/>
  <c r="D721" i="3"/>
  <c r="D969" i="3"/>
  <c r="D1097" i="3"/>
  <c r="D705" i="3"/>
  <c r="D758" i="3"/>
  <c r="D898" i="3"/>
  <c r="D1022" i="3"/>
  <c r="D784" i="3"/>
  <c r="D1081" i="3"/>
  <c r="D965" i="3"/>
  <c r="D955" i="3"/>
  <c r="D877" i="3"/>
  <c r="D834" i="3"/>
  <c r="D1032" i="3"/>
  <c r="D1119" i="3"/>
  <c r="D702" i="3"/>
  <c r="D1223" i="3"/>
  <c r="D643" i="3"/>
  <c r="D1196" i="3"/>
  <c r="D640" i="3"/>
  <c r="D610" i="3"/>
  <c r="D714" i="3"/>
  <c r="D1004" i="3"/>
  <c r="D1137" i="3"/>
  <c r="D1054" i="3"/>
  <c r="D1105" i="3"/>
  <c r="D652" i="3"/>
  <c r="D1050" i="3"/>
  <c r="D744" i="3"/>
  <c r="D767" i="3"/>
  <c r="D1012" i="3"/>
  <c r="D1203" i="3"/>
  <c r="D809" i="3"/>
  <c r="D1017" i="3"/>
  <c r="D910" i="3"/>
  <c r="D1038" i="3"/>
  <c r="D914" i="3"/>
  <c r="D1211" i="3"/>
  <c r="D641" i="3"/>
  <c r="D661" i="3"/>
  <c r="D615" i="3"/>
  <c r="D780" i="3"/>
  <c r="D1065" i="3"/>
  <c r="D1005" i="3"/>
  <c r="D1138" i="3"/>
  <c r="D935" i="3"/>
  <c r="D1219" i="3"/>
  <c r="D993" i="3"/>
  <c r="D664" i="3"/>
  <c r="D1150" i="3"/>
  <c r="D670" i="3"/>
  <c r="D793" i="3"/>
  <c r="D690" i="3"/>
  <c r="D755" i="3"/>
  <c r="D822" i="3"/>
  <c r="D957" i="3"/>
  <c r="D1099" i="3"/>
  <c r="D961" i="3"/>
  <c r="D812" i="3"/>
  <c r="D1052" i="3"/>
  <c r="D699" i="3"/>
  <c r="D617" i="3"/>
  <c r="D916" i="3"/>
  <c r="D1086" i="3"/>
  <c r="D1234" i="3"/>
  <c r="D1007" i="3"/>
  <c r="D1187" i="3"/>
  <c r="D1195" i="3"/>
  <c r="D689" i="3"/>
  <c r="D1161" i="3"/>
  <c r="D1024" i="3"/>
  <c r="D929" i="3"/>
  <c r="D936" i="3"/>
  <c r="D1174" i="3"/>
  <c r="D1079" i="3"/>
  <c r="D1078" i="3"/>
  <c r="D775" i="3"/>
  <c r="D966" i="3"/>
  <c r="D817" i="3"/>
  <c r="D1075" i="3"/>
  <c r="D830" i="3"/>
  <c r="D741" i="3"/>
  <c r="D909" i="3"/>
  <c r="D632" i="3"/>
  <c r="D1184" i="3"/>
  <c r="D1206" i="3"/>
  <c r="D911" i="3"/>
  <c r="D786" i="3"/>
  <c r="D1089" i="3"/>
  <c r="D1033" i="3"/>
  <c r="D1154" i="3"/>
  <c r="D847" i="3"/>
  <c r="D724" i="3"/>
  <c r="D790" i="3"/>
  <c r="D1209" i="3"/>
  <c r="D874" i="3"/>
  <c r="D919" i="3"/>
  <c r="D1039" i="3"/>
  <c r="D1175" i="3"/>
  <c r="D1001" i="3"/>
  <c r="D853" i="3"/>
  <c r="D759" i="3"/>
  <c r="D891" i="3"/>
  <c r="D650" i="3"/>
  <c r="D1185" i="3"/>
  <c r="D773" i="3"/>
  <c r="D801" i="3"/>
  <c r="D712" i="3"/>
  <c r="D1125" i="3"/>
  <c r="D921" i="3"/>
  <c r="D852" i="3"/>
  <c r="D651" i="3"/>
  <c r="D748" i="3"/>
  <c r="D785" i="3"/>
  <c r="D762" i="3"/>
  <c r="D674" i="3"/>
  <c r="D726" i="3"/>
  <c r="D944" i="3"/>
  <c r="D818" i="3"/>
  <c r="D727" i="3"/>
  <c r="D686" i="3"/>
  <c r="D660" i="3"/>
  <c r="D1019" i="3"/>
  <c r="D781" i="3"/>
  <c r="D994" i="3"/>
  <c r="D906" i="3"/>
  <c r="D902" i="3"/>
  <c r="D992" i="3"/>
  <c r="D907" i="3"/>
  <c r="D694" i="3"/>
  <c r="D1085" i="3"/>
  <c r="D1030" i="3"/>
  <c r="D1009" i="3"/>
  <c r="D1020" i="3"/>
  <c r="D982" i="3"/>
  <c r="D1136" i="3"/>
  <c r="D1040" i="3"/>
  <c r="D679" i="3"/>
  <c r="D925" i="3"/>
  <c r="D772" i="3"/>
  <c r="D675" i="3"/>
  <c r="D676" i="3"/>
  <c r="D964" i="3"/>
  <c r="D875" i="3"/>
  <c r="D1141" i="3"/>
  <c r="D915" i="3"/>
  <c r="D870" i="3"/>
  <c r="D1087" i="3"/>
  <c r="D769" i="3"/>
  <c r="D855" i="3"/>
  <c r="D927" i="3"/>
  <c r="D1172" i="3"/>
  <c r="D718" i="3"/>
  <c r="D642" i="3"/>
  <c r="D1107" i="3"/>
  <c r="D1142" i="3"/>
  <c r="D1224" i="3"/>
  <c r="D922" i="3"/>
  <c r="D682" i="3"/>
  <c r="D655" i="3"/>
  <c r="D1169" i="3"/>
  <c r="D904" i="3"/>
  <c r="D619" i="3"/>
  <c r="D828" i="3"/>
  <c r="D1218" i="3"/>
  <c r="D1115" i="3"/>
  <c r="D687" i="3"/>
  <c r="D1015" i="3"/>
  <c r="D951" i="3"/>
  <c r="D871" i="3"/>
  <c r="D791" i="3"/>
  <c r="D953" i="3"/>
  <c r="D1145" i="3"/>
  <c r="D732" i="3"/>
  <c r="D1204" i="3"/>
  <c r="D865" i="3"/>
  <c r="D1217" i="3"/>
  <c r="D747" i="3"/>
  <c r="D1037" i="3"/>
  <c r="D625" i="3"/>
  <c r="D799" i="3"/>
  <c r="D629" i="3"/>
  <c r="D1165" i="3"/>
  <c r="D1241" i="3"/>
  <c r="D1103" i="3"/>
  <c r="D1067" i="3"/>
  <c r="D737" i="3"/>
  <c r="D1016" i="3"/>
  <c r="D837" i="3"/>
  <c r="D795" i="3"/>
  <c r="D622" i="3"/>
  <c r="D980" i="3"/>
  <c r="D892" i="3"/>
  <c r="D920" i="3"/>
  <c r="D1036" i="3"/>
  <c r="D940" i="3"/>
  <c r="D659" i="3"/>
  <c r="D918" i="3"/>
  <c r="D862" i="3"/>
  <c r="D1055" i="3"/>
  <c r="D849" i="3"/>
  <c r="D823" i="3"/>
  <c r="D760" i="3"/>
  <c r="D1090" i="3"/>
  <c r="D854" i="3"/>
  <c r="D709" i="3"/>
  <c r="D1225" i="3"/>
  <c r="D1139" i="3"/>
  <c r="D1088" i="3"/>
  <c r="D856" i="3"/>
  <c r="D685" i="3"/>
  <c r="D1178" i="3"/>
  <c r="D952" i="3"/>
  <c r="D1111" i="3"/>
  <c r="D949" i="3"/>
  <c r="D728" i="3"/>
  <c r="D873" i="3"/>
  <c r="D719" i="3"/>
  <c r="D730" i="3"/>
  <c r="D938" i="3"/>
  <c r="D1183" i="3"/>
  <c r="D881" i="3"/>
  <c r="D1049" i="3"/>
  <c r="D778" i="3"/>
  <c r="D649" i="3"/>
  <c r="D1189" i="3"/>
  <c r="D713" i="3"/>
  <c r="D700" i="3"/>
  <c r="D838" i="3"/>
  <c r="D725" i="3"/>
  <c r="D1235" i="3"/>
  <c r="D928" i="3"/>
  <c r="D1057" i="3"/>
  <c r="D948" i="3"/>
  <c r="D1091" i="3"/>
  <c r="D656" i="3"/>
  <c r="D930" i="3"/>
  <c r="D1157" i="3"/>
  <c r="D1193" i="3"/>
  <c r="D802" i="3"/>
  <c r="D628" i="3"/>
  <c r="D858" i="3"/>
  <c r="D1135" i="3"/>
  <c r="D814" i="3"/>
  <c r="D831" i="3"/>
  <c r="D851" i="3"/>
  <c r="D1173" i="3"/>
  <c r="D883" i="3"/>
  <c r="D624" i="3"/>
  <c r="D720" i="3"/>
  <c r="D1121" i="3"/>
  <c r="D1153" i="3"/>
  <c r="D710" i="3"/>
  <c r="D749" i="3"/>
  <c r="D738" i="3"/>
  <c r="D668" i="3"/>
  <c r="D913" i="3"/>
  <c r="D868" i="3"/>
  <c r="D794" i="3"/>
  <c r="D688" i="3"/>
  <c r="D880" i="3"/>
  <c r="D1068" i="3"/>
  <c r="D1229" i="3"/>
  <c r="D756" i="3"/>
  <c r="D1168" i="3"/>
  <c r="D681" i="3"/>
  <c r="D1222" i="3"/>
  <c r="D821" i="3"/>
  <c r="D826" i="3"/>
  <c r="D958" i="3"/>
  <c r="D1164" i="3"/>
  <c r="D1029" i="3"/>
  <c r="D887" i="3"/>
  <c r="D621" i="3"/>
  <c r="D987" i="3"/>
  <c r="D665" i="3"/>
  <c r="D696" i="3"/>
  <c r="D1031" i="3"/>
  <c r="D1110" i="3"/>
  <c r="D770" i="3"/>
  <c r="D807" i="3"/>
  <c r="D673" i="3"/>
  <c r="D734" i="3"/>
  <c r="D706" i="3"/>
  <c r="D1003" i="3"/>
  <c r="D797" i="3"/>
  <c r="D742" i="3"/>
  <c r="D901" i="3"/>
  <c r="D666" i="3"/>
  <c r="D1045" i="3"/>
  <c r="D886" i="3"/>
  <c r="D876" i="3"/>
  <c r="D973" i="3"/>
  <c r="D96" i="3"/>
  <c r="D112" i="3"/>
  <c r="D88" i="3"/>
  <c r="D106" i="3"/>
  <c r="D104" i="3"/>
  <c r="D98" i="3"/>
  <c r="D100" i="3"/>
  <c r="D114" i="3"/>
  <c r="D91" i="3"/>
  <c r="D102" i="3"/>
  <c r="D111" i="3"/>
  <c r="D95" i="3"/>
  <c r="D97" i="3"/>
  <c r="D113" i="3"/>
  <c r="D99" i="3"/>
  <c r="D107" i="3"/>
  <c r="D110" i="3"/>
  <c r="D101" i="3"/>
  <c r="D109" i="3"/>
  <c r="D105" i="3"/>
  <c r="D94" i="3"/>
  <c r="D116" i="3"/>
  <c r="D108" i="3"/>
  <c r="D90" i="3"/>
  <c r="D117" i="3"/>
  <c r="D115" i="3"/>
  <c r="D103" i="3"/>
  <c r="D89" i="3"/>
  <c r="D93" i="3"/>
  <c r="D92" i="3"/>
  <c r="D254" i="3"/>
  <c r="D197" i="3"/>
  <c r="D123" i="3"/>
  <c r="D120" i="3"/>
  <c r="D219" i="3"/>
  <c r="D162" i="3"/>
  <c r="D148" i="3"/>
  <c r="D226" i="3"/>
  <c r="D199" i="3"/>
  <c r="D183" i="3"/>
  <c r="D207" i="3"/>
  <c r="D181" i="3"/>
  <c r="D194" i="3"/>
  <c r="D225" i="3"/>
  <c r="D137" i="3"/>
  <c r="D205" i="3"/>
  <c r="D131" i="3"/>
  <c r="D234" i="3"/>
  <c r="D146" i="3"/>
  <c r="D227" i="3"/>
  <c r="D170" i="3"/>
  <c r="D149" i="3"/>
  <c r="D232" i="3"/>
  <c r="D210" i="3"/>
  <c r="D139" i="3"/>
  <c r="D246" i="3"/>
  <c r="D142" i="3"/>
  <c r="D140" i="3"/>
  <c r="D251" i="3"/>
  <c r="D235" i="3"/>
  <c r="D217" i="3"/>
  <c r="D204" i="3"/>
  <c r="D177" i="3"/>
  <c r="D125" i="3"/>
  <c r="D202" i="3"/>
  <c r="D124" i="3"/>
  <c r="D189" i="3"/>
  <c r="D264" i="3"/>
  <c r="D261" i="3"/>
  <c r="D221" i="3"/>
  <c r="D127" i="3"/>
  <c r="D258" i="3"/>
  <c r="D203" i="3"/>
  <c r="D222" i="3"/>
  <c r="D237" i="3"/>
  <c r="D145" i="3"/>
  <c r="D216" i="3"/>
  <c r="D135" i="3"/>
  <c r="D165" i="3"/>
  <c r="D174" i="3"/>
  <c r="D260" i="3"/>
  <c r="D157" i="3"/>
  <c r="D259" i="3"/>
  <c r="D119" i="3"/>
  <c r="D166" i="3"/>
  <c r="D134" i="3"/>
  <c r="D187" i="3"/>
  <c r="D233" i="3"/>
  <c r="D159" i="3"/>
  <c r="D171" i="3"/>
  <c r="D161" i="3"/>
  <c r="D178" i="3"/>
  <c r="D200" i="3"/>
  <c r="D250" i="3"/>
  <c r="D196" i="3"/>
  <c r="D230" i="3"/>
  <c r="D141" i="3"/>
  <c r="D126" i="3"/>
  <c r="D191" i="3"/>
  <c r="D256" i="3"/>
  <c r="D169" i="3"/>
  <c r="D193" i="3"/>
  <c r="D195" i="3"/>
  <c r="D249" i="3"/>
  <c r="D247" i="3"/>
  <c r="D265" i="3"/>
  <c r="D263" i="3"/>
  <c r="D172" i="3"/>
  <c r="D242" i="3"/>
  <c r="D121" i="3"/>
  <c r="D150" i="3"/>
  <c r="D168" i="3"/>
  <c r="D192" i="3"/>
  <c r="D239" i="3"/>
  <c r="D244" i="3"/>
  <c r="D2034" i="3"/>
  <c r="D1972" i="3"/>
  <c r="D1966" i="3"/>
  <c r="D2090" i="3"/>
  <c r="D2092" i="3"/>
  <c r="D2038" i="3"/>
  <c r="D2067" i="3"/>
  <c r="D1975" i="3"/>
  <c r="D2151" i="3"/>
  <c r="D2041" i="3"/>
  <c r="D2160" i="3"/>
  <c r="D1976" i="3"/>
  <c r="D2089" i="3"/>
  <c r="D2111" i="3"/>
  <c r="D2059" i="3"/>
  <c r="D2126" i="3"/>
  <c r="D1988" i="3"/>
  <c r="D1969" i="3"/>
  <c r="D2130" i="3"/>
  <c r="D2114" i="3"/>
  <c r="D2012" i="3"/>
  <c r="D2079" i="3"/>
  <c r="D2031" i="3"/>
  <c r="D1937" i="3"/>
  <c r="D2063" i="3"/>
  <c r="D2066" i="3"/>
  <c r="D2132" i="3"/>
  <c r="D1963" i="3"/>
  <c r="D2071" i="3"/>
  <c r="D1993" i="3"/>
  <c r="D2083" i="3"/>
  <c r="D2062" i="3"/>
  <c r="D2162" i="3"/>
  <c r="D2045" i="3"/>
  <c r="D2001" i="3"/>
  <c r="D1971" i="3"/>
  <c r="D2129" i="3"/>
  <c r="D1991" i="3"/>
  <c r="D2064" i="3"/>
  <c r="D1961" i="3"/>
  <c r="D2149" i="3"/>
  <c r="D2047" i="3"/>
  <c r="D2084" i="3"/>
  <c r="D2161" i="3"/>
  <c r="D1962" i="3"/>
  <c r="D2163" i="3"/>
  <c r="D1981" i="3"/>
  <c r="D2146" i="3"/>
  <c r="D2095" i="3"/>
  <c r="D1954" i="3"/>
  <c r="D2115" i="3"/>
  <c r="D2124" i="3"/>
  <c r="D2029" i="3"/>
  <c r="D2150" i="3"/>
  <c r="D1985" i="3"/>
  <c r="D1997" i="3"/>
  <c r="D2073" i="3"/>
  <c r="D2133" i="3"/>
  <c r="D2106" i="3"/>
  <c r="D2065" i="3"/>
  <c r="D2166" i="3"/>
  <c r="D2107" i="3"/>
  <c r="D2138" i="3"/>
  <c r="D2099" i="3"/>
  <c r="D2009" i="3"/>
  <c r="D2042" i="3"/>
  <c r="D1992" i="3"/>
  <c r="D1951" i="3"/>
  <c r="D2165" i="3"/>
  <c r="D1946" i="3"/>
  <c r="D1984" i="3"/>
  <c r="D2035" i="3"/>
  <c r="D2121" i="3"/>
  <c r="D2093" i="3"/>
  <c r="D2113" i="3"/>
  <c r="D1979" i="3"/>
  <c r="D2051" i="3"/>
  <c r="D2097" i="3"/>
  <c r="D1939" i="3"/>
  <c r="D1978" i="3"/>
  <c r="D2003" i="3"/>
  <c r="D1948" i="3"/>
  <c r="D2005" i="3"/>
  <c r="D1940" i="3"/>
  <c r="D2057" i="3"/>
  <c r="D2052" i="3"/>
  <c r="D1956" i="3"/>
  <c r="D2153" i="3"/>
  <c r="D1986" i="3"/>
  <c r="D2154" i="3"/>
  <c r="D2050" i="3"/>
  <c r="D1949" i="3"/>
  <c r="D2022" i="3"/>
  <c r="D2014" i="3"/>
  <c r="D2056" i="3"/>
  <c r="D2104" i="3"/>
  <c r="D1955" i="3"/>
  <c r="D2061" i="3"/>
  <c r="D1943" i="3"/>
  <c r="D2152" i="3"/>
  <c r="D2100" i="3"/>
  <c r="D2142" i="3"/>
  <c r="D1998" i="3"/>
  <c r="D1982" i="3"/>
  <c r="D2077" i="3"/>
  <c r="D2013" i="3"/>
  <c r="D2123" i="3"/>
  <c r="D2116" i="3"/>
  <c r="D1945" i="3"/>
  <c r="D1994" i="3"/>
  <c r="D1936" i="3"/>
  <c r="D1999" i="3"/>
  <c r="D2039" i="3"/>
  <c r="D2086" i="3"/>
  <c r="D1965" i="3"/>
  <c r="D2109" i="3"/>
  <c r="D2144" i="3"/>
  <c r="D2002" i="3"/>
  <c r="D2112" i="3"/>
  <c r="D2148" i="3"/>
  <c r="D2131" i="3"/>
  <c r="D2134" i="3"/>
  <c r="D2028" i="3"/>
  <c r="D2141" i="3"/>
  <c r="D2140" i="3"/>
  <c r="D2021" i="3"/>
  <c r="D1959" i="3"/>
  <c r="D1995" i="3"/>
  <c r="D1973" i="3"/>
  <c r="D2000" i="3"/>
  <c r="D2044" i="3"/>
  <c r="D2118" i="3"/>
  <c r="D2032" i="3"/>
  <c r="D2155" i="3"/>
  <c r="D1968" i="3"/>
  <c r="D2058" i="3"/>
  <c r="D2036" i="3"/>
  <c r="D2068" i="3"/>
  <c r="D2075" i="3"/>
  <c r="D2048" i="3"/>
  <c r="D2080" i="3"/>
  <c r="D2016" i="3"/>
  <c r="D2105" i="3"/>
  <c r="D2135" i="3"/>
  <c r="D2054" i="3"/>
  <c r="D1950" i="3"/>
  <c r="D2010" i="3"/>
  <c r="D2018" i="3"/>
  <c r="D1952" i="3"/>
  <c r="D1938" i="3"/>
  <c r="D2098" i="3"/>
  <c r="D2082" i="3"/>
  <c r="D2026" i="3"/>
  <c r="D1974" i="3"/>
  <c r="D2074" i="3"/>
  <c r="D2020" i="3"/>
  <c r="D2120" i="3"/>
  <c r="D2081" i="3"/>
  <c r="D2019" i="3"/>
  <c r="D2004" i="3"/>
  <c r="D1935" i="3"/>
  <c r="D2147" i="3"/>
  <c r="D2143" i="3"/>
  <c r="D2139" i="3"/>
  <c r="D1957" i="3"/>
  <c r="D1942" i="3"/>
  <c r="D1964" i="3"/>
  <c r="D1960" i="3"/>
  <c r="D2024" i="3"/>
  <c r="D2043" i="3"/>
  <c r="D2049" i="3"/>
  <c r="D2110" i="3"/>
  <c r="D1977" i="3"/>
  <c r="D1970" i="3"/>
  <c r="D2006" i="3"/>
  <c r="D2101" i="3"/>
  <c r="D2087" i="3"/>
  <c r="D2025" i="3"/>
  <c r="D2027" i="3"/>
  <c r="D1983" i="3"/>
  <c r="D2069" i="3"/>
  <c r="D2078" i="3"/>
  <c r="D2119" i="3"/>
  <c r="D2023" i="3"/>
  <c r="D1947" i="3"/>
  <c r="D2076" i="3"/>
  <c r="D2108" i="3"/>
  <c r="D2128" i="3"/>
  <c r="D1941" i="3"/>
  <c r="D2102" i="3"/>
  <c r="D1996" i="3"/>
  <c r="D2046" i="3"/>
  <c r="D2157" i="3"/>
  <c r="D1980" i="3"/>
  <c r="D2008" i="3"/>
  <c r="D2072" i="3"/>
  <c r="D2011" i="3"/>
  <c r="D1967" i="3"/>
  <c r="D2037" i="3"/>
  <c r="D2007" i="3"/>
  <c r="D2159" i="3"/>
  <c r="D2040" i="3"/>
  <c r="D2145" i="3"/>
  <c r="D2094" i="3"/>
  <c r="D2030" i="3"/>
  <c r="D2125" i="3"/>
  <c r="D2096" i="3"/>
  <c r="D2060" i="3"/>
  <c r="D1958" i="3"/>
  <c r="D2158" i="3"/>
  <c r="D2053" i="3"/>
  <c r="D1989" i="3"/>
  <c r="D2117" i="3"/>
  <c r="D1987" i="3"/>
  <c r="D2164" i="3"/>
  <c r="D2127" i="3"/>
  <c r="D2091" i="3"/>
  <c r="D2033" i="3"/>
  <c r="D2070" i="3"/>
  <c r="D1990" i="3"/>
  <c r="D2156" i="3"/>
  <c r="D2103" i="3"/>
  <c r="D2017" i="3"/>
  <c r="D1944" i="3"/>
  <c r="D2055" i="3"/>
  <c r="D2015" i="3"/>
  <c r="D2136" i="3"/>
  <c r="D2122" i="3"/>
  <c r="D2088" i="3"/>
  <c r="D2137" i="3"/>
  <c r="D1953" i="3"/>
  <c r="D2085" i="3"/>
  <c r="D1238" i="3"/>
  <c r="D1237" i="3"/>
  <c r="D950" i="3"/>
  <c r="D1205" i="3"/>
  <c r="D630" i="3"/>
  <c r="D866" i="3"/>
  <c r="D647" i="3"/>
  <c r="D869" i="3"/>
  <c r="D959" i="3"/>
  <c r="D798" i="3"/>
  <c r="D890" i="3"/>
  <c r="D1130" i="3"/>
  <c r="D736" i="3"/>
  <c r="D680" i="3"/>
  <c r="D1242" i="3"/>
  <c r="D1149" i="3"/>
  <c r="D1158" i="3"/>
  <c r="D976" i="3"/>
  <c r="D691" i="3"/>
  <c r="D771" i="3"/>
  <c r="D1092" i="3"/>
  <c r="D715" i="3"/>
  <c r="D979" i="3"/>
  <c r="D1058" i="3"/>
  <c r="D1026" i="3"/>
  <c r="D627" i="3"/>
  <c r="D1082" i="3"/>
  <c r="D1202" i="3"/>
  <c r="D863" i="3"/>
  <c r="D1048" i="3"/>
  <c r="D816" i="3"/>
  <c r="D667" i="3"/>
  <c r="D934" i="3"/>
  <c r="D947" i="3"/>
  <c r="D1035" i="3"/>
  <c r="D764" i="3"/>
  <c r="D1182" i="3"/>
  <c r="D857" i="3"/>
  <c r="D716" i="3"/>
  <c r="D1212" i="3"/>
  <c r="D825" i="3"/>
  <c r="D962" i="3"/>
  <c r="D1094" i="3"/>
  <c r="D671" i="3"/>
  <c r="D1146" i="3"/>
  <c r="D1117" i="3"/>
  <c r="D1188" i="3"/>
  <c r="D768" i="3"/>
  <c r="D635" i="3"/>
  <c r="D981" i="3"/>
  <c r="D1066" i="3"/>
  <c r="D903" i="3"/>
  <c r="D1116" i="3"/>
  <c r="D829" i="3"/>
  <c r="D740" i="3"/>
  <c r="D1214" i="3"/>
  <c r="D1043" i="3"/>
  <c r="D612" i="3"/>
  <c r="D860" i="3"/>
  <c r="D1181" i="3"/>
  <c r="D1240" i="3"/>
  <c r="D820" i="3"/>
  <c r="D1071" i="3"/>
  <c r="D1072" i="3"/>
  <c r="D1044" i="3"/>
  <c r="D722" i="3"/>
  <c r="D1027" i="3"/>
  <c r="D899" i="3"/>
  <c r="D985" i="3"/>
  <c r="D1227" i="3"/>
  <c r="D974" i="3"/>
  <c r="D1176" i="3"/>
  <c r="D717" i="3"/>
  <c r="D879" i="3"/>
  <c r="D1199" i="3"/>
  <c r="D1177" i="3"/>
  <c r="D804" i="3"/>
  <c r="D1002" i="3"/>
  <c r="D931" i="3"/>
  <c r="D743" i="3"/>
  <c r="D777" i="3"/>
  <c r="D997" i="3"/>
  <c r="D1100" i="3"/>
  <c r="D1034" i="3"/>
  <c r="D850" i="3"/>
  <c r="D1047" i="3"/>
  <c r="D1213" i="3"/>
  <c r="D839" i="3"/>
  <c r="D695" i="3"/>
  <c r="D1112" i="3"/>
  <c r="D637" i="3"/>
  <c r="D859" i="3"/>
  <c r="D1167" i="3"/>
  <c r="D1191" i="3"/>
  <c r="D1064" i="3"/>
  <c r="D1095" i="3"/>
  <c r="D1124" i="3"/>
  <c r="D1133" i="3"/>
  <c r="D1156" i="3"/>
  <c r="D1106" i="3"/>
  <c r="D1143" i="3"/>
  <c r="D1013" i="3"/>
  <c r="D1210" i="3"/>
  <c r="D751" i="3"/>
  <c r="D1059" i="3"/>
  <c r="D723" i="3"/>
  <c r="D1233" i="3"/>
  <c r="D693" i="3"/>
  <c r="D1023" i="3"/>
  <c r="D896" i="3"/>
  <c r="D845" i="3"/>
  <c r="D611" i="3"/>
  <c r="D731" i="3"/>
  <c r="D1228" i="3"/>
  <c r="D960" i="3"/>
  <c r="D990" i="3"/>
  <c r="D684" i="3"/>
  <c r="D739" i="3"/>
  <c r="D872" i="3"/>
  <c r="D893" i="3"/>
  <c r="D800" i="3"/>
  <c r="D1180" i="3"/>
  <c r="D977" i="3"/>
  <c r="D888" i="3"/>
  <c r="D978" i="3"/>
  <c r="D908" i="3"/>
  <c r="D776" i="3"/>
  <c r="D658" i="3"/>
  <c r="D1101" i="3"/>
  <c r="D894" i="3"/>
  <c r="D945" i="3"/>
  <c r="D1096" i="3"/>
  <c r="D1226" i="3"/>
  <c r="D900" i="3"/>
  <c r="D1093" i="3"/>
  <c r="D1025" i="3"/>
  <c r="D824" i="3"/>
  <c r="D763" i="3"/>
  <c r="D631" i="3"/>
  <c r="D707" i="3"/>
  <c r="D1208" i="3"/>
  <c r="D733" i="3"/>
  <c r="D782" i="3"/>
  <c r="D1069" i="3"/>
  <c r="D805" i="3"/>
  <c r="D813" i="3"/>
  <c r="D697" i="3"/>
  <c r="D623" i="3"/>
  <c r="D1236" i="3"/>
  <c r="D975" i="3"/>
  <c r="D1008" i="3"/>
  <c r="D1134" i="3"/>
  <c r="D996" i="3"/>
  <c r="D1076" i="3"/>
  <c r="D1144" i="3"/>
  <c r="D1166" i="3"/>
  <c r="D1018" i="3"/>
  <c r="D942" i="3"/>
  <c r="D912" i="3"/>
  <c r="D754" i="3"/>
  <c r="D1113" i="3"/>
  <c r="D810" i="3"/>
  <c r="D1077" i="3"/>
  <c r="D832" i="3"/>
  <c r="D761" i="3"/>
  <c r="D1243" i="3"/>
  <c r="D1073" i="3"/>
  <c r="D653" i="3"/>
  <c r="D774" i="3"/>
  <c r="D708" i="3"/>
  <c r="D618" i="3"/>
  <c r="D846" i="3"/>
  <c r="D677" i="3"/>
  <c r="D1060" i="3"/>
  <c r="D745" i="3"/>
  <c r="D968" i="3"/>
  <c r="D1074" i="3"/>
  <c r="D678" i="3"/>
  <c r="D1006" i="3"/>
  <c r="D648" i="3"/>
  <c r="D766" i="3"/>
  <c r="D1147" i="3"/>
  <c r="D926" i="3"/>
  <c r="D616" i="3"/>
  <c r="D815" i="3"/>
  <c r="D757" i="3"/>
  <c r="D1129" i="3"/>
  <c r="D1190" i="3"/>
  <c r="D943" i="3"/>
  <c r="D995" i="3"/>
  <c r="D806" i="3"/>
  <c r="D917" i="3"/>
  <c r="D634" i="3"/>
  <c r="D963" i="3"/>
  <c r="D1098" i="3"/>
  <c r="D765" i="3"/>
  <c r="D750" i="3"/>
  <c r="D1200" i="3"/>
  <c r="D639" i="3"/>
  <c r="D967" i="3"/>
  <c r="D672" i="3"/>
  <c r="D701" i="3"/>
  <c r="D1239" i="3"/>
  <c r="D843" i="3"/>
  <c r="D989" i="3"/>
  <c r="D729" i="3"/>
  <c r="D905" i="3"/>
  <c r="D841" i="3"/>
  <c r="D998" i="3"/>
  <c r="D1056" i="3"/>
  <c r="D939" i="3"/>
  <c r="D819" i="3"/>
  <c r="D1132" i="3"/>
  <c r="D884" i="3"/>
  <c r="D836" i="3"/>
  <c r="D1102" i="3"/>
  <c r="D984" i="3"/>
  <c r="D895" i="3"/>
  <c r="D1221" i="3"/>
  <c r="D946" i="3"/>
  <c r="D692" i="3"/>
  <c r="D657" i="3"/>
  <c r="D885" i="3"/>
  <c r="D1207" i="3"/>
  <c r="D620" i="3"/>
  <c r="D638" i="3"/>
  <c r="D1128" i="3"/>
  <c r="D1070" i="3"/>
  <c r="D1151" i="3"/>
  <c r="D1114" i="3"/>
  <c r="D827" i="3"/>
  <c r="D796" i="3"/>
  <c r="D923" i="3"/>
  <c r="D1120" i="3"/>
  <c r="D703" i="3"/>
  <c r="D1201" i="3"/>
  <c r="D788" i="3"/>
  <c r="D1063" i="3"/>
  <c r="D752" i="3"/>
  <c r="D1160" i="3"/>
  <c r="D1194" i="3"/>
  <c r="D636" i="3"/>
  <c r="D933" i="3"/>
  <c r="D972" i="3"/>
  <c r="D1010" i="3"/>
  <c r="D40" i="3"/>
  <c r="D76" i="3"/>
  <c r="D7" i="3"/>
  <c r="D18" i="3"/>
  <c r="D86" i="3"/>
  <c r="D56" i="3"/>
  <c r="D84" i="3"/>
  <c r="D43" i="3"/>
  <c r="D39" i="3"/>
  <c r="D36" i="3"/>
  <c r="D49" i="3"/>
  <c r="D22" i="3"/>
  <c r="D3" i="3"/>
  <c r="D11" i="3"/>
  <c r="D41" i="3"/>
  <c r="D65" i="3"/>
  <c r="D59" i="3"/>
  <c r="D21" i="3"/>
  <c r="D25" i="3"/>
  <c r="D30" i="3"/>
  <c r="D57" i="3"/>
  <c r="D38" i="3"/>
  <c r="D54" i="3"/>
  <c r="D31" i="3"/>
  <c r="D67" i="3"/>
  <c r="D71" i="3"/>
  <c r="D1432" i="3"/>
  <c r="D1310" i="3"/>
  <c r="D1487" i="3"/>
  <c r="D1467" i="3"/>
  <c r="D1497" i="3"/>
  <c r="D1331" i="3"/>
  <c r="D1344" i="3"/>
  <c r="D1443" i="3"/>
  <c r="D1272" i="3"/>
  <c r="D1343" i="3"/>
  <c r="D1336" i="3"/>
  <c r="D1254" i="3"/>
  <c r="D1539" i="3"/>
  <c r="D1464" i="3"/>
  <c r="D1502" i="3"/>
  <c r="D1308" i="3"/>
  <c r="D1277" i="3"/>
  <c r="D1524" i="3"/>
  <c r="D1481" i="3"/>
  <c r="D1289" i="3"/>
  <c r="D1330" i="3"/>
  <c r="D1463" i="3"/>
  <c r="D1293" i="3"/>
  <c r="D1250" i="3"/>
  <c r="D1541" i="3"/>
  <c r="D1309" i="3"/>
  <c r="D1377" i="3"/>
  <c r="D1458" i="3"/>
  <c r="D1510" i="3"/>
  <c r="D1369" i="3"/>
  <c r="D1447" i="3"/>
  <c r="D1389" i="3"/>
  <c r="D1477" i="3"/>
  <c r="D1545" i="3"/>
  <c r="D1543" i="3"/>
  <c r="D1338" i="3"/>
  <c r="D1554" i="3"/>
  <c r="D1314" i="3"/>
  <c r="D1245" i="3"/>
  <c r="D1302" i="3"/>
  <c r="D1305" i="3"/>
  <c r="D1526" i="3"/>
  <c r="D1317" i="3"/>
  <c r="D1274" i="3"/>
  <c r="D1534" i="3"/>
  <c r="D1335" i="3"/>
  <c r="D1414" i="3"/>
  <c r="D1433" i="3"/>
  <c r="D1530" i="3"/>
  <c r="D1263" i="3"/>
  <c r="D1425" i="3"/>
  <c r="D1418" i="3"/>
  <c r="D1400" i="3"/>
  <c r="D1278" i="3"/>
  <c r="D1340" i="3"/>
  <c r="D1489" i="3"/>
  <c r="D1537" i="3"/>
  <c r="D1448" i="3"/>
  <c r="D1471" i="3"/>
  <c r="D1396" i="3"/>
  <c r="D1291" i="3"/>
  <c r="D1529" i="3"/>
  <c r="D1332" i="3"/>
  <c r="D1298" i="3"/>
  <c r="D1478" i="3"/>
  <c r="D1366" i="3"/>
  <c r="D1388" i="3"/>
  <c r="D1386" i="3"/>
  <c r="D1509" i="3"/>
  <c r="D1527" i="3"/>
  <c r="D1312" i="3"/>
  <c r="D1275" i="3"/>
  <c r="D1506" i="3"/>
  <c r="D1549" i="3"/>
  <c r="D1446" i="3"/>
  <c r="D1515" i="3"/>
  <c r="D1353" i="3"/>
  <c r="D1427" i="3"/>
  <c r="D1373" i="3"/>
  <c r="D1424" i="3"/>
  <c r="D1453" i="3"/>
  <c r="D1429" i="3"/>
  <c r="D1404" i="3"/>
  <c r="D1247" i="3"/>
  <c r="D1297" i="3"/>
  <c r="D1544" i="3"/>
  <c r="D1466" i="3"/>
  <c r="D1368" i="3"/>
  <c r="D1256" i="3"/>
  <c r="D1451" i="3"/>
  <c r="D1491" i="3"/>
  <c r="D1422" i="3"/>
  <c r="D1387" i="3"/>
  <c r="D1482" i="3"/>
  <c r="D1486" i="3"/>
  <c r="D1531" i="3"/>
  <c r="D1532" i="3"/>
  <c r="D1499" i="3"/>
  <c r="D1372" i="3"/>
  <c r="D1394" i="3"/>
  <c r="D1435" i="3"/>
  <c r="D1273" i="3"/>
  <c r="D1504" i="3"/>
  <c r="D1318" i="3"/>
  <c r="D1533" i="3"/>
  <c r="D1399" i="3"/>
  <c r="D1268" i="3"/>
  <c r="D1311" i="3"/>
  <c r="D1505" i="3"/>
  <c r="D1546" i="3"/>
  <c r="D1514" i="3"/>
  <c r="D1525" i="3"/>
  <c r="D1417" i="3"/>
  <c r="D1439" i="3"/>
  <c r="D1493" i="3"/>
  <c r="D1260" i="3"/>
  <c r="D1357" i="3"/>
  <c r="D1542" i="3"/>
  <c r="D1449" i="3"/>
  <c r="D1306" i="3"/>
  <c r="D1253" i="3"/>
  <c r="D1287" i="3"/>
  <c r="D1403" i="3"/>
  <c r="D1347" i="3"/>
  <c r="D1436" i="3"/>
  <c r="D1520" i="3"/>
  <c r="D1337" i="3"/>
  <c r="D1362" i="3"/>
  <c r="D1456" i="3"/>
  <c r="D1519" i="3"/>
  <c r="D1271" i="3"/>
  <c r="D1462" i="3"/>
  <c r="D1281" i="3"/>
  <c r="D1341" i="3"/>
  <c r="D1303" i="3"/>
  <c r="D1420" i="3"/>
  <c r="D1321" i="3"/>
  <c r="D1501" i="3"/>
  <c r="D1472" i="3"/>
  <c r="D1538" i="3"/>
  <c r="D1470" i="3"/>
  <c r="D1507" i="3"/>
  <c r="D1354" i="3"/>
  <c r="D1536" i="3"/>
  <c r="D1498" i="3"/>
  <c r="D1270" i="3"/>
  <c r="D1345" i="3"/>
  <c r="D1266" i="3"/>
  <c r="D1473" i="3"/>
  <c r="D1431" i="3"/>
  <c r="D1511" i="3"/>
  <c r="D1381" i="3"/>
  <c r="D1246" i="3"/>
  <c r="D1548" i="3"/>
  <c r="D1465" i="3"/>
  <c r="D1423" i="3"/>
  <c r="D1376" i="3"/>
  <c r="D1319" i="3"/>
  <c r="D1300" i="3"/>
  <c r="D1411" i="3"/>
  <c r="D1516" i="3"/>
  <c r="D1503" i="3"/>
  <c r="D1421" i="3"/>
  <c r="D1248" i="3"/>
  <c r="D1415" i="3"/>
  <c r="D1299" i="3"/>
  <c r="D1454" i="3"/>
  <c r="D1358" i="3"/>
  <c r="D1550" i="3"/>
  <c r="D1416" i="3"/>
  <c r="D1452" i="3"/>
  <c r="D1360" i="3"/>
  <c r="D1428" i="3"/>
  <c r="D1269" i="3"/>
  <c r="D1383" i="3"/>
  <c r="D1479" i="3"/>
  <c r="D1441" i="3"/>
  <c r="D1328" i="3"/>
  <c r="D1313" i="3"/>
  <c r="D1259" i="3"/>
  <c r="D1348" i="3"/>
  <c r="D1284" i="3"/>
  <c r="D1419" i="3"/>
  <c r="D1547" i="3"/>
  <c r="D1401" i="3"/>
  <c r="D1342" i="3"/>
  <c r="D1480" i="3"/>
  <c r="D1500" i="3"/>
  <c r="D1523" i="3"/>
  <c r="D1551" i="3"/>
  <c r="D1385" i="3"/>
  <c r="D1494" i="3"/>
  <c r="D1490" i="3"/>
  <c r="D1378" i="3"/>
  <c r="D1413" i="3"/>
  <c r="D1255" i="3"/>
  <c r="D1364" i="3"/>
  <c r="D1512" i="3"/>
  <c r="D1450" i="3"/>
  <c r="D1356" i="3"/>
  <c r="D1410" i="3"/>
  <c r="D1476" i="3"/>
  <c r="D1333" i="3"/>
  <c r="D1393" i="3"/>
  <c r="D1261" i="3"/>
  <c r="D1405" i="3"/>
  <c r="D1553" i="3"/>
  <c r="D1468" i="3"/>
  <c r="D1596" i="3"/>
  <c r="D1911" i="3"/>
  <c r="D1627" i="3"/>
  <c r="D1597" i="3"/>
  <c r="D1780" i="3"/>
  <c r="D1850" i="3"/>
  <c r="D1635" i="3"/>
  <c r="D1797" i="3"/>
  <c r="D1560" i="3"/>
  <c r="D1877" i="3"/>
  <c r="D1699" i="3"/>
  <c r="D1605" i="3"/>
  <c r="D1844" i="3"/>
  <c r="D1853" i="3"/>
  <c r="D1667" i="3"/>
  <c r="D1739" i="3"/>
  <c r="D1882" i="3"/>
  <c r="D1926" i="3"/>
  <c r="D1684" i="3"/>
  <c r="D1814" i="3"/>
  <c r="D1809" i="3"/>
  <c r="D1567" i="3"/>
  <c r="D1822" i="3"/>
  <c r="D1824" i="3"/>
  <c r="D1758" i="3"/>
  <c r="D1735" i="3"/>
  <c r="D1869" i="3"/>
  <c r="D1675" i="3"/>
  <c r="D1864" i="3"/>
  <c r="D1917" i="3"/>
  <c r="D1807" i="3"/>
  <c r="D1656" i="3"/>
  <c r="D1720" i="3"/>
  <c r="D1626" i="3"/>
  <c r="D1743" i="3"/>
  <c r="D1638" i="3"/>
  <c r="D1802" i="3"/>
  <c r="D1846" i="3"/>
  <c r="D1721" i="3"/>
  <c r="D1623" i="3"/>
  <c r="D1923" i="3"/>
  <c r="D1561" i="3"/>
  <c r="D1733" i="3"/>
  <c r="D1588" i="3"/>
  <c r="D1618" i="3"/>
  <c r="D1611" i="3"/>
  <c r="D1907" i="3"/>
  <c r="D1895" i="3"/>
  <c r="D1591" i="3"/>
  <c r="D1608" i="3"/>
  <c r="D1763" i="3"/>
  <c r="D1713" i="3"/>
  <c r="D1616" i="3"/>
  <c r="D1830" i="3"/>
  <c r="D1682" i="3"/>
  <c r="D1764" i="3"/>
  <c r="D1778" i="3"/>
  <c r="D1722" i="3"/>
  <c r="D1633" i="3"/>
  <c r="D1879" i="3"/>
  <c r="D1740" i="3"/>
  <c r="D1783" i="3"/>
  <c r="D1787" i="3"/>
  <c r="D1918" i="3"/>
  <c r="D1887" i="3"/>
  <c r="D1692" i="3"/>
  <c r="D1897" i="3"/>
  <c r="D1658" i="3"/>
  <c r="D1753" i="3"/>
  <c r="D1760" i="3"/>
  <c r="D1874" i="3"/>
  <c r="D1786" i="3"/>
  <c r="D1629" i="3"/>
  <c r="D1905" i="3"/>
  <c r="D1700" i="3"/>
  <c r="D1837" i="3"/>
  <c r="D1558" i="3"/>
  <c r="D1664" i="3"/>
  <c r="D1752" i="3"/>
  <c r="D1565" i="3"/>
  <c r="D1661" i="3"/>
  <c r="D1619" i="3"/>
  <c r="D1816" i="3"/>
  <c r="D1914" i="3"/>
  <c r="D1622" i="3"/>
  <c r="D1715" i="3"/>
  <c r="D1912" i="3"/>
  <c r="D1641" i="3"/>
  <c r="D1913" i="3"/>
  <c r="D1841" i="3"/>
  <c r="D1686" i="3"/>
  <c r="D1649" i="3"/>
  <c r="D1625" i="3"/>
  <c r="D1659" i="3"/>
  <c r="D1836" i="3"/>
  <c r="D1569" i="3"/>
  <c r="D1885" i="3"/>
  <c r="D1573" i="3"/>
  <c r="D1683" i="3"/>
  <c r="D1655" i="3"/>
  <c r="D1833" i="3"/>
  <c r="D1653" i="3"/>
  <c r="D1880" i="3"/>
  <c r="D1701" i="3"/>
  <c r="D1678" i="3"/>
  <c r="D1563" i="3"/>
  <c r="D1676" i="3"/>
  <c r="D1645" i="3"/>
  <c r="D1883" i="3"/>
  <c r="D1606" i="3"/>
  <c r="D1767" i="3"/>
  <c r="D1808" i="3"/>
  <c r="D1745" i="3"/>
  <c r="D1559" i="3"/>
  <c r="D1934" i="3"/>
  <c r="D1669" i="3"/>
  <c r="D1706" i="3"/>
  <c r="D1663" i="3"/>
  <c r="D1704" i="3"/>
  <c r="D1703" i="3"/>
  <c r="D1718" i="3"/>
  <c r="D1654" i="3"/>
  <c r="D1584" i="3"/>
  <c r="D1789" i="3"/>
  <c r="D1731" i="3"/>
  <c r="D1867" i="3"/>
  <c r="D1600" i="3"/>
  <c r="D1810" i="3"/>
  <c r="D1899" i="3"/>
  <c r="D1860" i="3"/>
  <c r="D1920" i="3"/>
  <c r="D1617" i="3"/>
  <c r="D1599" i="3"/>
  <c r="D1710" i="3"/>
  <c r="D1580" i="3"/>
  <c r="D1900" i="3"/>
  <c r="D1896" i="3"/>
  <c r="D1690" i="3"/>
  <c r="D1756" i="3"/>
  <c r="D1738" i="3"/>
  <c r="D1557" i="3"/>
  <c r="D1858" i="3"/>
  <c r="D1930" i="3"/>
  <c r="D1889" i="3"/>
  <c r="D1647" i="3"/>
  <c r="D1729" i="3"/>
  <c r="D1921" i="3"/>
  <c r="D1719" i="3"/>
  <c r="D1650" i="3"/>
  <c r="D1660" i="3"/>
  <c r="D1845" i="3"/>
  <c r="D1587" i="3"/>
  <c r="D1578" i="3"/>
  <c r="D1774" i="3"/>
  <c r="D1709" i="3"/>
  <c r="D1856" i="3"/>
  <c r="D1736" i="3"/>
  <c r="D1571" i="3"/>
  <c r="D1884" i="3"/>
  <c r="D1866" i="3"/>
  <c r="D1811" i="3"/>
  <c r="D1870" i="3"/>
  <c r="D1826" i="3"/>
  <c r="D1791" i="3"/>
  <c r="D1586" i="3"/>
  <c r="D1770" i="3"/>
  <c r="D1556" i="3"/>
  <c r="D1747" i="3"/>
  <c r="D1823" i="3"/>
  <c r="D1730" i="3"/>
  <c r="D1843" i="3"/>
  <c r="D1892" i="3"/>
  <c r="D1637" i="3"/>
  <c r="D1910" i="3"/>
  <c r="D1694" i="3"/>
  <c r="D1831" i="3"/>
  <c r="D1796" i="3"/>
  <c r="D1927" i="3"/>
  <c r="D1754" i="3"/>
  <c r="D1714" i="3"/>
  <c r="D1839" i="3"/>
  <c r="D1873" i="3"/>
  <c r="D1825" i="3"/>
  <c r="D1689" i="3"/>
  <c r="D1840" i="3"/>
  <c r="D1711" i="3"/>
  <c r="D1838" i="3"/>
  <c r="D1872" i="3"/>
  <c r="D1779" i="3"/>
  <c r="D1847" i="3"/>
  <c r="D1652" i="3"/>
  <c r="D1785" i="3"/>
  <c r="D1680" i="3"/>
  <c r="D1848" i="3"/>
  <c r="D1666" i="3"/>
  <c r="D1906" i="3"/>
  <c r="D1579" i="3"/>
  <c r="D1727" i="3"/>
  <c r="D1861" i="3"/>
  <c r="D1915" i="3"/>
  <c r="D1842" i="3"/>
  <c r="D1875" i="3"/>
  <c r="D1794" i="3"/>
  <c r="D1610" i="3"/>
  <c r="D1646" i="3"/>
  <c r="D1693" i="3"/>
  <c r="D1775" i="3"/>
  <c r="D1665" i="3"/>
  <c r="D1614" i="3"/>
  <c r="D1762" i="3"/>
  <c r="D1801" i="3"/>
  <c r="D1642" i="3"/>
  <c r="D1916" i="3"/>
  <c r="D1728" i="3"/>
  <c r="D1741" i="3"/>
  <c r="D1702" i="3"/>
  <c r="D1708" i="3"/>
  <c r="D1604" i="3"/>
  <c r="D1674" i="3"/>
  <c r="D1871" i="3"/>
  <c r="D1919" i="3"/>
  <c r="D1898" i="3"/>
  <c r="D1903" i="3"/>
  <c r="D1751" i="3"/>
  <c r="D1799" i="3"/>
  <c r="D1857" i="3"/>
  <c r="D1598" i="3"/>
  <c r="D1790" i="3"/>
  <c r="D1851" i="3"/>
  <c r="D1777" i="3"/>
  <c r="D1577" i="3"/>
  <c r="D1931" i="3"/>
  <c r="D1726" i="3"/>
  <c r="D1792" i="3"/>
  <c r="D1628" i="3"/>
  <c r="D1662" i="3"/>
  <c r="D1835" i="3"/>
  <c r="D1668" i="3"/>
  <c r="D1687" i="3"/>
  <c r="D1817" i="3"/>
  <c r="D1904" i="3"/>
  <c r="D1769" i="3"/>
  <c r="D1827" i="3"/>
  <c r="D1574" i="3"/>
  <c r="D1691" i="3"/>
  <c r="D1712" i="3"/>
  <c r="D1624" i="3"/>
  <c r="D1555" i="3"/>
  <c r="D1788" i="3"/>
  <c r="D1828" i="3"/>
  <c r="D1929" i="3"/>
  <c r="D1732" i="3"/>
  <c r="D1673" i="3"/>
  <c r="D1575" i="3"/>
  <c r="D1832" i="3"/>
  <c r="D1878" i="3"/>
  <c r="D1570" i="3"/>
  <c r="D1868" i="3"/>
  <c r="D1849" i="3"/>
  <c r="D1820" i="3"/>
  <c r="D1594" i="3"/>
  <c r="D1593" i="3"/>
  <c r="D1672" i="3"/>
  <c r="D1671" i="3"/>
  <c r="D1568" i="3"/>
  <c r="D1815" i="3"/>
  <c r="D1698" i="3"/>
  <c r="D1707" i="3"/>
  <c r="D1793" i="3"/>
  <c r="D1813" i="3"/>
  <c r="D1781" i="3"/>
  <c r="D1670" i="3"/>
  <c r="D1615" i="3"/>
  <c r="D1583" i="3"/>
  <c r="D1755" i="3"/>
  <c r="D1924" i="3"/>
  <c r="D1601" i="3"/>
  <c r="D1636" i="3"/>
  <c r="D1582" i="3"/>
  <c r="D1894" i="3"/>
  <c r="D1855" i="3"/>
  <c r="D1677" i="3"/>
  <c r="D1798" i="3"/>
  <c r="D1572" i="3"/>
  <c r="D1576" i="3"/>
  <c r="D1688" i="3"/>
  <c r="D1890" i="3"/>
  <c r="D1773" i="3"/>
  <c r="D1876" i="3"/>
  <c r="D1759" i="3"/>
  <c r="D1901" i="3"/>
  <c r="D1886" i="3"/>
  <c r="D1865" i="3"/>
  <c r="D1834" i="3"/>
  <c r="D1640" i="3"/>
  <c r="D1776" i="3"/>
  <c r="D1908" i="3"/>
  <c r="D1603" i="3"/>
  <c r="D1602" i="3"/>
  <c r="D1782" i="3"/>
  <c r="D1566" i="3"/>
  <c r="D1695" i="3"/>
  <c r="D1909" i="3"/>
  <c r="D1612" i="3"/>
  <c r="D1928" i="3"/>
  <c r="D1862" i="3"/>
  <c r="D1750" i="3"/>
  <c r="D1863" i="3"/>
  <c r="D1803" i="3"/>
  <c r="D1829" i="3"/>
  <c r="D1891" i="3"/>
  <c r="D1852" i="3"/>
  <c r="D1806" i="3"/>
  <c r="D1705" i="3"/>
  <c r="D1679" i="3"/>
  <c r="D1562" i="3"/>
  <c r="D1922" i="3"/>
  <c r="D1685" i="3"/>
  <c r="D1768" i="3"/>
  <c r="D1748" i="3"/>
  <c r="D1639" i="3"/>
  <c r="D1716" i="3"/>
  <c r="D1784" i="3"/>
  <c r="D1643" i="3"/>
  <c r="D1717" i="3"/>
  <c r="D1925" i="3"/>
  <c r="D1613" i="3"/>
  <c r="D1595" i="3"/>
  <c r="D1620" i="3"/>
  <c r="D1746" i="3"/>
  <c r="D1725" i="3"/>
  <c r="D1805" i="3"/>
  <c r="D1609" i="3"/>
  <c r="D1772" i="3"/>
  <c r="D1657" i="3"/>
  <c r="D1902" i="3"/>
  <c r="D1644" i="3"/>
  <c r="D1634" i="3"/>
  <c r="D1742" i="3"/>
  <c r="D1585" i="3"/>
  <c r="D1761" i="3"/>
  <c r="D1607" i="3"/>
  <c r="D1804" i="3"/>
  <c r="D1589" i="3"/>
  <c r="D1821" i="3"/>
  <c r="D1881" i="3"/>
  <c r="D1697" i="3"/>
  <c r="D1800" i="3"/>
  <c r="D1734" i="3"/>
  <c r="D1590" i="3"/>
  <c r="D1564" i="3"/>
  <c r="D1581" i="3"/>
  <c r="D1757" i="3"/>
  <c r="D1681" i="3"/>
  <c r="D1765" i="3"/>
  <c r="D1888" i="3"/>
  <c r="D1893" i="3"/>
  <c r="D1631" i="3"/>
  <c r="D1859" i="3"/>
  <c r="D1632" i="3"/>
  <c r="D1621" i="3"/>
  <c r="D1696" i="3"/>
  <c r="D1723" i="3"/>
  <c r="D1819" i="3"/>
  <c r="D1630" i="3"/>
  <c r="D1854" i="3"/>
  <c r="D1766" i="3"/>
  <c r="D1651" i="3"/>
  <c r="D1648" i="3"/>
  <c r="D1812" i="3"/>
  <c r="D1818" i="3"/>
  <c r="D1724" i="3"/>
  <c r="D1771" i="3"/>
  <c r="D1737" i="3"/>
  <c r="D1592" i="3"/>
  <c r="D1795" i="3"/>
  <c r="D1744" i="3"/>
  <c r="D1933" i="3"/>
  <c r="D1749" i="3"/>
  <c r="D1932" i="3"/>
  <c r="D46" i="3"/>
  <c r="D62" i="3"/>
  <c r="D10" i="3"/>
  <c r="D35" i="3"/>
  <c r="D33" i="3"/>
  <c r="D80" i="3"/>
  <c r="D52" i="3"/>
  <c r="D85" i="3"/>
  <c r="D79" i="3"/>
  <c r="D78" i="3"/>
  <c r="D42" i="3"/>
  <c r="D47" i="3"/>
  <c r="D14" i="3"/>
  <c r="D34" i="3"/>
  <c r="D9" i="3"/>
  <c r="D83" i="3"/>
  <c r="D4" i="3"/>
  <c r="D17" i="3"/>
  <c r="D19" i="3"/>
  <c r="D74" i="3"/>
  <c r="D53" i="3"/>
  <c r="D26" i="3"/>
  <c r="D24" i="3"/>
  <c r="D13" i="3"/>
  <c r="D2" i="3"/>
  <c r="D37" i="3"/>
  <c r="D16" i="3"/>
  <c r="D5" i="3"/>
  <c r="D81" i="3"/>
  <c r="D66" i="3"/>
  <c r="D27" i="3"/>
  <c r="D73" i="3"/>
  <c r="D12" i="3"/>
  <c r="D28" i="3"/>
  <c r="D50" i="3"/>
  <c r="D45" i="3"/>
  <c r="D64" i="3"/>
  <c r="D69" i="3"/>
  <c r="D70" i="3"/>
  <c r="D87" i="3"/>
  <c r="D82" i="3"/>
  <c r="D51" i="3"/>
  <c r="D58" i="3"/>
  <c r="D63" i="3"/>
  <c r="D61" i="3"/>
  <c r="D44" i="3"/>
  <c r="D77" i="3"/>
  <c r="D6" i="3"/>
  <c r="D20" i="3"/>
  <c r="D72" i="3"/>
  <c r="D23" i="3"/>
  <c r="D8" i="3"/>
  <c r="D48" i="3"/>
  <c r="D60" i="3"/>
  <c r="D15" i="3"/>
  <c r="D55" i="3"/>
  <c r="D29" i="3"/>
  <c r="D75" i="3"/>
  <c r="D32" i="3"/>
  <c r="D68" i="3"/>
  <c r="D3003" i="3"/>
  <c r="D3006" i="3"/>
  <c r="D2962" i="3"/>
  <c r="D3069" i="3"/>
  <c r="D2981" i="3"/>
  <c r="D2922" i="3"/>
  <c r="D2871" i="3"/>
  <c r="D3046" i="3"/>
  <c r="D3072" i="3"/>
  <c r="D2864" i="3"/>
  <c r="D2908" i="3"/>
  <c r="D3056" i="3"/>
  <c r="D2991" i="3"/>
  <c r="D2895" i="3"/>
  <c r="D3068" i="3"/>
  <c r="D3077" i="3"/>
  <c r="D2896" i="3"/>
  <c r="D2972" i="3"/>
  <c r="D2965" i="3"/>
  <c r="D2899" i="3"/>
  <c r="D2860" i="3"/>
  <c r="D2971" i="3"/>
  <c r="D2998" i="3"/>
  <c r="D2982" i="3"/>
  <c r="D2936" i="3"/>
  <c r="D2882" i="3"/>
  <c r="D3020" i="3"/>
  <c r="D3053" i="3"/>
  <c r="D2967" i="3"/>
  <c r="D3005" i="3"/>
  <c r="D2873" i="3"/>
  <c r="D3009" i="3"/>
  <c r="D2950" i="3"/>
  <c r="D2959" i="3"/>
  <c r="D2975" i="3"/>
  <c r="D2940" i="3"/>
  <c r="D2903" i="3"/>
  <c r="D3066" i="3"/>
  <c r="D3067" i="3"/>
  <c r="D3043" i="3"/>
  <c r="D2948" i="3"/>
  <c r="D3060" i="3"/>
  <c r="D2881" i="3"/>
  <c r="D3044" i="3"/>
  <c r="D3004" i="3"/>
  <c r="D2989" i="3"/>
  <c r="D2954" i="3"/>
  <c r="D3024" i="3"/>
  <c r="D2930" i="3"/>
  <c r="D2996" i="3"/>
  <c r="D3041" i="3"/>
  <c r="D2929" i="3"/>
  <c r="D2934" i="3"/>
  <c r="D2924" i="3"/>
  <c r="D2928" i="3"/>
  <c r="D3015" i="3"/>
  <c r="D2978" i="3"/>
  <c r="D3042" i="3"/>
  <c r="D2872" i="3"/>
  <c r="D2874" i="3"/>
  <c r="D3061" i="3"/>
  <c r="D2911" i="3"/>
  <c r="D3038" i="3"/>
  <c r="D2968" i="3"/>
  <c r="D2901" i="3"/>
  <c r="D2963" i="3"/>
  <c r="D2859" i="3"/>
  <c r="D3010" i="3"/>
  <c r="D2880" i="3"/>
  <c r="D2939" i="3"/>
  <c r="D2997" i="3"/>
  <c r="D2974" i="3"/>
  <c r="D2933" i="3"/>
  <c r="D2906" i="3"/>
  <c r="D3018" i="3"/>
  <c r="D3048" i="3"/>
  <c r="D3064" i="3"/>
  <c r="D2943" i="3"/>
  <c r="D2941" i="3"/>
  <c r="D3057" i="3"/>
  <c r="D3075" i="3"/>
  <c r="D2976" i="3"/>
  <c r="D2960" i="3"/>
  <c r="D2886" i="3"/>
  <c r="D2907" i="3"/>
  <c r="D2952" i="3"/>
  <c r="D3022" i="3"/>
  <c r="D2913" i="3"/>
  <c r="D2945" i="3"/>
  <c r="D2919" i="3"/>
  <c r="D2885" i="3"/>
  <c r="D2946" i="3"/>
  <c r="D2887" i="3"/>
  <c r="D3037" i="3"/>
  <c r="D2955" i="3"/>
  <c r="D3012" i="3"/>
  <c r="D2944" i="3"/>
  <c r="D2947" i="3"/>
  <c r="D2900" i="3"/>
  <c r="D2904" i="3"/>
  <c r="D3030" i="3"/>
  <c r="D2935" i="3"/>
  <c r="D2861" i="3"/>
  <c r="D2980" i="3"/>
  <c r="D3001" i="3"/>
  <c r="D3014" i="3"/>
  <c r="D2892" i="3"/>
  <c r="D2868" i="3"/>
  <c r="D2889" i="3"/>
  <c r="D3023" i="3"/>
  <c r="D2888" i="3"/>
  <c r="D3019" i="3"/>
  <c r="D2905" i="3"/>
  <c r="D2894" i="3"/>
  <c r="D2912" i="3"/>
  <c r="D2902" i="3"/>
  <c r="D3013" i="3"/>
  <c r="D2931" i="3"/>
  <c r="D3054" i="3"/>
  <c r="D3040" i="3"/>
  <c r="D3021" i="3"/>
  <c r="D3058" i="3"/>
  <c r="D2956" i="3"/>
  <c r="D3035" i="3"/>
  <c r="D2949" i="3"/>
  <c r="D3052" i="3"/>
  <c r="D3070" i="3"/>
  <c r="D2883" i="3"/>
  <c r="D2964" i="3"/>
  <c r="D2942" i="3"/>
  <c r="D3008" i="3"/>
  <c r="D2910" i="3"/>
  <c r="D3002" i="3"/>
  <c r="D2877" i="3"/>
  <c r="D2973" i="3"/>
  <c r="D2890" i="3"/>
  <c r="D2921" i="3"/>
  <c r="D2937" i="3"/>
  <c r="D2969" i="3"/>
  <c r="D3026" i="3"/>
  <c r="D2865" i="3"/>
  <c r="D2863" i="3"/>
  <c r="D3016" i="3"/>
  <c r="D2893" i="3"/>
  <c r="D2858" i="3"/>
  <c r="D2867" i="3"/>
  <c r="D2878" i="3"/>
  <c r="D2979" i="3"/>
  <c r="D2916" i="3"/>
  <c r="D3050" i="3"/>
  <c r="D2986" i="3"/>
  <c r="D2898" i="3"/>
  <c r="D3049" i="3"/>
  <c r="D2918" i="3"/>
  <c r="D2932" i="3"/>
  <c r="D2961" i="3"/>
  <c r="D2953" i="3"/>
  <c r="D2999" i="3"/>
  <c r="D3059" i="3"/>
  <c r="D2909" i="3"/>
  <c r="D3045" i="3"/>
  <c r="D3076" i="3"/>
  <c r="D3062" i="3"/>
  <c r="D2869" i="3"/>
  <c r="D3039" i="3"/>
  <c r="D3027" i="3"/>
  <c r="D3028" i="3"/>
  <c r="D2923" i="3"/>
  <c r="D2915" i="3"/>
  <c r="D2925" i="3"/>
  <c r="D3071" i="3"/>
  <c r="D2875" i="3"/>
  <c r="D2966" i="3"/>
  <c r="D2891" i="3"/>
  <c r="D2993" i="3"/>
  <c r="D2862" i="3"/>
  <c r="D3007" i="3"/>
  <c r="D2870" i="3"/>
  <c r="D2914" i="3"/>
  <c r="D2977" i="3"/>
  <c r="D2958" i="3"/>
  <c r="D2876" i="3"/>
  <c r="D3063" i="3"/>
  <c r="D3065" i="3"/>
  <c r="D3025" i="3"/>
  <c r="D2983" i="3"/>
  <c r="D2926" i="3"/>
  <c r="D3034" i="3"/>
  <c r="D2985" i="3"/>
  <c r="D3033" i="3"/>
  <c r="D3073" i="3"/>
  <c r="D2987" i="3"/>
  <c r="D2951" i="3"/>
  <c r="D2884" i="3"/>
  <c r="D2938" i="3"/>
  <c r="D2970" i="3"/>
  <c r="D2866" i="3"/>
  <c r="D3051" i="3"/>
  <c r="D2990" i="3"/>
  <c r="D2988" i="3"/>
  <c r="D2927" i="3"/>
  <c r="D2995" i="3"/>
  <c r="D3000" i="3"/>
  <c r="D2984" i="3"/>
  <c r="D3031" i="3"/>
  <c r="D2992" i="3"/>
  <c r="D3032" i="3"/>
  <c r="D3011" i="3"/>
  <c r="D2957" i="3"/>
  <c r="D2917" i="3"/>
  <c r="D3036" i="3"/>
  <c r="D3074" i="3"/>
  <c r="D3017" i="3"/>
  <c r="D3047" i="3"/>
  <c r="D2879" i="3"/>
  <c r="D2994" i="3"/>
  <c r="D2920" i="3"/>
  <c r="D3055" i="3"/>
  <c r="D2897" i="3"/>
  <c r="D3029" i="3"/>
  <c r="D2648" i="3"/>
  <c r="D2443" i="3"/>
  <c r="D2808" i="3"/>
  <c r="D2811" i="3"/>
  <c r="D2748" i="3"/>
  <c r="D2594" i="3"/>
  <c r="D2617" i="3"/>
  <c r="D2538" i="3"/>
  <c r="D2613" i="3"/>
  <c r="D2747" i="3"/>
  <c r="D2449" i="3"/>
  <c r="D2476" i="3"/>
  <c r="D2817" i="3"/>
  <c r="D2628" i="3"/>
  <c r="D2566" i="3"/>
  <c r="D2492" i="3"/>
  <c r="D2481" i="3"/>
  <c r="D2626" i="3"/>
  <c r="D2580" i="3"/>
  <c r="D2575" i="3"/>
  <c r="D2640" i="3"/>
  <c r="D2660" i="3"/>
  <c r="D2514" i="3"/>
  <c r="D2644" i="3"/>
  <c r="D2553" i="3"/>
  <c r="D2556" i="3"/>
  <c r="D2805" i="3"/>
  <c r="D2593" i="3"/>
  <c r="D2525" i="3"/>
  <c r="D2501" i="3"/>
  <c r="D2810" i="3"/>
  <c r="D2587" i="3"/>
  <c r="D2707" i="3"/>
  <c r="D2646" i="3"/>
  <c r="D2496" i="3"/>
  <c r="D2812" i="3"/>
  <c r="D2772" i="3"/>
  <c r="D2474" i="3"/>
  <c r="D2678" i="3"/>
  <c r="D2499" i="3"/>
  <c r="D2711" i="3"/>
  <c r="D2527" i="3"/>
  <c r="D2726" i="3"/>
  <c r="D2511" i="3"/>
  <c r="D2818" i="3"/>
  <c r="D2802" i="3"/>
  <c r="D2530" i="3"/>
  <c r="D2502" i="3"/>
  <c r="D2562" i="3"/>
  <c r="D2819" i="3"/>
  <c r="D2571" i="3"/>
  <c r="D2585" i="3"/>
  <c r="D2524" i="3"/>
  <c r="D2534" i="3"/>
  <c r="D2719" i="3"/>
  <c r="D2717" i="3"/>
  <c r="D2801" i="3"/>
  <c r="D2455" i="3"/>
  <c r="D2779" i="3"/>
  <c r="D2453" i="3"/>
  <c r="D2486" i="3"/>
  <c r="D2505" i="3"/>
  <c r="D2670" i="3"/>
  <c r="D2444" i="3"/>
  <c r="D2754" i="3"/>
  <c r="D2649" i="3"/>
  <c r="D2804" i="3"/>
  <c r="D2500" i="3"/>
  <c r="D2828" i="3"/>
  <c r="D2586" i="3"/>
  <c r="D2687" i="3"/>
  <c r="D2775" i="3"/>
  <c r="D2599" i="3"/>
  <c r="D2714" i="3"/>
  <c r="D2826" i="3"/>
  <c r="D2584" i="3"/>
  <c r="D2837" i="3"/>
  <c r="D2650" i="3"/>
  <c r="D2767" i="3"/>
  <c r="D2464" i="3"/>
  <c r="D2780" i="3"/>
  <c r="D2446" i="3"/>
  <c r="D2777" i="3"/>
  <c r="D2736" i="3"/>
  <c r="D2467" i="3"/>
  <c r="D2651" i="3"/>
  <c r="D2789" i="3"/>
  <c r="D2590" i="3"/>
  <c r="D2816" i="3"/>
  <c r="D2641" i="3"/>
  <c r="D2856" i="3"/>
  <c r="D2689" i="3"/>
  <c r="D2645" i="3"/>
  <c r="D2633" i="3"/>
  <c r="D2548" i="3"/>
  <c r="D2484" i="3"/>
  <c r="D2833" i="3"/>
  <c r="D2825" i="3"/>
  <c r="D2677" i="3"/>
  <c r="D2855" i="3"/>
  <c r="D2618" i="3"/>
  <c r="D2471" i="3"/>
  <c r="D2652" i="3"/>
  <c r="D2749" i="3"/>
  <c r="D2621" i="3"/>
  <c r="D2675" i="3"/>
  <c r="D2582" i="3"/>
  <c r="D2544" i="3"/>
  <c r="D2577" i="3"/>
  <c r="D2610" i="3"/>
  <c r="D2806" i="3"/>
  <c r="D2576" i="3"/>
  <c r="D2698" i="3"/>
  <c r="D2824" i="3"/>
  <c r="D2479" i="3"/>
  <c r="D2528" i="3"/>
  <c r="D2741" i="3"/>
  <c r="D2655" i="3"/>
  <c r="D2683" i="3"/>
  <c r="D2764" i="3"/>
  <c r="D2791" i="3"/>
  <c r="D2691" i="3"/>
  <c r="D2735" i="3"/>
  <c r="D2682" i="3"/>
  <c r="D2602" i="3"/>
  <c r="D2456" i="3"/>
  <c r="D2842" i="3"/>
  <c r="D2712" i="3"/>
  <c r="D2694" i="3"/>
  <c r="D2782" i="3"/>
  <c r="D2600" i="3"/>
  <c r="D2838" i="3"/>
  <c r="D2447" i="3"/>
  <c r="D2757" i="3"/>
  <c r="D2469" i="3"/>
  <c r="D2765" i="3"/>
  <c r="D2653" i="3"/>
  <c r="D2654" i="3"/>
  <c r="D2568" i="3"/>
  <c r="D2466" i="3"/>
  <c r="D2603" i="3"/>
  <c r="D2457" i="3"/>
  <c r="D2588" i="3"/>
  <c r="D2589" i="3"/>
  <c r="D2774" i="3"/>
  <c r="D2510" i="3"/>
  <c r="D2493" i="3"/>
  <c r="D2797" i="3"/>
  <c r="D2656" i="3"/>
  <c r="D2522" i="3"/>
  <c r="D2664" i="3"/>
  <c r="D2739" i="3"/>
  <c r="D2598" i="3"/>
  <c r="D2853" i="3"/>
  <c r="D2460" i="3"/>
  <c r="D2539" i="3"/>
  <c r="D2743" i="3"/>
  <c r="D2742" i="3"/>
  <c r="D2770" i="3"/>
  <c r="D2709" i="3"/>
  <c r="D2718" i="3"/>
  <c r="D2768" i="3"/>
  <c r="D2616" i="3"/>
  <c r="D2831" i="3"/>
  <c r="D2239" i="3"/>
  <c r="D2254" i="3"/>
  <c r="D2420" i="3"/>
  <c r="D2355" i="3"/>
  <c r="D2182" i="3"/>
  <c r="D2218" i="3"/>
  <c r="D2392" i="3"/>
  <c r="D2418" i="3"/>
  <c r="D2228" i="3"/>
  <c r="D2303" i="3"/>
  <c r="D2259" i="3"/>
  <c r="D2322" i="3"/>
  <c r="D2188" i="3"/>
  <c r="D2263" i="3"/>
  <c r="D2213" i="3"/>
  <c r="D2231" i="3"/>
  <c r="D2419" i="3"/>
  <c r="D2294" i="3"/>
  <c r="D2310" i="3"/>
  <c r="D2261" i="3"/>
  <c r="D2405" i="3"/>
  <c r="D2319" i="3"/>
  <c r="D2380" i="3"/>
  <c r="D2340" i="3"/>
  <c r="D2189" i="3"/>
  <c r="D2244" i="3"/>
  <c r="D2208" i="3"/>
  <c r="D2422" i="3"/>
  <c r="D2435" i="3"/>
  <c r="D2190" i="3"/>
  <c r="D2291" i="3"/>
  <c r="D2178" i="3"/>
  <c r="D2185" i="3"/>
  <c r="D2284" i="3"/>
  <c r="D2287" i="3"/>
  <c r="D2399" i="3"/>
  <c r="D2414" i="3"/>
  <c r="D2306" i="3"/>
  <c r="D2396" i="3"/>
  <c r="D2348" i="3"/>
  <c r="D2352" i="3"/>
  <c r="D2214" i="3"/>
  <c r="D2229" i="3"/>
  <c r="D2349" i="3"/>
  <c r="D2253" i="3"/>
  <c r="D2337" i="3"/>
  <c r="D2186" i="3"/>
  <c r="D2286" i="3"/>
  <c r="D2408" i="3"/>
  <c r="D2215" i="3"/>
  <c r="D2224" i="3"/>
  <c r="D2242" i="3"/>
  <c r="D2262" i="3"/>
  <c r="D2389" i="3"/>
  <c r="D2421" i="3"/>
  <c r="D2360" i="3"/>
  <c r="D2285" i="3"/>
  <c r="D2407" i="3"/>
  <c r="D2225" i="3"/>
  <c r="D2223" i="3"/>
  <c r="D2205" i="3"/>
  <c r="D2431" i="3"/>
  <c r="D2245" i="3"/>
  <c r="D2290" i="3"/>
  <c r="D2282" i="3"/>
  <c r="D2309" i="3"/>
  <c r="D2324" i="3"/>
  <c r="D2297" i="3"/>
  <c r="D2280" i="3"/>
  <c r="D2343" i="3"/>
  <c r="D2333" i="3"/>
  <c r="D2283" i="3"/>
  <c r="D2441" i="3"/>
  <c r="D2270" i="3"/>
  <c r="D2295" i="3"/>
  <c r="D2376" i="3"/>
  <c r="D2315" i="3"/>
  <c r="D2331" i="3"/>
  <c r="D2329" i="3"/>
  <c r="D2438" i="3"/>
  <c r="D2195" i="3"/>
  <c r="D2298" i="3"/>
  <c r="D2356" i="3"/>
  <c r="D2365" i="3"/>
  <c r="D2336" i="3"/>
  <c r="D2204" i="3"/>
  <c r="D2344" i="3"/>
  <c r="D2385" i="3"/>
  <c r="D2361" i="3"/>
  <c r="D2345" i="3"/>
  <c r="D2346" i="3"/>
  <c r="D2313" i="3"/>
  <c r="D2434" i="3"/>
  <c r="D2184" i="3"/>
  <c r="D2257" i="3"/>
  <c r="D2276" i="3"/>
  <c r="D2175" i="3"/>
  <c r="D2437" i="3"/>
  <c r="D2403" i="3"/>
  <c r="D2359" i="3"/>
  <c r="D2364" i="3"/>
  <c r="D2351" i="3"/>
  <c r="D2318" i="3"/>
  <c r="D2249" i="3"/>
  <c r="D2260" i="3"/>
  <c r="D2423" i="3"/>
  <c r="D2216" i="3"/>
  <c r="D2393" i="3"/>
  <c r="D2209" i="3"/>
  <c r="D2181" i="3"/>
  <c r="D2258" i="3"/>
  <c r="D2268" i="3"/>
  <c r="D2347" i="3"/>
  <c r="D2251" i="3"/>
  <c r="D2192" i="3"/>
  <c r="D2311" i="3"/>
  <c r="D2321" i="3"/>
  <c r="D2314" i="3"/>
  <c r="D2424" i="3"/>
  <c r="D2274" i="3"/>
  <c r="D2312" i="3"/>
  <c r="D2191" i="3"/>
  <c r="D2183" i="3"/>
  <c r="D2169" i="3"/>
  <c r="D2374" i="3"/>
  <c r="D2196" i="3"/>
  <c r="D2339" i="3"/>
  <c r="D2264" i="3"/>
  <c r="D2221" i="3"/>
  <c r="D2180" i="3"/>
  <c r="D2217" i="3"/>
  <c r="D2440" i="3"/>
  <c r="D2304" i="3"/>
  <c r="D2240" i="3"/>
  <c r="D2375" i="3"/>
  <c r="D2367" i="3"/>
  <c r="D2373" i="3"/>
  <c r="D2174" i="3"/>
  <c r="D2378" i="3"/>
  <c r="D2248" i="3"/>
  <c r="D2323" i="3"/>
  <c r="D2269" i="3"/>
  <c r="D2256" i="3"/>
  <c r="D2401" i="3"/>
  <c r="D2402" i="3"/>
  <c r="D2335" i="3"/>
  <c r="D2413" i="3"/>
  <c r="D2206" i="3"/>
  <c r="D2415" i="3"/>
  <c r="D2167" i="3"/>
  <c r="D2273" i="3"/>
  <c r="D2288" i="3"/>
  <c r="D2296" i="3"/>
  <c r="D2327" i="3"/>
  <c r="D2353" i="3"/>
  <c r="D2379" i="3"/>
  <c r="D2412" i="3"/>
  <c r="D2222" i="3"/>
  <c r="D2354" i="3"/>
  <c r="D2250" i="3"/>
  <c r="D2428" i="3"/>
  <c r="D2292" i="3"/>
  <c r="D2272" i="3"/>
  <c r="D2237" i="3"/>
  <c r="D2275" i="3"/>
  <c r="D2358" i="3"/>
  <c r="D2266" i="3"/>
  <c r="D2252" i="3"/>
  <c r="D2316" i="3"/>
  <c r="D2368" i="3"/>
  <c r="D2350" i="3"/>
  <c r="D2193" i="3"/>
  <c r="D2236" i="3"/>
  <c r="D2383" i="3"/>
  <c r="D2302" i="3"/>
  <c r="D2410" i="3"/>
  <c r="D2241" i="3"/>
  <c r="D2382" i="3"/>
  <c r="D2325" i="3"/>
  <c r="D2200" i="3"/>
  <c r="D2187" i="3"/>
  <c r="D2416" i="3"/>
  <c r="D2320" i="3"/>
  <c r="D2370" i="3"/>
  <c r="D2207" i="3"/>
  <c r="D2199" i="3"/>
  <c r="D2271" i="3"/>
  <c r="D2305" i="3"/>
  <c r="D2289" i="3"/>
  <c r="D2233" i="3"/>
  <c r="D2371" i="3"/>
  <c r="D2427" i="3"/>
  <c r="D2307" i="3"/>
  <c r="D2341" i="3"/>
  <c r="D2238" i="3"/>
  <c r="D2391" i="3"/>
  <c r="D2326" i="3"/>
  <c r="D2357" i="3"/>
  <c r="D2436" i="3"/>
  <c r="D2328" i="3"/>
  <c r="D2398" i="3"/>
  <c r="D2404" i="3"/>
  <c r="D2381" i="3"/>
  <c r="D2235" i="3"/>
  <c r="D2426" i="3"/>
  <c r="D2390" i="3"/>
  <c r="D2220" i="3"/>
  <c r="D2198" i="3"/>
  <c r="D2210" i="3"/>
  <c r="D2386" i="3"/>
  <c r="D2246" i="3"/>
  <c r="D2442" i="3"/>
  <c r="D2212" i="3"/>
  <c r="D2234" i="3"/>
  <c r="D2366" i="3"/>
  <c r="D2243" i="3"/>
  <c r="D2334" i="3"/>
  <c r="D2369" i="3"/>
  <c r="D2388" i="3"/>
  <c r="D2168" i="3"/>
  <c r="D2409" i="3"/>
  <c r="D2362" i="3"/>
  <c r="D2255" i="3"/>
  <c r="D2211" i="3"/>
  <c r="D2342" i="3"/>
  <c r="D2308" i="3"/>
  <c r="D2397" i="3"/>
  <c r="D2429" i="3"/>
  <c r="D2281" i="3"/>
  <c r="D2439" i="3"/>
  <c r="D2417" i="3"/>
  <c r="D2227" i="3"/>
  <c r="D2425" i="3"/>
  <c r="D2338" i="3"/>
  <c r="D2232" i="3"/>
  <c r="D2278" i="3"/>
  <c r="D2432" i="3"/>
  <c r="D2171" i="3"/>
  <c r="D2170" i="3"/>
  <c r="D2299" i="3"/>
  <c r="D2384" i="3"/>
  <c r="D2172" i="3"/>
  <c r="D2433" i="3"/>
  <c r="D2372" i="3"/>
  <c r="D2279" i="3"/>
  <c r="D2387" i="3"/>
  <c r="D2300" i="3"/>
  <c r="D2317" i="3"/>
</calcChain>
</file>

<file path=xl/sharedStrings.xml><?xml version="1.0" encoding="utf-8"?>
<sst xmlns="http://schemas.openxmlformats.org/spreadsheetml/2006/main" count="24708" uniqueCount="430">
  <si>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</si>
  <si>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</si>
  <si>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</si>
  <si>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</si>
  <si>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</si>
  <si>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</si>
  <si>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</si>
  <si>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</si>
  <si>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</si>
  <si>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</si>
  <si>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</si>
  <si>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</si>
  <si>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</si>
  <si>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</si>
  <si>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</si>
  <si>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</si>
  <si>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Base Margin</t>
  </si>
  <si>
    <t>Ship Date</t>
  </si>
  <si>
    <t>Low</t>
  </si>
  <si>
    <t>Regular Air</t>
  </si>
  <si>
    <t>Nunavut</t>
  </si>
  <si>
    <t>Office Supplies</t>
  </si>
  <si>
    <t>Storage &amp; Organization</t>
  </si>
  <si>
    <t>High</t>
  </si>
  <si>
    <t>Delivery Truck</t>
  </si>
  <si>
    <t>Appliances</t>
  </si>
  <si>
    <t>Binders and Binder Accessories</t>
  </si>
  <si>
    <t>Clay Rozendal</t>
  </si>
  <si>
    <t>Corporate</t>
  </si>
  <si>
    <t>Technology</t>
  </si>
  <si>
    <t>Telephones and Communication</t>
  </si>
  <si>
    <t>Not Specified</t>
  </si>
  <si>
    <t>Furniture</t>
  </si>
  <si>
    <t>Office Furnishings</t>
  </si>
  <si>
    <t>Carl Jackson</t>
  </si>
  <si>
    <t>Express Air</t>
  </si>
  <si>
    <t>Monica Federle</t>
  </si>
  <si>
    <t>Paper</t>
  </si>
  <si>
    <t>Medium</t>
  </si>
  <si>
    <t>Rubber Bands</t>
  </si>
  <si>
    <t>Carlos Daly</t>
  </si>
  <si>
    <t>Computer Peripherals</t>
  </si>
  <si>
    <t>Envelopes</t>
  </si>
  <si>
    <t>Critical</t>
  </si>
  <si>
    <t>Sylvia Foulston</t>
  </si>
  <si>
    <t>Bookcases</t>
  </si>
  <si>
    <t>Tables</t>
  </si>
  <si>
    <t>Jim Radford</t>
  </si>
  <si>
    <t>Labels</t>
  </si>
  <si>
    <t>Carl Ludwig</t>
  </si>
  <si>
    <t>Pens &amp; Art Supplies</t>
  </si>
  <si>
    <t>Copiers and Fax</t>
  </si>
  <si>
    <t>Grant Carroll</t>
  </si>
  <si>
    <t>Alan Barnes</t>
  </si>
  <si>
    <t>Jack Garza</t>
  </si>
  <si>
    <t>Julia West</t>
  </si>
  <si>
    <t>Chairs &amp; Chairmats</t>
  </si>
  <si>
    <t>Eugene Barchas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</si>
  <si>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</si>
  <si>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</si>
  <si>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</si>
  <si>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</si>
  <si>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</si>
  <si>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</si>
  <si>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</si>
  <si>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</si>
  <si>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Barry Weirich</t>
  </si>
  <si>
    <t>Scissors, Rulers and Trimmers</t>
  </si>
  <si>
    <t>Adrian Hane</t>
  </si>
  <si>
    <t>Northwest Territories</t>
  </si>
  <si>
    <t>Bryan Davis</t>
  </si>
  <si>
    <t>Doug Bickford</t>
  </si>
  <si>
    <t>Jamie Kunitz</t>
  </si>
  <si>
    <t>Brendan Dodson</t>
  </si>
  <si>
    <t>Office Machines</t>
  </si>
  <si>
    <t>Hunter Glantz</t>
  </si>
  <si>
    <t>Bryan Mills</t>
  </si>
  <si>
    <t>Jack Lebron</t>
  </si>
  <si>
    <t>Mike Pelletier</t>
  </si>
  <si>
    <t>Charles McCrossin</t>
  </si>
  <si>
    <t>Roy Skaria</t>
  </si>
  <si>
    <t>Jeremy Lonsdale</t>
  </si>
  <si>
    <t>Cindy Schnelling</t>
  </si>
  <si>
    <t>Susan Vittorini</t>
  </si>
  <si>
    <t>Toby Braunhardt</t>
  </si>
  <si>
    <t>Prince Edward Island</t>
  </si>
  <si>
    <t>Atlantic</t>
  </si>
  <si>
    <t>Guy Armstrong</t>
  </si>
  <si>
    <t>Erica Bern</t>
  </si>
  <si>
    <t>Christopher Schild</t>
  </si>
  <si>
    <t>Joy Smith</t>
  </si>
  <si>
    <t>Evan Minnotte</t>
  </si>
  <si>
    <t>Hilary Holden</t>
  </si>
  <si>
    <t>Greg Guthrie</t>
  </si>
  <si>
    <t>Dan Reichenbach</t>
  </si>
  <si>
    <t>Paul Gonzalez</t>
  </si>
  <si>
    <t>Chuck Magee</t>
  </si>
  <si>
    <t>Frank Atkinson</t>
  </si>
  <si>
    <t>Philip Brown</t>
  </si>
  <si>
    <t>Jim Sink</t>
  </si>
  <si>
    <t>Logan Haushalter</t>
  </si>
  <si>
    <t>Manitoba</t>
  </si>
  <si>
    <t>Prarie</t>
  </si>
  <si>
    <t>Brian Moss</t>
  </si>
  <si>
    <t>British Columbia</t>
  </si>
  <si>
    <t>West</t>
  </si>
  <si>
    <t>Julie Creighton</t>
  </si>
  <si>
    <t>Justin Knight</t>
  </si>
  <si>
    <t>Rob Haberlin</t>
  </si>
  <si>
    <t>Sally Knutson</t>
  </si>
  <si>
    <t>Marina Lichtenstein</t>
  </si>
  <si>
    <t>Luke Weiss</t>
  </si>
  <si>
    <t>Sonia Sunley</t>
  </si>
  <si>
    <t>Anthony O'Donnell</t>
  </si>
  <si>
    <t>Alex Avila</t>
  </si>
  <si>
    <t>Kelly Williams</t>
  </si>
  <si>
    <t>Rick Duston</t>
  </si>
  <si>
    <t>Stewart Carmichael</t>
  </si>
  <si>
    <t>Sarah Foster</t>
  </si>
  <si>
    <t>Lisa DeCherney</t>
  </si>
  <si>
    <t>Giulietta Weimer</t>
  </si>
  <si>
    <t>Lela Donovan</t>
  </si>
  <si>
    <t>Shahid Shariari</t>
  </si>
  <si>
    <t>Liz Price</t>
  </si>
  <si>
    <t>Ralph Kennedy</t>
  </si>
  <si>
    <t>Rob Dowd</t>
  </si>
  <si>
    <t>Khloe Miller</t>
  </si>
  <si>
    <t>Ricardo Emerson</t>
  </si>
  <si>
    <t>Sarah Bern</t>
  </si>
  <si>
    <t>Mark Cousins</t>
  </si>
  <si>
    <t>Heather Jas</t>
  </si>
  <si>
    <t>Neil Knudson</t>
  </si>
  <si>
    <t>Chuck Clark</t>
  </si>
  <si>
    <t>Bill Eplett</t>
  </si>
  <si>
    <t>John Grady</t>
  </si>
  <si>
    <t>Nova Scotia</t>
  </si>
  <si>
    <t>Tanja Norvell</t>
  </si>
  <si>
    <t>Paul MacIntyre</t>
  </si>
  <si>
    <t>Sally Matthias</t>
  </si>
  <si>
    <t>Theone Pippenger</t>
  </si>
  <si>
    <t>Art Ferguson</t>
  </si>
  <si>
    <t>Michael Granlund</t>
  </si>
  <si>
    <t>Sean Wendt</t>
  </si>
  <si>
    <t>Chad Sievert</t>
  </si>
  <si>
    <t>Maya Herman</t>
  </si>
  <si>
    <t>Brad Norvell</t>
  </si>
  <si>
    <t>Ken Heidel</t>
  </si>
  <si>
    <t>Mike Kennedy</t>
  </si>
  <si>
    <t>Charles Sheldon</t>
  </si>
  <si>
    <t>Dana Kaydos</t>
  </si>
  <si>
    <t>Bart Watters</t>
  </si>
  <si>
    <t>Nathan Mautz</t>
  </si>
  <si>
    <t>Joel Jenkins</t>
  </si>
  <si>
    <t>Meg O'Connel</t>
  </si>
  <si>
    <t>Liz Thompson</t>
  </si>
  <si>
    <t>Helen Andreada</t>
  </si>
  <si>
    <t>Bruce Stewart</t>
  </si>
  <si>
    <t>Guy Thornton</t>
  </si>
  <si>
    <t>Mary Zewe</t>
  </si>
  <si>
    <t>Maria Bertelson</t>
  </si>
  <si>
    <t>Ivan Gibson</t>
  </si>
  <si>
    <t>Ontario</t>
  </si>
  <si>
    <t>Joseph Airdo</t>
  </si>
  <si>
    <t>Lycoris Saunders</t>
  </si>
  <si>
    <t>Dorothy Dickinson</t>
  </si>
  <si>
    <t>Janet Molinari</t>
  </si>
  <si>
    <t>Craig Carroll</t>
  </si>
  <si>
    <t>Liz MacKendrick</t>
  </si>
  <si>
    <t>Bobby Odegard</t>
  </si>
  <si>
    <t>Bill Donatelli</t>
  </si>
  <si>
    <t>Cari Sayre</t>
  </si>
  <si>
    <t>Sean O'Donnell</t>
  </si>
  <si>
    <t>Shirley Schmidt</t>
  </si>
  <si>
    <t>Rick Wilson</t>
  </si>
  <si>
    <t>Pauline Chand</t>
  </si>
  <si>
    <t>Ritsa Hightower</t>
  </si>
  <si>
    <t>Anna Gayman</t>
  </si>
  <si>
    <t>Daniel Raglin</t>
  </si>
  <si>
    <t>Corinna Mitchell</t>
  </si>
  <si>
    <t>Jas O'Carroll</t>
  </si>
  <si>
    <t>Paul Prost</t>
  </si>
  <si>
    <t>Tamara Dahlen</t>
  </si>
  <si>
    <t>Erin Creighton</t>
  </si>
  <si>
    <t>Candace McMahon</t>
  </si>
  <si>
    <t>Kelly Lampkin</t>
  </si>
  <si>
    <t>Anthony Witt</t>
  </si>
  <si>
    <t>Ted Trevino</t>
  </si>
  <si>
    <t>Alan Hwang</t>
  </si>
  <si>
    <t>James Lanier</t>
  </si>
  <si>
    <t>Edward Becker</t>
  </si>
  <si>
    <t>Ann Blume</t>
  </si>
  <si>
    <t>Anna Haberlin</t>
  </si>
  <si>
    <t>Darren Budd</t>
  </si>
  <si>
    <t>Bill Stewart</t>
  </si>
  <si>
    <t>Melanie Page</t>
  </si>
  <si>
    <t>Darren Powers</t>
  </si>
  <si>
    <t>Dan Lawera</t>
  </si>
  <si>
    <t>Dave Hallsten</t>
  </si>
  <si>
    <t>Arthur Wiediger</t>
  </si>
  <si>
    <t>Andy Yotov</t>
  </si>
  <si>
    <t>Naresj Patel</t>
  </si>
  <si>
    <t>Ruben Ausman</t>
  </si>
  <si>
    <t>Linda Cazamias</t>
  </si>
  <si>
    <t>Andy Reiter</t>
  </si>
  <si>
    <t>Mike Caudle</t>
  </si>
  <si>
    <t>Brian Stugart</t>
  </si>
  <si>
    <t>George Bell</t>
  </si>
  <si>
    <t>Amy Cox</t>
  </si>
  <si>
    <t>Cari MacIntyre</t>
  </si>
  <si>
    <t>Dean Braden</t>
  </si>
  <si>
    <t>Lena Creighton</t>
  </si>
  <si>
    <t>Janet Martin</t>
  </si>
  <si>
    <t>Thomas Boland</t>
  </si>
  <si>
    <t>Phillip Breyer</t>
  </si>
  <si>
    <t>Scot Coram</t>
  </si>
  <si>
    <t>Maria Zettner</t>
  </si>
  <si>
    <t>Newfoundland</t>
  </si>
  <si>
    <t>Keith Herrera</t>
  </si>
  <si>
    <t>Carlos Meador</t>
  </si>
  <si>
    <t>Karl Brown</t>
  </si>
  <si>
    <t>Natalie Webber</t>
  </si>
  <si>
    <t>Barry Franz</t>
  </si>
  <si>
    <t>Craig Yedwab</t>
  </si>
  <si>
    <t>Muhammed Lee</t>
  </si>
  <si>
    <t>Bobby Trafton</t>
  </si>
  <si>
    <t>Harold Dahlen</t>
  </si>
  <si>
    <t>Dan Campbell</t>
  </si>
  <si>
    <t>Eleni McCrary</t>
  </si>
  <si>
    <t>Astrea Jones</t>
  </si>
  <si>
    <t>Giulietta Dortch</t>
  </si>
  <si>
    <t>Damala Kotsonis</t>
  </si>
  <si>
    <t>Yana Sorensen</t>
  </si>
  <si>
    <t>Brad Thomas</t>
  </si>
  <si>
    <t>Cynthia Voltz</t>
  </si>
  <si>
    <t>Ben Peterman</t>
  </si>
  <si>
    <t>Tracy Poddar</t>
  </si>
  <si>
    <t>Sara Luxemburg</t>
  </si>
  <si>
    <t>Paul Knutson</t>
  </si>
  <si>
    <t>Karen Carlisle</t>
  </si>
  <si>
    <t>Stefania Perrino</t>
  </si>
  <si>
    <t>Paul Lucas</t>
  </si>
  <si>
    <t>Evan Henry</t>
  </si>
  <si>
    <t>Shirley Jackson</t>
  </si>
  <si>
    <t>Berenike Kampe</t>
  </si>
  <si>
    <t>Tony Molinari</t>
  </si>
  <si>
    <t>Deanra Eno</t>
  </si>
  <si>
    <t>Brendan Murry</t>
  </si>
  <si>
    <t>Deborah Brumfield</t>
  </si>
  <si>
    <t>Michael Kennedy</t>
  </si>
  <si>
    <t>Marc Crier</t>
  </si>
  <si>
    <t>Karen Ferguson</t>
  </si>
  <si>
    <t>Bradley Talbott</t>
  </si>
  <si>
    <t>Julia Barnett</t>
  </si>
  <si>
    <t>Liz Willingham</t>
  </si>
  <si>
    <t>Denise Leinenbach</t>
  </si>
  <si>
    <t>Julie Kriz</t>
  </si>
  <si>
    <t>Luke Foster</t>
  </si>
  <si>
    <t>Michelle Tran</t>
  </si>
  <si>
    <t>Quebec</t>
  </si>
  <si>
    <t>Vivian Mathis</t>
  </si>
  <si>
    <t>Carol Adams</t>
  </si>
  <si>
    <t>Bradley Nguyen</t>
  </si>
  <si>
    <t>Pete Takahito</t>
  </si>
  <si>
    <t>Helen Wasserman</t>
  </si>
  <si>
    <t>Ross DeVincentis</t>
  </si>
  <si>
    <t>Cynthia Delaney</t>
  </si>
  <si>
    <t>Tom Stivers</t>
  </si>
  <si>
    <t>Grant Thornton</t>
  </si>
  <si>
    <t>Speros Goranitis</t>
  </si>
  <si>
    <t>Ellis Ballard</t>
  </si>
  <si>
    <t>Bart Folk</t>
  </si>
  <si>
    <t>Anne Pryor</t>
  </si>
  <si>
    <t>Dorris Love</t>
  </si>
  <si>
    <t>Caroline Jumper</t>
  </si>
  <si>
    <t>Sheri Gordon</t>
  </si>
  <si>
    <t>Max Engle</t>
  </si>
  <si>
    <t>Fred Chung</t>
  </si>
  <si>
    <t>Jennifer Ferguson</t>
  </si>
  <si>
    <t>Katherine Nockton</t>
  </si>
  <si>
    <t>Stewart Visinsky</t>
  </si>
  <si>
    <t>Laurel Elliston</t>
  </si>
  <si>
    <t>Mitch Webber</t>
  </si>
  <si>
    <t>Carol Triggs</t>
  </si>
  <si>
    <t>Justin MacKendrick</t>
  </si>
  <si>
    <t>Lindsay Castell</t>
  </si>
  <si>
    <t>Ted Butterfield</t>
  </si>
  <si>
    <t>Shirley Daniels</t>
  </si>
  <si>
    <t>Arthur Gainer</t>
  </si>
  <si>
    <t>Kean Nguyen</t>
  </si>
  <si>
    <t>John Lucas</t>
  </si>
  <si>
    <t>Alejandro Grove</t>
  </si>
  <si>
    <t>Jane Waco</t>
  </si>
  <si>
    <t>Sandra Flanagan</t>
  </si>
  <si>
    <t>Xylona Price</t>
  </si>
  <si>
    <t>Bill Overfelt</t>
  </si>
  <si>
    <t>Robert Marley</t>
  </si>
  <si>
    <t>Guy Phonely</t>
  </si>
  <si>
    <t>Matt Connell</t>
  </si>
  <si>
    <t>Vivek Grady</t>
  </si>
  <si>
    <t>Ben Ferrer</t>
  </si>
  <si>
    <t>Pamela Coakley</t>
  </si>
  <si>
    <t>Laura Armstrong</t>
  </si>
  <si>
    <t>Cathy Prescott</t>
  </si>
  <si>
    <t>Maureen Fritzler</t>
  </si>
  <si>
    <t>Don Weiss</t>
  </si>
  <si>
    <t>Kalyca Meade</t>
  </si>
  <si>
    <t>Benjamin Patterson</t>
  </si>
  <si>
    <t>Denny Joy</t>
  </si>
  <si>
    <t>Kristen Hastings</t>
  </si>
  <si>
    <t>Alan Schoenberger</t>
  </si>
  <si>
    <t>Alejandro Savely</t>
  </si>
  <si>
    <t>Kean Thornton</t>
  </si>
  <si>
    <t>Jason Fortune</t>
  </si>
  <si>
    <t>Dave Brooks</t>
  </si>
  <si>
    <t>New Brunswick</t>
  </si>
  <si>
    <t>Quincy Jones</t>
  </si>
  <si>
    <t>Nona Balk</t>
  </si>
  <si>
    <t>Erin Mull</t>
  </si>
  <si>
    <t>John Lee</t>
  </si>
  <si>
    <t>Justin Deggeller</t>
  </si>
  <si>
    <t>Lindsay Williams</t>
  </si>
  <si>
    <t>Steve Chapman</t>
  </si>
  <si>
    <t>Scot Wooten</t>
  </si>
  <si>
    <t>Valerie Dominguez</t>
  </si>
  <si>
    <t>Susan MacKendrick</t>
  </si>
  <si>
    <t>Thais Sissman</t>
  </si>
  <si>
    <t>Michael Moore</t>
  </si>
  <si>
    <t>Patrick Ryan</t>
  </si>
  <si>
    <t>Ross Baird</t>
  </si>
  <si>
    <t>Mick Crebagga</t>
  </si>
  <si>
    <t>Nick Radford</t>
  </si>
  <si>
    <t>Maurice Satty</t>
  </si>
  <si>
    <t>Maureen Grace</t>
  </si>
  <si>
    <t>Evan Bailliet</t>
  </si>
  <si>
    <t>Katherine Ducich</t>
  </si>
  <si>
    <t>Tracy Collins</t>
  </si>
  <si>
    <t>Toby Knight</t>
  </si>
  <si>
    <t>Nora Pelletier</t>
  </si>
  <si>
    <t>Joy Daniels</t>
  </si>
  <si>
    <t>Maribeth Schnelling</t>
  </si>
  <si>
    <t>Peter Fuller</t>
  </si>
  <si>
    <t>Saskachewan</t>
  </si>
  <si>
    <t>Mitch Willingham</t>
  </si>
  <si>
    <t>John Dryer</t>
  </si>
  <si>
    <t>Randy Bradley</t>
  </si>
  <si>
    <t>William Brown</t>
  </si>
  <si>
    <t>Rick Hansen</t>
  </si>
  <si>
    <t>Max Ludwig</t>
  </si>
  <si>
    <t>Michelle Moray</t>
  </si>
  <si>
    <t>Sung Shariari</t>
  </si>
  <si>
    <t>Neil French</t>
  </si>
  <si>
    <t>Suzanne McNair</t>
  </si>
  <si>
    <t>Nick Crebassa</t>
  </si>
  <si>
    <t>Aleksandra Gannaway</t>
  </si>
  <si>
    <t>Karen Bern</t>
  </si>
  <si>
    <t>Liz Pelletier</t>
  </si>
  <si>
    <t>Jonathan Doherty</t>
  </si>
  <si>
    <t>Maxwell Schwartz</t>
  </si>
  <si>
    <t>Liz Carlisle</t>
  </si>
  <si>
    <t>Dennis Pardue</t>
  </si>
  <si>
    <t>Craig Carreira</t>
  </si>
  <si>
    <t>Paul Stevenson</t>
  </si>
  <si>
    <t>Michael Grace</t>
  </si>
  <si>
    <t>Saphhira Shifley</t>
  </si>
  <si>
    <t>Tiffany House</t>
  </si>
  <si>
    <t>Roy Collins</t>
  </si>
  <si>
    <t>Christina Anderson</t>
  </si>
  <si>
    <t>Robert Dilbeck</t>
  </si>
  <si>
    <t>Randy Ferguson</t>
  </si>
  <si>
    <t>Arianne Irving</t>
  </si>
  <si>
    <t>Lynn Smith</t>
  </si>
  <si>
    <t>Christine Abelman</t>
  </si>
  <si>
    <t>Pauline Johnson</t>
  </si>
  <si>
    <t>Yukon</t>
  </si>
  <si>
    <t>Cindy Chapman</t>
  </si>
  <si>
    <t>Dianna Vittorini</t>
  </si>
  <si>
    <t>Cindy Stewart</t>
  </si>
  <si>
    <t>Ricardo Block</t>
  </si>
  <si>
    <t>Adam Hart</t>
  </si>
  <si>
    <t>Roland Fjeld</t>
  </si>
  <si>
    <t>Tamara Willingham</t>
  </si>
  <si>
    <t>Jeremy Pistek</t>
  </si>
  <si>
    <t>Victoria Pisteka</t>
  </si>
  <si>
    <t>Dave Kipp</t>
  </si>
  <si>
    <t>David Bremer</t>
  </si>
  <si>
    <t>Tim Taslimi</t>
  </si>
  <si>
    <t>Juliana Krohn</t>
  </si>
  <si>
    <t>Duane Noonan</t>
  </si>
  <si>
    <t>Paul Van Hugh</t>
  </si>
  <si>
    <t>Pete Kriz</t>
  </si>
  <si>
    <t>Rick Huthwaite</t>
  </si>
  <si>
    <t>Andrew Allen</t>
  </si>
  <si>
    <t>Art Miller</t>
  </si>
  <si>
    <t>Lauren Leatherbury</t>
  </si>
  <si>
    <t>Alberta</t>
  </si>
  <si>
    <t>Roger Barcio</t>
  </si>
  <si>
    <t>Tamara Manning</t>
  </si>
  <si>
    <t>Shaun Chance</t>
  </si>
  <si>
    <t>Ken Dana</t>
  </si>
  <si>
    <t>Mitch Gastineau</t>
  </si>
  <si>
    <t>Sonia Cooley</t>
  </si>
  <si>
    <t>Becky Pak</t>
  </si>
  <si>
    <t>Adam Shillingsburg</t>
  </si>
  <si>
    <t>Tom Boeckenhauer</t>
  </si>
  <si>
    <t>Alyssa Crouse</t>
  </si>
  <si>
    <t>Alice McCarthy</t>
  </si>
  <si>
    <t>Frank Merwin</t>
  </si>
  <si>
    <t>Bruce Money</t>
  </si>
  <si>
    <t>Larry Tron</t>
  </si>
  <si>
    <t>Brian DeCherney</t>
  </si>
  <si>
    <t>Ann Steele</t>
  </si>
  <si>
    <t>Katrina Edelman</t>
  </si>
  <si>
    <t>Ruben Dartt</t>
  </si>
  <si>
    <t>Roy Phan</t>
  </si>
  <si>
    <t>Alan Dominguez</t>
  </si>
  <si>
    <t>Harry Greene</t>
  </si>
  <si>
    <t>Formatted Order Date</t>
  </si>
  <si>
    <t>Formatted Ship Date</t>
  </si>
  <si>
    <t>Grand Total</t>
  </si>
  <si>
    <t>Sum of Profit</t>
  </si>
  <si>
    <t>Top 3 Profitable Sub-Categories – Atlantic Region</t>
  </si>
  <si>
    <t>Top 3 Profitable Sub-Categories – Northwest Territories</t>
  </si>
  <si>
    <t>Top 3 Profitable Sub-Categories – Nunavut</t>
  </si>
  <si>
    <t>Top 3 Profitable Sub-Categories – Ontario</t>
  </si>
  <si>
    <t>Top 3 Profitable Sub-Categories – Prarie</t>
  </si>
  <si>
    <t>Top 3 Profitable Sub-Categories – Quebec</t>
  </si>
  <si>
    <t>Top 3 Profitable Sub-Categories – West</t>
  </si>
  <si>
    <t>Top 3 Profitable Sub-Categories – Yukon</t>
  </si>
  <si>
    <t>Column Labels</t>
  </si>
  <si>
    <t>Top 3 Loss-Making Product Subcategories Across All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</si>
</sst>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$&quot;#,##0.00"/>
    <numFmt numFmtId="166" formatCode="&quot;$&quot;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33" borderId="10" xfId="0" applyFont="1" applyFill="1" applyBorder="1"/>
    <xf numFmtId="164" fontId="16" fillId="33" borderId="10" xfId="0" applyNumberFormat="1" applyFont="1" applyFill="1" applyBorder="1"/>
    <xf numFmtId="0" fontId="0" fillId="0" borderId="0" xfId="0" pivotButton="1"/>
    <xf numFmtId="0" fontId="0" fillId="0" borderId="0" xfId="0" applyBorder="1"/>
    <xf numFmtId="0" fontId="0" fillId="0" borderId="11" xfId="0" applyBorder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/>
    <xf numFmtId="0" fontId="19" fillId="0" borderId="0" xfId="0" applyFont="1" applyAlignment="1"/>
    <xf numFmtId="0" fontId="0" fillId="0" borderId="0" xfId="0" applyAlignment="1"/>
    <xf numFmtId="0" fontId="16" fillId="0" borderId="10" xfId="0" applyNumberFormat="1" applyFont="1" applyBorder="1"/>
    <xf numFmtId="166" fontId="0" fillId="0" borderId="0" xfId="0" applyNumberFormat="1"/>
    <xf numFmtId="166" fontId="16" fillId="33" borderId="10" xfId="0" applyNumberFormat="1" applyFont="1" applyFill="1" applyBorder="1"/>
    <xf numFmtId="0" fontId="0" fillId="0" borderId="0" xfId="0" applyAlignment="1">
      <alignment horizontal="center"/>
    </xf>
    <xf numFmtId="0" fontId="19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dhimaNew" refreshedDate="45850.807655324075" createdVersion="7" refreshedVersion="7" minRefreshableVersion="3" recordCount="3076" xr:uid="{5C06ACF0-1503-4AA6-B7AD-F8FC5AA46F49}">
  <cacheSource type="worksheet">
    <worksheetSource ref="A1:T3077" sheet="Corporate"/>
  </cacheSource>
  <cacheFields count="20">
    <cacheField name="Order ID" numFmtId="0">
      <sharedItems containsSemiMixedTypes="0" containsString="0" containsNumber="1" containsInteger="1" minValue="6" maxValue="59942"/>
    </cacheField>
    <cacheField name="Order Date" numFmtId="14">
      <sharedItems containsSemiMixedTypes="0" containsNonDate="0" containsDate="1" containsString="0" minDate="2009-01-02T00:00:00" maxDate="2012-12-31T00:00:00"/>
    </cacheField>
    <cacheField name="Order Priority" numFmtId="0">
      <sharedItems/>
    </cacheField>
    <cacheField name="Formatted Order Date" numFmtId="0">
      <sharedItems/>
    </cacheField>
    <cacheField name="Order Quantity" numFmtId="0">
      <sharedItems containsSemiMixedTypes="0" containsString="0" containsNumber="1" containsInteger="1" minValue="1" maxValue="50"/>
    </cacheField>
    <cacheField name="Sales" numFmtId="165">
      <sharedItems containsSemiMixedTypes="0" containsString="0" containsNumber="1" minValue="2.2400000000000002" maxValue="41343.21"/>
    </cacheField>
    <cacheField name="Discount" numFmtId="0">
      <sharedItems containsSemiMixedTypes="0" containsString="0" containsNumber="1" minValue="0" maxValue="0.21"/>
    </cacheField>
    <cacheField name="Ship Mode" numFmtId="0">
      <sharedItems/>
    </cacheField>
    <cacheField name="Profit" numFmtId="165">
      <sharedItems containsSemiMixedTypes="0" containsString="0" containsNumber="1" minValue="-11861.46" maxValue="14440.39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43.71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Atlantic"/>
        <s v="Northwest Territories"/>
        <s v="Nunavut"/>
        <s v="Ontario"/>
        <s v="Prarie"/>
        <s v="Quebec"/>
        <s v="West"/>
        <s v="Yukon"/>
      </sharedItems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 count="17">
        <s v="Office Machines"/>
        <s v="Binders and Binder Accessories"/>
        <s v="Chairs &amp; Chairmats"/>
        <s v="Tables"/>
        <s v="Storage &amp; Organization"/>
        <s v="Appliances"/>
        <s v="Copiers and Fax"/>
        <s v="Office Furnishings"/>
        <s v="Bookcases"/>
        <s v="Labels"/>
        <s v="Telephones and Communication"/>
        <s v="Computer Peripherals"/>
        <s v="Paper"/>
        <s v="Pens &amp; Art Supplies"/>
        <s v="Scissors, Rulers and Trimmers"/>
        <s v="Envelopes"/>
        <s v="Rubber Bands"/>
      </sharedItems>
    </cacheField>
    <cacheField name="Product Base Margin" numFmtId="0">
      <sharedItems containsString="0" containsBlank="1" containsNumber="1" minValue="0.35" maxValue="0.85" count="52">
        <n v="0.56000000000000005"/>
        <n v="0.38"/>
        <n v="0.35"/>
        <n v="0.7"/>
        <n v="0.39"/>
        <n v="0.82"/>
        <n v="0.56999999999999995"/>
        <n v="0.37"/>
        <n v="0.78"/>
        <n v="0.61"/>
        <n v="0.36"/>
        <n v="0.79"/>
        <n v="0.8"/>
        <n v="0.72"/>
        <n v="0.59"/>
        <n v="0.57999999999999996"/>
        <n v="0.75"/>
        <n v="0.53"/>
        <n v="0.6"/>
        <n v="0.49"/>
        <n v="0.55000000000000004"/>
        <n v="0.43"/>
        <n v="0.42"/>
        <n v="0.48"/>
        <n v="0.52"/>
        <n v="0.41"/>
        <n v="0.47"/>
        <n v="0.4"/>
        <n v="0.64"/>
        <n v="0.46"/>
        <n v="0.84"/>
        <n v="0.5"/>
        <n v="0.66"/>
        <n v="0.73"/>
        <n v="0.83"/>
        <n v="0.71"/>
        <n v="0.77"/>
        <n v="0.74"/>
        <n v="0.65"/>
        <n v="0.69"/>
        <n v="0.76"/>
        <n v="0.54"/>
        <n v="0.85"/>
        <n v="0.81"/>
        <n v="0.62"/>
        <n v="0.45"/>
        <n v="0.67"/>
        <n v="0.44"/>
        <n v="0.68"/>
        <m/>
        <n v="0.63"/>
        <n v="0.51"/>
      </sharedItems>
    </cacheField>
    <cacheField name="Ship Date" numFmtId="14">
      <sharedItems containsSemiMixedTypes="0" containsNonDate="0" containsDate="1" containsString="0" minDate="2009-01-02T00:00:00" maxDate="2012-12-31T00:00:00"/>
    </cacheField>
    <cacheField name="Formatted Ship 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6">
  <r>
    <n v="23106"/>
    <d v="2010-10-20T00:00:00"/>
    <s v="Medium"/>
    <s v="20-Oct-2010"/>
    <n v="35"/>
    <n v="25313.34"/>
    <n v="0.05"/>
    <s v="Delivery Truck"/>
    <n v="8612.11"/>
    <n v="810.98"/>
    <n v="16.059999999999999"/>
    <s v="Liz MacKendrick"/>
    <s v="New Brunswick"/>
    <x v="0"/>
    <s v="Corporate"/>
    <s v="Technology"/>
    <x v="0"/>
    <x v="0"/>
    <d v="2010-10-22T00:00:00"/>
    <s v="22-Oct-2010"/>
  </r>
  <r>
    <n v="21121"/>
    <d v="2009-09-16T00:00:00"/>
    <s v="Not Specified"/>
    <s v="16-Sep-2009"/>
    <n v="50"/>
    <n v="20175.48"/>
    <n v="0"/>
    <s v="Regular Air"/>
    <n v="9373.9599999999991"/>
    <n v="387.99"/>
    <n v="19.989999999999998"/>
    <s v="Erin Mull"/>
    <s v="New Brunswick"/>
    <x v="0"/>
    <s v="Corporate"/>
    <s v="Office Supplies"/>
    <x v="1"/>
    <x v="1"/>
    <d v="2009-09-17T00:00:00"/>
    <s v="17-Sep-2009"/>
  </r>
  <r>
    <n v="20480"/>
    <d v="2009-01-29T00:00:00"/>
    <s v="Medium"/>
    <s v="29-Jan-2009"/>
    <n v="38"/>
    <n v="16147.61"/>
    <n v="0.02"/>
    <s v="Regular Air"/>
    <n v="7604.95"/>
    <n v="420.98"/>
    <n v="19.989999999999998"/>
    <s v="Liz MacKendrick"/>
    <s v="New Brunswick"/>
    <x v="0"/>
    <s v="Corporate"/>
    <s v="Office Supplies"/>
    <x v="1"/>
    <x v="2"/>
    <d v="2009-02-01T00:00:00"/>
    <s v="01-Feb-2009"/>
  </r>
  <r>
    <n v="32101"/>
    <d v="2009-12-26T00:00:00"/>
    <s v="Low"/>
    <s v="26-Dec-2009"/>
    <n v="48"/>
    <n v="14567.15"/>
    <n v="0.04"/>
    <s v="Delivery Truck"/>
    <n v="3799.59"/>
    <n v="291.73"/>
    <n v="48.8"/>
    <s v="Liz MacKendrick"/>
    <s v="New Brunswick"/>
    <x v="0"/>
    <s v="Corporate"/>
    <s v="Furniture"/>
    <x v="2"/>
    <x v="0"/>
    <d v="2009-12-30T00:00:00"/>
    <s v="30-Dec-2009"/>
  </r>
  <r>
    <n v="50657"/>
    <d v="2011-12-18T00:00:00"/>
    <s v="High"/>
    <s v="18-Dec-2011"/>
    <n v="49"/>
    <n v="7413.29"/>
    <n v="0.01"/>
    <s v="Delivery Truck"/>
    <n v="1148.23"/>
    <n v="150.97999999999999"/>
    <n v="16.010000000000002"/>
    <s v="Aleksandra Gannaway"/>
    <s v="New Brunswick"/>
    <x v="0"/>
    <s v="Corporate"/>
    <s v="Furniture"/>
    <x v="3"/>
    <x v="3"/>
    <d v="2011-12-20T00:00:00"/>
    <s v="20-Dec-2011"/>
  </r>
  <r>
    <n v="10886"/>
    <d v="2009-08-23T00:00:00"/>
    <s v="Critical"/>
    <s v="23-Aug-2009"/>
    <n v="47"/>
    <n v="5750.94"/>
    <n v="0.01"/>
    <s v="Delivery Truck"/>
    <n v="432.98"/>
    <n v="119.99"/>
    <n v="56.14"/>
    <s v="Quincy Jones"/>
    <s v="New Brunswick"/>
    <x v="0"/>
    <s v="Corporate"/>
    <s v="Technology"/>
    <x v="0"/>
    <x v="4"/>
    <d v="2009-08-24T00:00:00"/>
    <s v="24-Aug-2009"/>
  </r>
  <r>
    <n v="54791"/>
    <d v="2012-12-20T00:00:00"/>
    <s v="High"/>
    <s v="20-Dec-2012"/>
    <n v="42"/>
    <n v="4273.3500000000004"/>
    <n v="7.0000000000000007E-2"/>
    <s v="Regular Air"/>
    <n v="-892.03"/>
    <n v="101.41"/>
    <n v="35"/>
    <s v="Lisa DeCherney"/>
    <s v="New Brunswick"/>
    <x v="0"/>
    <s v="Corporate"/>
    <s v="Office Supplies"/>
    <x v="4"/>
    <x v="5"/>
    <d v="2012-12-22T00:00:00"/>
    <s v="22-Dec-2012"/>
  </r>
  <r>
    <n v="12900"/>
    <d v="2010-05-03T00:00:00"/>
    <s v="High"/>
    <s v="03-May-2010"/>
    <n v="18"/>
    <n v="4096.21"/>
    <n v="0.08"/>
    <s v="Delivery Truck"/>
    <n v="308.22000000000003"/>
    <n v="306.14"/>
    <n v="26.53"/>
    <s v="Laurel Elliston"/>
    <s v="New Brunswick"/>
    <x v="0"/>
    <s v="Corporate"/>
    <s v="Technology"/>
    <x v="0"/>
    <x v="0"/>
    <d v="2010-05-05T00:00:00"/>
    <s v="05-May-2010"/>
  </r>
  <r>
    <n v="2048"/>
    <d v="2010-11-14T00:00:00"/>
    <s v="Critical"/>
    <s v="14-Nov-2010"/>
    <n v="12"/>
    <n v="3752.61"/>
    <n v="0.01"/>
    <s v="Delivery Truck"/>
    <n v="637.92999999999995"/>
    <n v="294.62"/>
    <n v="42.52"/>
    <s v="Deanra Eno"/>
    <s v="New Brunswick"/>
    <x v="0"/>
    <s v="Corporate"/>
    <s v="Office Supplies"/>
    <x v="5"/>
    <x v="6"/>
    <d v="2010-11-15T00:00:00"/>
    <s v="15-Nov-2010"/>
  </r>
  <r>
    <n v="22917"/>
    <d v="2009-03-01T00:00:00"/>
    <s v="Medium"/>
    <s v="01-Mar-2009"/>
    <n v="1"/>
    <n v="3550.28"/>
    <n v="0.06"/>
    <s v="Express Air"/>
    <n v="-11769.17"/>
    <n v="3499.99"/>
    <n v="24.49"/>
    <s v="Nathan Mautz"/>
    <s v="New Brunswick"/>
    <x v="0"/>
    <s v="Corporate"/>
    <s v="Technology"/>
    <x v="6"/>
    <x v="7"/>
    <d v="2009-03-04T00:00:00"/>
    <s v="04-Mar-2009"/>
  </r>
  <r>
    <n v="37313"/>
    <d v="2012-07-02T00:00:00"/>
    <s v="Not Specified"/>
    <s v="02-Jul-2012"/>
    <n v="44"/>
    <n v="3304.38"/>
    <n v="0"/>
    <s v="Regular Air"/>
    <n v="-634.49"/>
    <n v="70.709999999999994"/>
    <n v="37.58"/>
    <s v="Liz MacKendrick"/>
    <s v="New Brunswick"/>
    <x v="0"/>
    <s v="Corporate"/>
    <s v="Furniture"/>
    <x v="7"/>
    <x v="8"/>
    <d v="2012-07-03T00:00:00"/>
    <s v="03-Jul-2012"/>
  </r>
  <r>
    <n v="22628"/>
    <d v="2009-10-29T00:00:00"/>
    <s v="Medium"/>
    <s v="29-Oct-2009"/>
    <n v="30"/>
    <n v="2951.7"/>
    <n v="0.02"/>
    <s v="Delivery Truck"/>
    <n v="-1111.45"/>
    <n v="95.95"/>
    <n v="74.349999999999994"/>
    <s v="Lynn Smith"/>
    <s v="New Brunswick"/>
    <x v="0"/>
    <s v="Corporate"/>
    <s v="Furniture"/>
    <x v="2"/>
    <x v="6"/>
    <d v="2009-11-01T00:00:00"/>
    <s v="01-Nov-2009"/>
  </r>
  <r>
    <n v="10630"/>
    <d v="2010-02-04T00:00:00"/>
    <s v="Medium"/>
    <s v="04-Feb-2010"/>
    <n v="44"/>
    <n v="2773.84"/>
    <n v="0"/>
    <s v="Delivery Truck"/>
    <n v="-513.76"/>
    <n v="58.14"/>
    <n v="36.61"/>
    <s v="Pauline Johnson"/>
    <s v="New Brunswick"/>
    <x v="0"/>
    <s v="Corporate"/>
    <s v="Furniture"/>
    <x v="8"/>
    <x v="9"/>
    <d v="2010-02-06T00:00:00"/>
    <s v="06-Feb-2010"/>
  </r>
  <r>
    <n v="57059"/>
    <d v="2011-06-01T00:00:00"/>
    <s v="Medium"/>
    <s v="01-Jun-2011"/>
    <n v="25"/>
    <n v="2455.54"/>
    <n v="0.03"/>
    <s v="Regular Air"/>
    <n v="1361.88"/>
    <n v="98.31"/>
    <n v="0.49"/>
    <s v="Liz MacKendrick"/>
    <s v="New Brunswick"/>
    <x v="0"/>
    <s v="Corporate"/>
    <s v="Office Supplies"/>
    <x v="9"/>
    <x v="10"/>
    <d v="2011-06-03T00:00:00"/>
    <s v="03-Jun-2011"/>
  </r>
  <r>
    <n v="30625"/>
    <d v="2010-02-08T00:00:00"/>
    <s v="Critical"/>
    <s v="08-Feb-2010"/>
    <n v="24"/>
    <n v="2429.09"/>
    <n v="0.06"/>
    <s v="Express Air"/>
    <n v="-20.67"/>
    <n v="105.29"/>
    <n v="10.119999999999999"/>
    <s v="Pauline Johnson"/>
    <s v="New Brunswick"/>
    <x v="0"/>
    <s v="Corporate"/>
    <s v="Furniture"/>
    <x v="7"/>
    <x v="11"/>
    <d v="2010-02-10T00:00:00"/>
    <s v="10-Feb-2010"/>
  </r>
  <r>
    <n v="20933"/>
    <d v="2012-08-26T00:00:00"/>
    <s v="High"/>
    <s v="26-Aug-2012"/>
    <n v="45"/>
    <n v="2079.4740000000002"/>
    <n v="0.05"/>
    <s v="Regular Air"/>
    <n v="-81.569999999999993"/>
    <n v="55.99"/>
    <n v="5"/>
    <s v="Alan Hwang"/>
    <s v="New Brunswick"/>
    <x v="0"/>
    <s v="Corporate"/>
    <s v="Technology"/>
    <x v="10"/>
    <x v="12"/>
    <d v="2012-08-28T00:00:00"/>
    <s v="28-Aug-2012"/>
  </r>
  <r>
    <n v="13767"/>
    <d v="2010-08-26T00:00:00"/>
    <s v="High"/>
    <s v="26-Aug-2010"/>
    <n v="12"/>
    <n v="2050.712"/>
    <n v="0.05"/>
    <s v="Delivery Truck"/>
    <n v="-381.04"/>
    <n v="218.75"/>
    <n v="69.64"/>
    <s v="Nona Balk"/>
    <s v="New Brunswick"/>
    <x v="0"/>
    <s v="Corporate"/>
    <s v="Furniture"/>
    <x v="3"/>
    <x v="13"/>
    <d v="2010-08-28T00:00:00"/>
    <s v="28-Aug-2010"/>
  </r>
  <r>
    <n v="21731"/>
    <d v="2011-11-26T00:00:00"/>
    <s v="Low"/>
    <s v="26-Nov-2011"/>
    <n v="26"/>
    <n v="1580.57"/>
    <n v="0.08"/>
    <s v="Regular Air"/>
    <n v="-750.82"/>
    <n v="60.98"/>
    <n v="49"/>
    <s v="Liz MacKendrick"/>
    <s v="New Brunswick"/>
    <x v="0"/>
    <s v="Corporate"/>
    <s v="Office Supplies"/>
    <x v="5"/>
    <x v="14"/>
    <d v="2011-11-26T00:00:00"/>
    <s v="26-Nov-2011"/>
  </r>
  <r>
    <n v="51488"/>
    <d v="2010-05-02T00:00:00"/>
    <s v="High"/>
    <s v="02-May-2010"/>
    <n v="31"/>
    <n v="1561.96"/>
    <n v="0.03"/>
    <s v="Regular Air"/>
    <n v="119.92"/>
    <n v="50.98"/>
    <n v="13.66"/>
    <s v="Liz MacKendrick"/>
    <s v="New Brunswick"/>
    <x v="0"/>
    <s v="Corporate"/>
    <s v="Office Supplies"/>
    <x v="5"/>
    <x v="15"/>
    <d v="2010-05-03T00:00:00"/>
    <s v="03-May-2010"/>
  </r>
  <r>
    <n v="31718"/>
    <d v="2010-11-27T00:00:00"/>
    <s v="Low"/>
    <s v="27-Nov-2010"/>
    <n v="24"/>
    <n v="1390.6935000000001"/>
    <n v="0.03"/>
    <s v="Regular Air"/>
    <n v="168.46"/>
    <n v="65.989999999999995"/>
    <n v="7.69"/>
    <s v="Nona Balk"/>
    <s v="New Brunswick"/>
    <x v="0"/>
    <s v="Corporate"/>
    <s v="Technology"/>
    <x v="10"/>
    <x v="14"/>
    <d v="2010-12-01T00:00:00"/>
    <s v="01-Dec-2010"/>
  </r>
  <r>
    <n v="20036"/>
    <d v="2010-12-05T00:00:00"/>
    <s v="Not Specified"/>
    <s v="05-Dec-2010"/>
    <n v="44"/>
    <n v="1207.4000000000001"/>
    <n v="0.03"/>
    <s v="Regular Air"/>
    <n v="-25.23"/>
    <n v="26.31"/>
    <n v="5.89"/>
    <s v="John Lee"/>
    <s v="New Brunswick"/>
    <x v="0"/>
    <s v="Corporate"/>
    <s v="Technology"/>
    <x v="11"/>
    <x v="16"/>
    <d v="2010-12-07T00:00:00"/>
    <s v="07-Dec-2010"/>
  </r>
  <r>
    <n v="54791"/>
    <d v="2012-12-20T00:00:00"/>
    <s v="High"/>
    <s v="20-Dec-2012"/>
    <n v="27"/>
    <n v="1087.58"/>
    <n v="0.01"/>
    <s v="Regular Air"/>
    <n v="514.45000000000005"/>
    <n v="39.89"/>
    <n v="3.04"/>
    <s v="Lisa DeCherney"/>
    <s v="New Brunswick"/>
    <x v="0"/>
    <s v="Corporate"/>
    <s v="Furniture"/>
    <x v="7"/>
    <x v="17"/>
    <d v="2012-12-21T00:00:00"/>
    <s v="21-Dec-2012"/>
  </r>
  <r>
    <n v="22210"/>
    <d v="2011-09-19T00:00:00"/>
    <s v="Critical"/>
    <s v="19-Sep-2011"/>
    <n v="37"/>
    <n v="1033.44"/>
    <n v="0.1"/>
    <s v="Regular Air"/>
    <n v="385.63"/>
    <n v="29.14"/>
    <n v="4.8600000000000003"/>
    <s v="Tracy Collins"/>
    <s v="New Brunswick"/>
    <x v="0"/>
    <s v="Corporate"/>
    <s v="Office Supplies"/>
    <x v="12"/>
    <x v="1"/>
    <d v="2011-09-21T00:00:00"/>
    <s v="21-Sep-2011"/>
  </r>
  <r>
    <n v="31718"/>
    <d v="2010-11-27T00:00:00"/>
    <s v="Low"/>
    <s v="27-Nov-2010"/>
    <n v="20"/>
    <n v="1017.2885"/>
    <n v="0.1"/>
    <s v="Regular Air"/>
    <n v="-115.3"/>
    <n v="65.989999999999995"/>
    <n v="8.99"/>
    <s v="Nona Balk"/>
    <s v="New Brunswick"/>
    <x v="0"/>
    <s v="Corporate"/>
    <s v="Technology"/>
    <x v="10"/>
    <x v="18"/>
    <d v="2010-12-04T00:00:00"/>
    <s v="04-Dec-2010"/>
  </r>
  <r>
    <n v="21985"/>
    <d v="2009-08-26T00:00:00"/>
    <s v="Critical"/>
    <s v="26-Aug-2009"/>
    <n v="45"/>
    <n v="947.66"/>
    <n v="0.08"/>
    <s v="Delivery Truck"/>
    <n v="-2175.09"/>
    <n v="20.98"/>
    <n v="53.03"/>
    <s v="Lynn Smith"/>
    <s v="New Brunswick"/>
    <x v="0"/>
    <s v="Corporate"/>
    <s v="Office Supplies"/>
    <x v="4"/>
    <x v="8"/>
    <d v="2009-08-28T00:00:00"/>
    <s v="28-Aug-2009"/>
  </r>
  <r>
    <n v="36449"/>
    <d v="2010-09-05T00:00:00"/>
    <s v="Not Specified"/>
    <s v="05-Sep-2010"/>
    <n v="43"/>
    <n v="927.82"/>
    <n v="0.02"/>
    <s v="Regular Air"/>
    <n v="255.03"/>
    <n v="20.239999999999998"/>
    <n v="6.67"/>
    <s v="Bruce Stewart"/>
    <s v="New Brunswick"/>
    <x v="0"/>
    <s v="Corporate"/>
    <s v="Furniture"/>
    <x v="7"/>
    <x v="19"/>
    <d v="2010-09-07T00:00:00"/>
    <s v="07-Sep-2010"/>
  </r>
  <r>
    <n v="37313"/>
    <d v="2012-07-02T00:00:00"/>
    <s v="Not Specified"/>
    <s v="02-Jul-2012"/>
    <n v="17"/>
    <n v="908.41200000000003"/>
    <n v="7.0000000000000007E-2"/>
    <s v="Express Air"/>
    <n v="-71.19"/>
    <n v="65.989999999999995"/>
    <n v="8.99"/>
    <s v="Liz MacKendrick"/>
    <s v="New Brunswick"/>
    <x v="0"/>
    <s v="Corporate"/>
    <s v="Technology"/>
    <x v="10"/>
    <x v="15"/>
    <d v="2012-07-04T00:00:00"/>
    <s v="04-Jul-2012"/>
  </r>
  <r>
    <n v="58693"/>
    <d v="2009-10-21T00:00:00"/>
    <s v="Low"/>
    <s v="21-Oct-2009"/>
    <n v="50"/>
    <n v="876.64"/>
    <n v="0"/>
    <s v="Regular Air"/>
    <n v="-126.68"/>
    <n v="15.99"/>
    <n v="13.18"/>
    <s v="Bruce Stewart"/>
    <s v="New Brunswick"/>
    <x v="0"/>
    <s v="Corporate"/>
    <s v="Office Supplies"/>
    <x v="1"/>
    <x v="7"/>
    <d v="2009-10-25T00:00:00"/>
    <s v="25-Oct-2009"/>
  </r>
  <r>
    <n v="34661"/>
    <d v="2010-01-20T00:00:00"/>
    <s v="Critical"/>
    <s v="20-Jan-2010"/>
    <n v="26"/>
    <n v="864.16"/>
    <n v="0.09"/>
    <s v="Regular Air"/>
    <n v="-175.47"/>
    <n v="33.979999999999997"/>
    <n v="19.989999999999998"/>
    <s v="Nathan Mautz"/>
    <s v="New Brunswick"/>
    <x v="0"/>
    <s v="Corporate"/>
    <s v="Furniture"/>
    <x v="7"/>
    <x v="20"/>
    <d v="2010-01-22T00:00:00"/>
    <s v="22-Jan-2010"/>
  </r>
  <r>
    <n v="52389"/>
    <d v="2011-10-21T00:00:00"/>
    <s v="Critical"/>
    <s v="21-Oct-2011"/>
    <n v="31"/>
    <n v="655.33000000000004"/>
    <n v="0.08"/>
    <s v="Regular Air"/>
    <n v="-57.16"/>
    <n v="21.38"/>
    <n v="8.99"/>
    <s v="Justin Deggeller"/>
    <s v="New Brunswick"/>
    <x v="0"/>
    <s v="Corporate"/>
    <s v="Office Supplies"/>
    <x v="13"/>
    <x v="14"/>
    <d v="2011-10-21T00:00:00"/>
    <s v="21-Oct-2011"/>
  </r>
  <r>
    <n v="59271"/>
    <d v="2011-04-25T00:00:00"/>
    <s v="Not Specified"/>
    <s v="25-Apr-2011"/>
    <n v="40"/>
    <n v="630.38"/>
    <n v="0.02"/>
    <s v="Express Air"/>
    <n v="-186.77"/>
    <n v="14.81"/>
    <n v="13.32"/>
    <s v="Lynn Smith"/>
    <s v="New Brunswick"/>
    <x v="0"/>
    <s v="Corporate"/>
    <s v="Office Supplies"/>
    <x v="5"/>
    <x v="21"/>
    <d v="2011-04-26T00:00:00"/>
    <s v="26-Apr-2011"/>
  </r>
  <r>
    <n v="3458"/>
    <d v="2009-12-21T00:00:00"/>
    <s v="High"/>
    <s v="21-Dec-2009"/>
    <n v="41"/>
    <n v="627.91"/>
    <n v="0.03"/>
    <s v="Regular Air"/>
    <n v="222.08"/>
    <n v="15.28"/>
    <n v="1.99"/>
    <s v="Lisa DeCherney"/>
    <s v="New Brunswick"/>
    <x v="0"/>
    <s v="Corporate"/>
    <s v="Technology"/>
    <x v="11"/>
    <x v="22"/>
    <d v="2009-12-23T00:00:00"/>
    <s v="23-Dec-2009"/>
  </r>
  <r>
    <n v="12900"/>
    <d v="2010-05-03T00:00:00"/>
    <s v="High"/>
    <s v="03-May-2010"/>
    <n v="50"/>
    <n v="627.12"/>
    <n v="0.08"/>
    <s v="Regular Air"/>
    <n v="100.04"/>
    <n v="12.64"/>
    <n v="4.9800000000000004"/>
    <s v="Laurel Elliston"/>
    <s v="New Brunswick"/>
    <x v="0"/>
    <s v="Corporate"/>
    <s v="Furniture"/>
    <x v="7"/>
    <x v="23"/>
    <d v="2010-05-04T00:00:00"/>
    <s v="04-May-2010"/>
  </r>
  <r>
    <n v="2048"/>
    <d v="2010-11-14T00:00:00"/>
    <s v="Critical"/>
    <s v="14-Nov-2010"/>
    <n v="9"/>
    <n v="548.36"/>
    <n v="0.1"/>
    <s v="Express Air"/>
    <n v="78.63"/>
    <n v="60.97"/>
    <n v="4.5"/>
    <s v="Deanra Eno"/>
    <s v="New Brunswick"/>
    <x v="0"/>
    <s v="Corporate"/>
    <s v="Office Supplies"/>
    <x v="5"/>
    <x v="0"/>
    <d v="2010-11-15T00:00:00"/>
    <s v="15-Nov-2010"/>
  </r>
  <r>
    <n v="18945"/>
    <d v="2009-01-17T00:00:00"/>
    <s v="Medium"/>
    <s v="17-Jan-2009"/>
    <n v="33"/>
    <n v="528.54"/>
    <n v="0.06"/>
    <s v="Regular Air"/>
    <n v="168.54"/>
    <n v="16.48"/>
    <n v="1.99"/>
    <s v="John Lee"/>
    <s v="New Brunswick"/>
    <x v="0"/>
    <s v="Corporate"/>
    <s v="Technology"/>
    <x v="11"/>
    <x v="22"/>
    <d v="2009-01-19T00:00:00"/>
    <s v="19-Jan-2009"/>
  </r>
  <r>
    <n v="30625"/>
    <d v="2010-02-08T00:00:00"/>
    <s v="Critical"/>
    <s v="08-Feb-2010"/>
    <n v="37"/>
    <n v="478.94"/>
    <n v="0.04"/>
    <s v="Regular Air"/>
    <n v="10.56"/>
    <n v="12.53"/>
    <n v="7.17"/>
    <s v="Pauline Johnson"/>
    <s v="New Brunswick"/>
    <x v="0"/>
    <s v="Corporate"/>
    <s v="Office Supplies"/>
    <x v="1"/>
    <x v="1"/>
    <d v="2010-02-08T00:00:00"/>
    <s v="08-Feb-2010"/>
  </r>
  <r>
    <n v="38176"/>
    <d v="2010-08-15T00:00:00"/>
    <s v="High"/>
    <s v="15-Aug-2010"/>
    <n v="48"/>
    <n v="428.36"/>
    <n v="0.06"/>
    <s v="Express Air"/>
    <n v="74.75"/>
    <n v="9.11"/>
    <n v="2.25"/>
    <s v="Nathan Mautz"/>
    <s v="New Brunswick"/>
    <x v="0"/>
    <s v="Corporate"/>
    <s v="Office Supplies"/>
    <x v="13"/>
    <x v="24"/>
    <d v="2010-08-17T00:00:00"/>
    <s v="17-Aug-2010"/>
  </r>
  <r>
    <n v="16289"/>
    <d v="2010-07-17T00:00:00"/>
    <s v="High"/>
    <s v="17-Jul-2010"/>
    <n v="37"/>
    <n v="426.64"/>
    <n v="0.09"/>
    <s v="Regular Air"/>
    <n v="96.95"/>
    <n v="12.22"/>
    <n v="2.85"/>
    <s v="John Lee"/>
    <s v="New Brunswick"/>
    <x v="0"/>
    <s v="Corporate"/>
    <s v="Furniture"/>
    <x v="7"/>
    <x v="20"/>
    <d v="2010-07-19T00:00:00"/>
    <s v="19-Jul-2010"/>
  </r>
  <r>
    <n v="6402"/>
    <d v="2011-04-23T00:00:00"/>
    <s v="Low"/>
    <s v="23-Apr-2011"/>
    <n v="35"/>
    <n v="373.33"/>
    <n v="0.01"/>
    <s v="Regular Air"/>
    <n v="-22.18"/>
    <n v="10.23"/>
    <n v="4.68"/>
    <s v="Nathan Mautz"/>
    <s v="New Brunswick"/>
    <x v="0"/>
    <s v="Corporate"/>
    <s v="Office Supplies"/>
    <x v="14"/>
    <x v="14"/>
    <d v="2011-04-28T00:00:00"/>
    <s v="28-Apr-2011"/>
  </r>
  <r>
    <n v="26695"/>
    <d v="2010-06-06T00:00:00"/>
    <s v="Not Specified"/>
    <s v="06-Jun-2010"/>
    <n v="43"/>
    <n v="367.11"/>
    <n v="0.01"/>
    <s v="Regular Air"/>
    <n v="163.41999999999999"/>
    <n v="8.34"/>
    <n v="1.43"/>
    <s v="Justin Deggeller"/>
    <s v="New Brunswick"/>
    <x v="0"/>
    <s v="Corporate"/>
    <s v="Office Supplies"/>
    <x v="12"/>
    <x v="2"/>
    <d v="2010-06-08T00:00:00"/>
    <s v="08-Jun-2010"/>
  </r>
  <r>
    <n v="8578"/>
    <d v="2011-09-02T00:00:00"/>
    <s v="High"/>
    <s v="02-Sep-2011"/>
    <n v="40"/>
    <n v="366.87"/>
    <n v="0.1"/>
    <s v="Regular Air"/>
    <n v="-1.79"/>
    <n v="9.74"/>
    <n v="5.71"/>
    <s v="Lisa DeCherney"/>
    <s v="New Brunswick"/>
    <x v="0"/>
    <s v="Corporate"/>
    <s v="Furniture"/>
    <x v="7"/>
    <x v="25"/>
    <d v="2011-09-03T00:00:00"/>
    <s v="03-Sep-2011"/>
  </r>
  <r>
    <n v="16258"/>
    <d v="2011-07-06T00:00:00"/>
    <s v="Medium"/>
    <s v="06-Jul-2011"/>
    <n v="48"/>
    <n v="331.99"/>
    <n v="0.03"/>
    <s v="Regular Air"/>
    <n v="45.31"/>
    <n v="7.08"/>
    <n v="2.35"/>
    <s v="Nona Balk"/>
    <s v="New Brunswick"/>
    <x v="0"/>
    <s v="Corporate"/>
    <s v="Office Supplies"/>
    <x v="13"/>
    <x v="26"/>
    <d v="2011-07-08T00:00:00"/>
    <s v="08-Jul-2011"/>
  </r>
  <r>
    <n v="50657"/>
    <d v="2011-12-18T00:00:00"/>
    <s v="High"/>
    <s v="18-Dec-2011"/>
    <n v="40"/>
    <n v="315.45"/>
    <n v="0.01"/>
    <s v="Regular Air"/>
    <n v="-305.88"/>
    <n v="7.38"/>
    <n v="11.51"/>
    <s v="Aleksandra Gannaway"/>
    <s v="New Brunswick"/>
    <x v="0"/>
    <s v="Corporate"/>
    <s v="Office Supplies"/>
    <x v="1"/>
    <x v="10"/>
    <d v="2011-12-19T00:00:00"/>
    <s v="19-Dec-2011"/>
  </r>
  <r>
    <n v="41094"/>
    <d v="2009-01-06T00:00:00"/>
    <s v="Low"/>
    <s v="06-Jan-2009"/>
    <n v="46"/>
    <n v="298.97000000000003"/>
    <n v="0.09"/>
    <s v="Regular Air"/>
    <n v="-225.86"/>
    <n v="6.48"/>
    <n v="8.73"/>
    <s v="Maribeth Schnelling"/>
    <s v="New Brunswick"/>
    <x v="0"/>
    <s v="Corporate"/>
    <s v="Office Supplies"/>
    <x v="12"/>
    <x v="7"/>
    <d v="2009-01-08T00:00:00"/>
    <s v="08-Jan-2009"/>
  </r>
  <r>
    <n v="1504"/>
    <d v="2012-08-27T00:00:00"/>
    <s v="Medium"/>
    <s v="27-Aug-2012"/>
    <n v="31"/>
    <n v="293.18"/>
    <n v="0.08"/>
    <s v="Regular Air"/>
    <n v="64.22"/>
    <n v="10.01"/>
    <n v="1.99"/>
    <s v="Maribeth Schnelling"/>
    <s v="New Brunswick"/>
    <x v="0"/>
    <s v="Corporate"/>
    <s v="Technology"/>
    <x v="11"/>
    <x v="25"/>
    <d v="2012-08-28T00:00:00"/>
    <s v="28-Aug-2012"/>
  </r>
  <r>
    <n v="9669"/>
    <d v="2009-04-22T00:00:00"/>
    <s v="Medium"/>
    <s v="22-Apr-2009"/>
    <n v="18"/>
    <n v="292.11"/>
    <n v="0.04"/>
    <s v="Express Air"/>
    <n v="-91.95"/>
    <n v="15.42"/>
    <n v="10.68"/>
    <s v="Christine Abelman"/>
    <s v="New Brunswick"/>
    <x v="0"/>
    <s v="Corporate"/>
    <s v="Office Supplies"/>
    <x v="4"/>
    <x v="15"/>
    <d v="2009-04-23T00:00:00"/>
    <s v="23-Apr-2009"/>
  </r>
  <r>
    <n v="55525"/>
    <d v="2009-05-08T00:00:00"/>
    <s v="Low"/>
    <s v="08-May-2009"/>
    <n v="1"/>
    <n v="291.39999999999998"/>
    <n v="0.06"/>
    <s v="Regular Air"/>
    <n v="-763.16"/>
    <n v="300.97000000000003"/>
    <n v="7.18"/>
    <s v="Liz MacKendrick"/>
    <s v="New Brunswick"/>
    <x v="0"/>
    <s v="Corporate"/>
    <s v="Technology"/>
    <x v="11"/>
    <x v="23"/>
    <d v="2009-05-08T00:00:00"/>
    <s v="08-May-2009"/>
  </r>
  <r>
    <n v="20036"/>
    <d v="2010-12-05T00:00:00"/>
    <s v="Not Specified"/>
    <s v="05-Dec-2010"/>
    <n v="25"/>
    <n v="290.45999999999998"/>
    <n v="0.1"/>
    <s v="Regular Air"/>
    <n v="-31.55"/>
    <n v="11.97"/>
    <n v="4.9800000000000004"/>
    <s v="John Lee"/>
    <s v="New Brunswick"/>
    <x v="0"/>
    <s v="Corporate"/>
    <s v="Office Supplies"/>
    <x v="5"/>
    <x v="15"/>
    <d v="2010-12-05T00:00:00"/>
    <s v="05-Dec-2010"/>
  </r>
  <r>
    <n v="40775"/>
    <d v="2010-11-17T00:00:00"/>
    <s v="Low"/>
    <s v="17-Nov-2010"/>
    <n v="23"/>
    <n v="279.63"/>
    <n v="7.0000000000000007E-2"/>
    <s v="Regular Air"/>
    <n v="61.69"/>
    <n v="12.58"/>
    <n v="5.16"/>
    <s v="Liz MacKendrick"/>
    <s v="New Brunswick"/>
    <x v="0"/>
    <s v="Corporate"/>
    <s v="Furniture"/>
    <x v="7"/>
    <x v="21"/>
    <d v="2010-11-22T00:00:00"/>
    <s v="22-Nov-2010"/>
  </r>
  <r>
    <n v="47173"/>
    <d v="2009-09-01T00:00:00"/>
    <s v="Not Specified"/>
    <s v="01-Sep-2009"/>
    <n v="41"/>
    <n v="277.0745"/>
    <n v="0.03"/>
    <s v="Regular Air"/>
    <n v="-128.44"/>
    <n v="7.99"/>
    <n v="5.03"/>
    <s v="Aleksandra Gannaway"/>
    <s v="New Brunswick"/>
    <x v="0"/>
    <s v="Corporate"/>
    <s v="Technology"/>
    <x v="10"/>
    <x v="18"/>
    <d v="2009-09-03T00:00:00"/>
    <s v="03-Sep-2009"/>
  </r>
  <r>
    <n v="3653"/>
    <d v="2009-03-26T00:00:00"/>
    <s v="Critical"/>
    <s v="26-Mar-2009"/>
    <n v="41"/>
    <n v="271.11"/>
    <n v="0.08"/>
    <s v="Regular Air"/>
    <n v="64.790000000000006"/>
    <n v="6.68"/>
    <n v="1.5"/>
    <s v="Lynn Smith"/>
    <s v="New Brunswick"/>
    <x v="0"/>
    <s v="Corporate"/>
    <s v="Office Supplies"/>
    <x v="13"/>
    <x v="23"/>
    <d v="2009-03-28T00:00:00"/>
    <s v="28-Mar-2009"/>
  </r>
  <r>
    <n v="21985"/>
    <d v="2009-08-26T00:00:00"/>
    <s v="Critical"/>
    <s v="26-Aug-2009"/>
    <n v="1"/>
    <n v="255.83"/>
    <n v="7.0000000000000007E-2"/>
    <s v="Delivery Truck"/>
    <n v="-132.74"/>
    <n v="226.67"/>
    <n v="28.16"/>
    <s v="Lynn Smith"/>
    <s v="New Brunswick"/>
    <x v="0"/>
    <s v="Corporate"/>
    <s v="Furniture"/>
    <x v="2"/>
    <x v="14"/>
    <d v="2009-08-27T00:00:00"/>
    <s v="27-Aug-2009"/>
  </r>
  <r>
    <n v="44423"/>
    <d v="2012-07-29T00:00:00"/>
    <s v="Critical"/>
    <s v="29-Jul-2012"/>
    <n v="39"/>
    <n v="248.64"/>
    <n v="0.08"/>
    <s v="Regular Air"/>
    <n v="-69.27"/>
    <n v="6.28"/>
    <n v="5.29"/>
    <s v="Nona Balk"/>
    <s v="New Brunswick"/>
    <x v="0"/>
    <s v="Corporate"/>
    <s v="Furniture"/>
    <x v="7"/>
    <x v="21"/>
    <d v="2012-07-30T00:00:00"/>
    <s v="30-Jul-2012"/>
  </r>
  <r>
    <n v="58273"/>
    <d v="2010-06-20T00:00:00"/>
    <s v="High"/>
    <s v="20-Jun-2010"/>
    <n v="31"/>
    <n v="244.9"/>
    <n v="0.08"/>
    <s v="Regular Air"/>
    <n v="-61.14"/>
    <n v="8.4600000000000009"/>
    <n v="3.62"/>
    <s v="Liz MacKendrick"/>
    <s v="New Brunswick"/>
    <x v="0"/>
    <s v="Corporate"/>
    <s v="Technology"/>
    <x v="11"/>
    <x v="9"/>
    <d v="2010-06-20T00:00:00"/>
    <s v="20-Jun-2010"/>
  </r>
  <r>
    <n v="14976"/>
    <d v="2011-07-22T00:00:00"/>
    <s v="High"/>
    <s v="22-Jul-2011"/>
    <n v="46"/>
    <n v="231.35"/>
    <n v="0.03"/>
    <s v="Regular Air"/>
    <n v="-81.86"/>
    <n v="4.9800000000000004"/>
    <n v="4.7"/>
    <s v="Quincy Jones"/>
    <s v="New Brunswick"/>
    <x v="0"/>
    <s v="Corporate"/>
    <s v="Office Supplies"/>
    <x v="12"/>
    <x v="1"/>
    <d v="2011-07-24T00:00:00"/>
    <s v="24-Jul-2011"/>
  </r>
  <r>
    <n v="38176"/>
    <d v="2010-08-15T00:00:00"/>
    <s v="High"/>
    <s v="15-Aug-2010"/>
    <n v="39"/>
    <n v="231.08"/>
    <n v="0.01"/>
    <s v="Express Air"/>
    <n v="-79.08"/>
    <n v="5.28"/>
    <n v="5.57"/>
    <s v="Nathan Mautz"/>
    <s v="New Brunswick"/>
    <x v="0"/>
    <s v="Corporate"/>
    <s v="Office Supplies"/>
    <x v="12"/>
    <x v="27"/>
    <d v="2010-08-16T00:00:00"/>
    <s v="16-Aug-2010"/>
  </r>
  <r>
    <n v="47271"/>
    <d v="2011-07-28T00:00:00"/>
    <s v="Medium"/>
    <s v="28-Jul-2011"/>
    <n v="44"/>
    <n v="221.42"/>
    <n v="0.03"/>
    <s v="Regular Air"/>
    <n v="-142.02000000000001"/>
    <n v="4.9800000000000004"/>
    <n v="4.62"/>
    <s v="Liz MacKendrick"/>
    <s v="New Brunswick"/>
    <x v="0"/>
    <s v="Corporate"/>
    <s v="Technology"/>
    <x v="11"/>
    <x v="28"/>
    <d v="2011-07-29T00:00:00"/>
    <s v="29-Jul-2011"/>
  </r>
  <r>
    <n v="30626"/>
    <d v="2011-04-25T00:00:00"/>
    <s v="Critical"/>
    <s v="25-Apr-2011"/>
    <n v="23"/>
    <n v="220.82"/>
    <n v="0.1"/>
    <s v="Express Air"/>
    <n v="77.680000000000007"/>
    <n v="9.93"/>
    <n v="1.0900000000000001"/>
    <s v="Nathan Mautz"/>
    <s v="New Brunswick"/>
    <x v="0"/>
    <s v="Corporate"/>
    <s v="Office Supplies"/>
    <x v="13"/>
    <x v="21"/>
    <d v="2011-04-26T00:00:00"/>
    <s v="26-Apr-2011"/>
  </r>
  <r>
    <n v="57059"/>
    <d v="2011-06-01T00:00:00"/>
    <s v="Medium"/>
    <s v="01-Jun-2011"/>
    <n v="50"/>
    <n v="212.12"/>
    <n v="0.01"/>
    <s v="Regular Air"/>
    <n v="-154.63"/>
    <n v="3.98"/>
    <n v="5.26"/>
    <s v="Liz MacKendrick"/>
    <s v="New Brunswick"/>
    <x v="0"/>
    <s v="Corporate"/>
    <s v="Office Supplies"/>
    <x v="1"/>
    <x v="1"/>
    <d v="2011-06-03T00:00:00"/>
    <s v="03-Jun-2011"/>
  </r>
  <r>
    <n v="48609"/>
    <d v="2010-02-24T00:00:00"/>
    <s v="High"/>
    <s v="24-Feb-2010"/>
    <n v="5"/>
    <n v="186.5"/>
    <n v="0.04"/>
    <s v="Express Air"/>
    <n v="4.16"/>
    <n v="37.44"/>
    <n v="4.2699999999999996"/>
    <s v="Pauline Johnson"/>
    <s v="New Brunswick"/>
    <x v="0"/>
    <s v="Corporate"/>
    <s v="Office Supplies"/>
    <x v="13"/>
    <x v="29"/>
    <d v="2010-02-25T00:00:00"/>
    <s v="25-Feb-2010"/>
  </r>
  <r>
    <n v="1796"/>
    <d v="2012-11-20T00:00:00"/>
    <s v="High"/>
    <s v="20-Nov-2012"/>
    <n v="43"/>
    <n v="183.41"/>
    <n v="7.0000000000000007E-2"/>
    <s v="Regular Air"/>
    <n v="-125.41"/>
    <n v="4.13"/>
    <n v="5.04"/>
    <s v="Deanra Eno"/>
    <s v="New Brunswick"/>
    <x v="0"/>
    <s v="Corporate"/>
    <s v="Office Supplies"/>
    <x v="1"/>
    <x v="1"/>
    <d v="2012-11-20T00:00:00"/>
    <s v="20-Nov-2012"/>
  </r>
  <r>
    <n v="48609"/>
    <d v="2010-02-24T00:00:00"/>
    <s v="High"/>
    <s v="24-Feb-2010"/>
    <n v="26"/>
    <n v="176.34"/>
    <n v="0"/>
    <s v="Regular Air"/>
    <n v="-103.32"/>
    <n v="6.48"/>
    <n v="7.86"/>
    <s v="Pauline Johnson"/>
    <s v="New Brunswick"/>
    <x v="0"/>
    <s v="Corporate"/>
    <s v="Office Supplies"/>
    <x v="12"/>
    <x v="7"/>
    <d v="2010-02-25T00:00:00"/>
    <s v="25-Feb-2010"/>
  </r>
  <r>
    <n v="41094"/>
    <d v="2009-01-06T00:00:00"/>
    <s v="Low"/>
    <s v="06-Jan-2009"/>
    <n v="6"/>
    <n v="159.05000000000001"/>
    <n v="0.05"/>
    <s v="Regular Air"/>
    <n v="-153.46"/>
    <n v="20.34"/>
    <n v="35"/>
    <s v="Maribeth Schnelling"/>
    <s v="New Brunswick"/>
    <x v="0"/>
    <s v="Corporate"/>
    <s v="Office Supplies"/>
    <x v="4"/>
    <x v="30"/>
    <d v="2009-01-10T00:00:00"/>
    <s v="10-Jan-2009"/>
  </r>
  <r>
    <n v="27078"/>
    <d v="2012-08-12T00:00:00"/>
    <s v="Not Specified"/>
    <s v="12-Aug-2012"/>
    <n v="22"/>
    <n v="152.44"/>
    <n v="0.03"/>
    <s v="Regular Air"/>
    <n v="-40.76"/>
    <n v="6.48"/>
    <n v="5.86"/>
    <s v="Nathan Mautz"/>
    <s v="New Brunswick"/>
    <x v="0"/>
    <s v="Corporate"/>
    <s v="Office Supplies"/>
    <x v="12"/>
    <x v="10"/>
    <d v="2012-08-13T00:00:00"/>
    <s v="13-Aug-2012"/>
  </r>
  <r>
    <n v="32929"/>
    <d v="2011-05-02T00:00:00"/>
    <s v="Low"/>
    <s v="02-May-2011"/>
    <n v="13"/>
    <n v="152.13999999999999"/>
    <n v="0.09"/>
    <s v="Regular Air"/>
    <n v="-26.87"/>
    <n v="12.21"/>
    <n v="4.8099999999999996"/>
    <s v="Liz MacKendrick"/>
    <s v="New Brunswick"/>
    <x v="0"/>
    <s v="Corporate"/>
    <s v="Office Supplies"/>
    <x v="4"/>
    <x v="15"/>
    <d v="2011-05-07T00:00:00"/>
    <s v="07-May-2011"/>
  </r>
  <r>
    <n v="55877"/>
    <d v="2010-02-02T00:00:00"/>
    <s v="Not Specified"/>
    <s v="02-Feb-2010"/>
    <n v="40"/>
    <n v="144.28"/>
    <n v="0.01"/>
    <s v="Express Air"/>
    <n v="52.94"/>
    <n v="3.08"/>
    <n v="0.99"/>
    <s v="Erin Mull"/>
    <s v="New Brunswick"/>
    <x v="0"/>
    <s v="Corporate"/>
    <s v="Office Supplies"/>
    <x v="9"/>
    <x v="7"/>
    <d v="2010-02-04T00:00:00"/>
    <s v="04-Feb-2010"/>
  </r>
  <r>
    <n v="59271"/>
    <d v="2011-04-25T00:00:00"/>
    <s v="Not Specified"/>
    <s v="25-Apr-2011"/>
    <n v="23"/>
    <n v="144.03"/>
    <n v="0.02"/>
    <s v="Regular Air"/>
    <n v="-37.04"/>
    <n v="5.98"/>
    <n v="5.2"/>
    <s v="Lynn Smith"/>
    <s v="New Brunswick"/>
    <x v="0"/>
    <s v="Corporate"/>
    <s v="Office Supplies"/>
    <x v="12"/>
    <x v="10"/>
    <d v="2011-04-27T00:00:00"/>
    <s v="27-Apr-2011"/>
  </r>
  <r>
    <n v="41186"/>
    <d v="2010-11-22T00:00:00"/>
    <s v="High"/>
    <s v="22-Nov-2010"/>
    <n v="13"/>
    <n v="142.12"/>
    <n v="0.01"/>
    <s v="Express Air"/>
    <n v="54.91"/>
    <n v="9.7799999999999994"/>
    <n v="1.39"/>
    <s v="Aleksandra Gannaway"/>
    <s v="New Brunswick"/>
    <x v="0"/>
    <s v="Corporate"/>
    <s v="Office Supplies"/>
    <x v="15"/>
    <x v="4"/>
    <d v="2010-11-24T00:00:00"/>
    <s v="24-Nov-2010"/>
  </r>
  <r>
    <n v="43745"/>
    <d v="2010-11-01T00:00:00"/>
    <s v="Low"/>
    <s v="01-Nov-2010"/>
    <n v="5"/>
    <n v="128.59"/>
    <n v="7.0000000000000007E-2"/>
    <s v="Regular Air"/>
    <n v="-15.17"/>
    <n v="25.98"/>
    <n v="5.37"/>
    <s v="Laurel Elliston"/>
    <s v="New Brunswick"/>
    <x v="0"/>
    <s v="Corporate"/>
    <s v="Office Supplies"/>
    <x v="5"/>
    <x v="31"/>
    <d v="2010-11-08T00:00:00"/>
    <s v="08-Nov-2010"/>
  </r>
  <r>
    <n v="55877"/>
    <d v="2010-02-02T00:00:00"/>
    <s v="Not Specified"/>
    <s v="02-Feb-2010"/>
    <n v="19"/>
    <n v="126.53"/>
    <n v="0.03"/>
    <s v="Regular Air"/>
    <n v="-73.38"/>
    <n v="5.98"/>
    <n v="7.5"/>
    <s v="Erin Mull"/>
    <s v="New Brunswick"/>
    <x v="0"/>
    <s v="Corporate"/>
    <s v="Office Supplies"/>
    <x v="12"/>
    <x v="27"/>
    <d v="2010-02-03T00:00:00"/>
    <s v="03-Feb-2010"/>
  </r>
  <r>
    <n v="54146"/>
    <d v="2010-10-18T00:00:00"/>
    <s v="Low"/>
    <s v="18-Oct-2010"/>
    <n v="3"/>
    <n v="124.75"/>
    <n v="0.06"/>
    <s v="Regular Air"/>
    <n v="-112.64"/>
    <n v="40.96"/>
    <n v="1.99"/>
    <s v="Laurel Elliston"/>
    <s v="New Brunswick"/>
    <x v="0"/>
    <s v="Corporate"/>
    <s v="Technology"/>
    <x v="11"/>
    <x v="20"/>
    <d v="2010-10-23T00:00:00"/>
    <s v="23-Oct-2010"/>
  </r>
  <r>
    <n v="36449"/>
    <d v="2010-09-05T00:00:00"/>
    <s v="Not Specified"/>
    <s v="05-Sep-2010"/>
    <n v="27"/>
    <n v="123.37"/>
    <n v="0.09"/>
    <s v="Regular Air"/>
    <n v="-6.69"/>
    <n v="4.71"/>
    <n v="0.7"/>
    <s v="Bruce Stewart"/>
    <s v="New Brunswick"/>
    <x v="0"/>
    <s v="Corporate"/>
    <s v="Office Supplies"/>
    <x v="16"/>
    <x v="12"/>
    <d v="2010-09-08T00:00:00"/>
    <s v="08-Sep-2010"/>
  </r>
  <r>
    <n v="21799"/>
    <d v="2011-04-19T00:00:00"/>
    <s v="Not Specified"/>
    <s v="19-Apr-2011"/>
    <n v="42"/>
    <n v="115.99"/>
    <n v="0.05"/>
    <s v="Express Air"/>
    <n v="-53.35"/>
    <n v="2.6"/>
    <n v="2.4"/>
    <s v="Lynn Smith"/>
    <s v="New Brunswick"/>
    <x v="0"/>
    <s v="Corporate"/>
    <s v="Office Supplies"/>
    <x v="13"/>
    <x v="15"/>
    <d v="2011-04-20T00:00:00"/>
    <s v="20-Apr-2011"/>
  </r>
  <r>
    <n v="59171"/>
    <d v="2011-09-12T00:00:00"/>
    <s v="Medium"/>
    <s v="12-Sep-2011"/>
    <n v="39"/>
    <n v="105.07"/>
    <n v="0.08"/>
    <s v="Regular Air"/>
    <n v="9.11"/>
    <n v="2.88"/>
    <n v="0.7"/>
    <s v="Phillip Breyer"/>
    <s v="New Brunswick"/>
    <x v="0"/>
    <s v="Corporate"/>
    <s v="Office Supplies"/>
    <x v="13"/>
    <x v="0"/>
    <d v="2011-09-13T00:00:00"/>
    <s v="13-Sep-2011"/>
  </r>
  <r>
    <n v="10886"/>
    <d v="2009-08-23T00:00:00"/>
    <s v="Critical"/>
    <s v="23-Aug-2009"/>
    <n v="36"/>
    <n v="65.42"/>
    <n v="0.04"/>
    <s v="Regular Air"/>
    <n v="-112.92"/>
    <n v="1.74"/>
    <n v="4.08"/>
    <s v="Quincy Jones"/>
    <s v="New Brunswick"/>
    <x v="0"/>
    <s v="Corporate"/>
    <s v="Furniture"/>
    <x v="7"/>
    <x v="17"/>
    <d v="2009-08-25T00:00:00"/>
    <s v="25-Aug-2009"/>
  </r>
  <r>
    <n v="50657"/>
    <d v="2011-12-18T00:00:00"/>
    <s v="High"/>
    <s v="18-Dec-2011"/>
    <n v="16"/>
    <n v="60.02"/>
    <n v="0.1"/>
    <s v="Express Air"/>
    <n v="0.94"/>
    <n v="3.71"/>
    <n v="1.93"/>
    <s v="Aleksandra Gannaway"/>
    <s v="New Brunswick"/>
    <x v="0"/>
    <s v="Corporate"/>
    <s v="Office Supplies"/>
    <x v="12"/>
    <x v="2"/>
    <d v="2011-12-20T00:00:00"/>
    <s v="20-Dec-2011"/>
  </r>
  <r>
    <n v="5378"/>
    <d v="2012-10-24T00:00:00"/>
    <s v="Critical"/>
    <s v="24-Oct-2012"/>
    <n v="6"/>
    <n v="54.28"/>
    <n v="0.01"/>
    <s v="Express Air"/>
    <n v="-11.98"/>
    <n v="6.24"/>
    <n v="5.22"/>
    <s v="Christine Abelman"/>
    <s v="New Brunswick"/>
    <x v="0"/>
    <s v="Corporate"/>
    <s v="Furniture"/>
    <x v="7"/>
    <x v="18"/>
    <d v="2012-10-26T00:00:00"/>
    <s v="26-Oct-2012"/>
  </r>
  <r>
    <n v="4739"/>
    <d v="2010-02-20T00:00:00"/>
    <s v="Low"/>
    <s v="20-Feb-2010"/>
    <n v="16"/>
    <n v="48.57"/>
    <n v="0.04"/>
    <s v="Regular Air"/>
    <n v="4.21"/>
    <n v="2.94"/>
    <n v="0.7"/>
    <s v="Lynn Smith"/>
    <s v="New Brunswick"/>
    <x v="0"/>
    <s v="Corporate"/>
    <s v="Office Supplies"/>
    <x v="13"/>
    <x v="15"/>
    <d v="2010-02-24T00:00:00"/>
    <s v="24-Feb-2010"/>
  </r>
  <r>
    <n v="3458"/>
    <d v="2009-12-21T00:00:00"/>
    <s v="High"/>
    <s v="21-Dec-2009"/>
    <n v="28"/>
    <n v="46.89"/>
    <n v="0.09"/>
    <s v="Regular Air"/>
    <n v="-3.83"/>
    <n v="1.76"/>
    <n v="0.7"/>
    <s v="Lisa DeCherney"/>
    <s v="New Brunswick"/>
    <x v="0"/>
    <s v="Corporate"/>
    <s v="Office Supplies"/>
    <x v="13"/>
    <x v="0"/>
    <d v="2009-12-24T00:00:00"/>
    <s v="24-Dec-2009"/>
  </r>
  <r>
    <n v="32929"/>
    <d v="2011-05-02T00:00:00"/>
    <s v="Low"/>
    <s v="02-May-2011"/>
    <n v="8"/>
    <n v="44.56"/>
    <n v="0.05"/>
    <s v="Regular Air"/>
    <n v="4.8099999999999996"/>
    <n v="5.68"/>
    <n v="1.39"/>
    <s v="Liz MacKendrick"/>
    <s v="New Brunswick"/>
    <x v="0"/>
    <s v="Corporate"/>
    <s v="Office Supplies"/>
    <x v="15"/>
    <x v="1"/>
    <d v="2011-05-06T00:00:00"/>
    <s v="06-May-2011"/>
  </r>
  <r>
    <n v="45924"/>
    <d v="2010-12-21T00:00:00"/>
    <s v="Low"/>
    <s v="21-Dec-2010"/>
    <n v="1"/>
    <n v="27.44"/>
    <n v="0.02"/>
    <s v="Regular Air"/>
    <n v="-11.76"/>
    <n v="24.95"/>
    <n v="2.99"/>
    <s v="Laurel Elliston"/>
    <s v="New Brunswick"/>
    <x v="0"/>
    <s v="Corporate"/>
    <s v="Office Supplies"/>
    <x v="1"/>
    <x v="4"/>
    <d v="2010-12-26T00:00:00"/>
    <s v="26-Dec-2010"/>
  </r>
  <r>
    <n v="18055"/>
    <d v="2010-02-04T00:00:00"/>
    <s v="Critical"/>
    <s v="04-Feb-2010"/>
    <n v="3"/>
    <n v="19.98"/>
    <n v="0.02"/>
    <s v="Regular Air"/>
    <n v="-9.61"/>
    <n v="4.9800000000000004"/>
    <n v="4.75"/>
    <s v="Maribeth Schnelling"/>
    <s v="New Brunswick"/>
    <x v="0"/>
    <s v="Corporate"/>
    <s v="Office Supplies"/>
    <x v="12"/>
    <x v="10"/>
    <d v="2010-02-06T00:00:00"/>
    <s v="06-Feb-2010"/>
  </r>
  <r>
    <n v="16258"/>
    <d v="2011-07-06T00:00:00"/>
    <s v="Medium"/>
    <s v="06-Jul-2011"/>
    <n v="1"/>
    <n v="9.69"/>
    <n v="0.05"/>
    <s v="Regular Air"/>
    <n v="-6.78"/>
    <n v="4.9800000000000004"/>
    <n v="4.72"/>
    <s v="Nona Balk"/>
    <s v="New Brunswick"/>
    <x v="0"/>
    <s v="Corporate"/>
    <s v="Office Supplies"/>
    <x v="12"/>
    <x v="10"/>
    <d v="2011-07-07T00:00:00"/>
    <s v="07-Jul-2011"/>
  </r>
  <r>
    <n v="3808"/>
    <d v="2009-04-23T00:00:00"/>
    <s v="Critical"/>
    <s v="23-Apr-2009"/>
    <n v="2"/>
    <n v="6.13"/>
    <n v="0.08"/>
    <s v="Regular Air"/>
    <n v="-2.83"/>
    <n v="2.89"/>
    <n v="0.49"/>
    <s v="Lynn Smith"/>
    <s v="New Brunswick"/>
    <x v="0"/>
    <s v="Corporate"/>
    <s v="Office Supplies"/>
    <x v="9"/>
    <x v="1"/>
    <d v="2009-04-23T00:00:00"/>
    <s v="23-Apr-2009"/>
  </r>
  <r>
    <n v="14117"/>
    <d v="2010-08-25T00:00:00"/>
    <s v="Not Specified"/>
    <s v="25-Aug-2010"/>
    <n v="4"/>
    <n v="5.31"/>
    <n v="0"/>
    <s v="Regular Air"/>
    <n v="-1.5"/>
    <n v="1.1399999999999999"/>
    <n v="0.7"/>
    <s v="Nathan Mautz"/>
    <s v="New Brunswick"/>
    <x v="0"/>
    <s v="Corporate"/>
    <s v="Office Supplies"/>
    <x v="16"/>
    <x v="1"/>
    <d v="2010-08-27T00:00:00"/>
    <s v="27-Aug-2010"/>
  </r>
  <r>
    <n v="43745"/>
    <d v="2010-11-01T00:00:00"/>
    <s v="Low"/>
    <s v="01-Nov-2010"/>
    <n v="1"/>
    <n v="4.97"/>
    <n v="0.04"/>
    <s v="Regular Air"/>
    <n v="-4.91"/>
    <n v="3.55"/>
    <n v="1.43"/>
    <s v="Laurel Elliston"/>
    <s v="New Brunswick"/>
    <x v="0"/>
    <s v="Corporate"/>
    <s v="Office Supplies"/>
    <x v="16"/>
    <x v="1"/>
    <d v="2010-11-05T00:00:00"/>
    <s v="05-Nov-2010"/>
  </r>
  <r>
    <n v="4960"/>
    <d v="2011-02-25T00:00:00"/>
    <s v="Low"/>
    <s v="25-Feb-2011"/>
    <n v="30"/>
    <n v="8363.65"/>
    <n v="0.09"/>
    <s v="Delivery Truck"/>
    <n v="763.33"/>
    <n v="300.98"/>
    <n v="64.73"/>
    <s v="Corinna Mitchell"/>
    <s v="Newfoundland"/>
    <x v="0"/>
    <s v="Corporate"/>
    <s v="Furniture"/>
    <x v="2"/>
    <x v="0"/>
    <d v="2011-03-01T00:00:00"/>
    <s v="01-Mar-2011"/>
  </r>
  <r>
    <n v="55425"/>
    <d v="2011-11-01T00:00:00"/>
    <s v="Critical"/>
    <s v="01-Nov-2011"/>
    <n v="42"/>
    <n v="4373.8535000000002"/>
    <n v="0.04"/>
    <s v="Express Air"/>
    <n v="963.68"/>
    <n v="125.99"/>
    <n v="7.69"/>
    <s v="Paul Knutson"/>
    <s v="Newfoundland"/>
    <x v="0"/>
    <s v="Corporate"/>
    <s v="Technology"/>
    <x v="10"/>
    <x v="14"/>
    <d v="2011-11-02T00:00:00"/>
    <s v="02-Nov-2011"/>
  </r>
  <r>
    <n v="41607"/>
    <d v="2009-12-19T00:00:00"/>
    <s v="Medium"/>
    <s v="19-Dec-2009"/>
    <n v="36"/>
    <n v="4115.74"/>
    <n v="0.1"/>
    <s v="Regular Air"/>
    <n v="1719.47"/>
    <n v="120.98"/>
    <n v="9.07"/>
    <s v="Barry Franz"/>
    <s v="Newfoundland"/>
    <x v="0"/>
    <s v="Corporate"/>
    <s v="Office Supplies"/>
    <x v="1"/>
    <x v="2"/>
    <d v="2009-12-21T00:00:00"/>
    <s v="21-Dec-2009"/>
  </r>
  <r>
    <n v="17157"/>
    <d v="2012-09-19T00:00:00"/>
    <s v="Low"/>
    <s v="19-Sep-2012"/>
    <n v="31"/>
    <n v="3081.471"/>
    <n v="0.09"/>
    <s v="Regular Air"/>
    <n v="574.98"/>
    <n v="125.99"/>
    <n v="4.2"/>
    <s v="Rick Duston"/>
    <s v="Newfoundland"/>
    <x v="0"/>
    <s v="Corporate"/>
    <s v="Technology"/>
    <x v="10"/>
    <x v="6"/>
    <d v="2012-09-23T00:00:00"/>
    <s v="23-Sep-2012"/>
  </r>
  <r>
    <n v="55940"/>
    <d v="2009-04-29T00:00:00"/>
    <s v="Not Specified"/>
    <s v="29-Apr-2009"/>
    <n v="29"/>
    <n v="2925.78"/>
    <n v="0.03"/>
    <s v="Regular Air"/>
    <n v="1041.29"/>
    <n v="100.98"/>
    <n v="7.18"/>
    <s v="Janet Martin"/>
    <s v="Newfoundland"/>
    <x v="0"/>
    <s v="Corporate"/>
    <s v="Technology"/>
    <x v="11"/>
    <x v="27"/>
    <d v="2009-04-30T00:00:00"/>
    <s v="30-Apr-2009"/>
  </r>
  <r>
    <n v="55815"/>
    <d v="2011-01-13T00:00:00"/>
    <s v="High"/>
    <s v="13-Jan-2011"/>
    <n v="28"/>
    <n v="2860.19"/>
    <n v="0.04"/>
    <s v="Express Air"/>
    <n v="458.4"/>
    <n v="105.29"/>
    <n v="10.119999999999999"/>
    <s v="Cynthia Voltz"/>
    <s v="Newfoundland"/>
    <x v="0"/>
    <s v="Corporate"/>
    <s v="Furniture"/>
    <x v="7"/>
    <x v="11"/>
    <d v="2011-01-14T00:00:00"/>
    <s v="14-Jan-2011"/>
  </r>
  <r>
    <n v="38912"/>
    <d v="2012-10-28T00:00:00"/>
    <s v="Low"/>
    <s v="28-Oct-2012"/>
    <n v="26"/>
    <n v="1514.9635000000001"/>
    <n v="0.02"/>
    <s v="Regular Air"/>
    <n v="310.19"/>
    <n v="65.989999999999995"/>
    <n v="4.99"/>
    <s v="Ben Peterman"/>
    <s v="Newfoundland"/>
    <x v="0"/>
    <s v="Corporate"/>
    <s v="Technology"/>
    <x v="10"/>
    <x v="6"/>
    <d v="2012-11-04T00:00:00"/>
    <s v="04-Nov-2012"/>
  </r>
  <r>
    <n v="24003"/>
    <d v="2009-10-31T00:00:00"/>
    <s v="Critical"/>
    <s v="31-Oct-2009"/>
    <n v="50"/>
    <n v="1318.49"/>
    <n v="0.02"/>
    <s v="Regular Air"/>
    <n v="4.6900000000000004"/>
    <n v="24.98"/>
    <n v="8.7899999999999991"/>
    <s v="Dan Campbell"/>
    <s v="Newfoundland"/>
    <x v="0"/>
    <s v="Corporate"/>
    <s v="Office Supplies"/>
    <x v="4"/>
    <x v="32"/>
    <d v="2009-11-01T00:00:00"/>
    <s v="01-Nov-2009"/>
  </r>
  <r>
    <n v="4647"/>
    <d v="2009-05-13T00:00:00"/>
    <s v="Medium"/>
    <s v="13-May-2009"/>
    <n v="7"/>
    <n v="1203.73"/>
    <n v="0.03"/>
    <s v="Regular Air"/>
    <n v="293.14"/>
    <n v="162.93"/>
    <n v="19.989999999999998"/>
    <s v="Carlos Meador"/>
    <s v="Newfoundland"/>
    <x v="0"/>
    <s v="Corporate"/>
    <s v="Office Supplies"/>
    <x v="15"/>
    <x v="4"/>
    <d v="2009-05-14T00:00:00"/>
    <s v="14-May-2009"/>
  </r>
  <r>
    <n v="25927"/>
    <d v="2009-04-22T00:00:00"/>
    <s v="Medium"/>
    <s v="22-Apr-2009"/>
    <n v="43"/>
    <n v="945.9"/>
    <n v="0.08"/>
    <s v="Regular Air"/>
    <n v="105.7"/>
    <n v="22.01"/>
    <n v="5.53"/>
    <s v="Rick Duston"/>
    <s v="Newfoundland"/>
    <x v="0"/>
    <s v="Corporate"/>
    <s v="Office Supplies"/>
    <x v="13"/>
    <x v="14"/>
    <d v="2009-04-24T00:00:00"/>
    <s v="24-Apr-2009"/>
  </r>
  <r>
    <n v="10338"/>
    <d v="2011-07-14T00:00:00"/>
    <s v="Not Specified"/>
    <s v="14-Jul-2011"/>
    <n v="9"/>
    <n v="799.98"/>
    <n v="0.04"/>
    <s v="Delivery Truck"/>
    <n v="15.36"/>
    <n v="90.97"/>
    <n v="14"/>
    <s v="Barry Franz"/>
    <s v="Newfoundland"/>
    <x v="0"/>
    <s v="Corporate"/>
    <s v="Technology"/>
    <x v="0"/>
    <x v="10"/>
    <d v="2011-07-16T00:00:00"/>
    <s v="16-Jul-2011"/>
  </r>
  <r>
    <n v="28515"/>
    <d v="2010-06-30T00:00:00"/>
    <s v="High"/>
    <s v="30-Jun-2010"/>
    <n v="33"/>
    <n v="750.86"/>
    <n v="0"/>
    <s v="Regular Air"/>
    <n v="302.12"/>
    <n v="21.38"/>
    <n v="2.99"/>
    <s v="Frank Atkinson"/>
    <s v="Newfoundland"/>
    <x v="0"/>
    <s v="Corporate"/>
    <s v="Office Supplies"/>
    <x v="1"/>
    <x v="10"/>
    <d v="2010-07-01T00:00:00"/>
    <s v="01-Jul-2010"/>
  </r>
  <r>
    <n v="10688"/>
    <d v="2012-05-12T00:00:00"/>
    <s v="Medium"/>
    <s v="12-May-2012"/>
    <n v="14"/>
    <n v="618.84"/>
    <n v="0.05"/>
    <s v="Regular Air"/>
    <n v="-200.84"/>
    <n v="41.47"/>
    <n v="34.200000000000003"/>
    <s v="Craig Yedwab"/>
    <s v="Newfoundland"/>
    <x v="0"/>
    <s v="Corporate"/>
    <s v="Furniture"/>
    <x v="7"/>
    <x v="33"/>
    <d v="2012-05-13T00:00:00"/>
    <s v="13-May-2012"/>
  </r>
  <r>
    <n v="36294"/>
    <d v="2012-08-20T00:00:00"/>
    <s v="Medium"/>
    <s v="20-Aug-2012"/>
    <n v="46"/>
    <n v="611.16"/>
    <n v="0.04"/>
    <s v="Regular Air"/>
    <n v="100.22"/>
    <n v="12.95"/>
    <n v="4.9800000000000004"/>
    <s v="Yana Sorensen"/>
    <s v="Newfoundland"/>
    <x v="0"/>
    <s v="Corporate"/>
    <s v="Office Supplies"/>
    <x v="1"/>
    <x v="27"/>
    <d v="2012-08-22T00:00:00"/>
    <s v="22-Aug-2012"/>
  </r>
  <r>
    <n v="22020"/>
    <d v="2010-05-17T00:00:00"/>
    <s v="Critical"/>
    <s v="17-May-2010"/>
    <n v="37"/>
    <n v="498.28"/>
    <n v="0.01"/>
    <s v="Regular Air"/>
    <n v="10.18"/>
    <n v="13.48"/>
    <n v="4.51"/>
    <s v="Harold Dahlen"/>
    <s v="Newfoundland"/>
    <x v="0"/>
    <s v="Corporate"/>
    <s v="Office Supplies"/>
    <x v="4"/>
    <x v="14"/>
    <d v="2010-05-18T00:00:00"/>
    <s v="18-May-2010"/>
  </r>
  <r>
    <n v="46177"/>
    <d v="2010-12-05T00:00:00"/>
    <s v="Low"/>
    <s v="05-Dec-2010"/>
    <n v="33"/>
    <n v="468.46"/>
    <n v="0.01"/>
    <s v="Regular Air"/>
    <n v="-292.7"/>
    <n v="12.99"/>
    <n v="14.37"/>
    <s v="Rick Duston"/>
    <s v="Newfoundland"/>
    <x v="0"/>
    <s v="Corporate"/>
    <s v="Furniture"/>
    <x v="7"/>
    <x v="33"/>
    <d v="2010-12-05T00:00:00"/>
    <s v="05-Dec-2010"/>
  </r>
  <r>
    <n v="10209"/>
    <d v="2010-11-29T00:00:00"/>
    <s v="Medium"/>
    <s v="29-Nov-2010"/>
    <n v="14"/>
    <n v="461.55"/>
    <n v="0.09"/>
    <s v="Regular Air"/>
    <n v="-12"/>
    <n v="33.979999999999997"/>
    <n v="19.989999999999998"/>
    <s v="Barry Franz"/>
    <s v="Newfoundland"/>
    <x v="0"/>
    <s v="Corporate"/>
    <s v="Furniture"/>
    <x v="7"/>
    <x v="20"/>
    <d v="2010-11-29T00:00:00"/>
    <s v="29-Nov-2010"/>
  </r>
  <r>
    <n v="37831"/>
    <d v="2012-07-26T00:00:00"/>
    <s v="Not Specified"/>
    <s v="26-Jul-2012"/>
    <n v="30"/>
    <n v="453.87"/>
    <n v="0.08"/>
    <s v="Regular Air"/>
    <n v="76.59"/>
    <n v="15.98"/>
    <n v="4"/>
    <s v="Cynthia Voltz"/>
    <s v="Newfoundland"/>
    <x v="0"/>
    <s v="Corporate"/>
    <s v="Technology"/>
    <x v="11"/>
    <x v="7"/>
    <d v="2012-07-28T00:00:00"/>
    <s v="28-Jul-2012"/>
  </r>
  <r>
    <n v="7938"/>
    <d v="2010-03-13T00:00:00"/>
    <s v="Medium"/>
    <s v="13-Mar-2010"/>
    <n v="34"/>
    <n v="334.66"/>
    <n v="0.05"/>
    <s v="Regular Air"/>
    <n v="132.56"/>
    <n v="9.93"/>
    <n v="1.0900000000000001"/>
    <s v="Carlos Meador"/>
    <s v="Newfoundland"/>
    <x v="0"/>
    <s v="Corporate"/>
    <s v="Office Supplies"/>
    <x v="13"/>
    <x v="21"/>
    <d v="2010-03-14T00:00:00"/>
    <s v="14-Mar-2010"/>
  </r>
  <r>
    <n v="29667"/>
    <d v="2009-07-24T00:00:00"/>
    <s v="Not Specified"/>
    <s v="24-Jul-2009"/>
    <n v="14"/>
    <n v="215.31"/>
    <n v="0.09"/>
    <s v="Regular Air"/>
    <n v="-51.75"/>
    <n v="15.28"/>
    <n v="10.91"/>
    <s v="Astrea Jones"/>
    <s v="Newfoundland"/>
    <x v="0"/>
    <s v="Corporate"/>
    <s v="Office Supplies"/>
    <x v="1"/>
    <x v="10"/>
    <d v="2009-07-25T00:00:00"/>
    <s v="25-Jul-2009"/>
  </r>
  <r>
    <n v="40896"/>
    <d v="2011-09-02T00:00:00"/>
    <s v="Not Specified"/>
    <s v="02-Sep-2011"/>
    <n v="21"/>
    <n v="155.72999999999999"/>
    <n v="0.03"/>
    <s v="Express Air"/>
    <n v="42.86"/>
    <n v="7.4"/>
    <n v="1.71"/>
    <s v="Tracy Poddar"/>
    <s v="Newfoundland"/>
    <x v="0"/>
    <s v="Corporate"/>
    <s v="Office Supplies"/>
    <x v="12"/>
    <x v="27"/>
    <d v="2011-09-03T00:00:00"/>
    <s v="03-Sep-2011"/>
  </r>
  <r>
    <n v="37287"/>
    <d v="2012-11-01T00:00:00"/>
    <s v="Low"/>
    <s v="01-Nov-2012"/>
    <n v="45"/>
    <n v="130.25"/>
    <n v="0.05"/>
    <s v="Regular Air"/>
    <n v="0.89"/>
    <n v="2.98"/>
    <n v="1.58"/>
    <s v="Brad Thomas"/>
    <s v="Newfoundland"/>
    <x v="0"/>
    <s v="Corporate"/>
    <s v="Office Supplies"/>
    <x v="16"/>
    <x v="4"/>
    <d v="2012-11-06T00:00:00"/>
    <s v="06-Nov-2012"/>
  </r>
  <r>
    <n v="31845"/>
    <d v="2012-10-22T00:00:00"/>
    <s v="Low"/>
    <s v="22-Oct-2012"/>
    <n v="11"/>
    <n v="114.55"/>
    <n v="0.05"/>
    <s v="Regular Air"/>
    <n v="28.61"/>
    <n v="10.06"/>
    <n v="2.06"/>
    <s v="Damala Kotsonis"/>
    <s v="Newfoundland"/>
    <x v="0"/>
    <s v="Corporate"/>
    <s v="Office Supplies"/>
    <x v="12"/>
    <x v="4"/>
    <d v="2012-10-29T00:00:00"/>
    <s v="29-Oct-2012"/>
  </r>
  <r>
    <n v="24003"/>
    <d v="2009-10-31T00:00:00"/>
    <s v="Critical"/>
    <s v="31-Oct-2009"/>
    <n v="49"/>
    <n v="87.44"/>
    <n v="0.06"/>
    <s v="Regular Air"/>
    <n v="1.33"/>
    <n v="1.76"/>
    <n v="0.7"/>
    <s v="Dan Campbell"/>
    <s v="Newfoundland"/>
    <x v="0"/>
    <s v="Corporate"/>
    <s v="Office Supplies"/>
    <x v="13"/>
    <x v="0"/>
    <d v="2009-11-02T00:00:00"/>
    <s v="02-Nov-2009"/>
  </r>
  <r>
    <n v="4647"/>
    <d v="2009-05-13T00:00:00"/>
    <s v="Medium"/>
    <s v="13-May-2009"/>
    <n v="6"/>
    <n v="75.19"/>
    <n v="0.01"/>
    <s v="Regular Air"/>
    <n v="-6.61"/>
    <n v="11.58"/>
    <n v="5.72"/>
    <s v="Carlos Meador"/>
    <s v="Newfoundland"/>
    <x v="0"/>
    <s v="Corporate"/>
    <s v="Office Supplies"/>
    <x v="15"/>
    <x v="2"/>
    <d v="2009-05-15T00:00:00"/>
    <s v="15-May-2009"/>
  </r>
  <r>
    <n v="26243"/>
    <d v="2011-07-16T00:00:00"/>
    <s v="Low"/>
    <s v="16-Jul-2011"/>
    <n v="42"/>
    <n v="71.319999999999993"/>
    <n v="0.08"/>
    <s v="Regular Air"/>
    <n v="-4.9000000000000004"/>
    <n v="1.82"/>
    <n v="1"/>
    <s v="Eleni McCrary"/>
    <s v="Newfoundland"/>
    <x v="0"/>
    <s v="Corporate"/>
    <s v="Office Supplies"/>
    <x v="13"/>
    <x v="27"/>
    <d v="2011-07-20T00:00:00"/>
    <s v="20-Jul-2011"/>
  </r>
  <r>
    <n v="14662"/>
    <d v="2011-11-16T00:00:00"/>
    <s v="High"/>
    <s v="16-Nov-2011"/>
    <n v="24"/>
    <n v="39.69"/>
    <n v="0.05"/>
    <s v="Regular Air"/>
    <n v="-1.78"/>
    <n v="1.68"/>
    <n v="1"/>
    <s v="Karl Brown"/>
    <s v="Newfoundland"/>
    <x v="0"/>
    <s v="Corporate"/>
    <s v="Office Supplies"/>
    <x v="13"/>
    <x v="2"/>
    <d v="2011-11-17T00:00:00"/>
    <s v="17-Nov-2011"/>
  </r>
  <r>
    <n v="43460"/>
    <d v="2012-06-11T00:00:00"/>
    <s v="Medium"/>
    <s v="11-Jun-2012"/>
    <n v="2"/>
    <n v="25.09"/>
    <n v="7.0000000000000007E-2"/>
    <s v="Regular Air"/>
    <n v="-17.600000000000001"/>
    <n v="8.0399999999999991"/>
    <n v="8.94"/>
    <s v="Astrea Jones"/>
    <s v="Newfoundland"/>
    <x v="0"/>
    <s v="Corporate"/>
    <s v="Office Supplies"/>
    <x v="1"/>
    <x v="27"/>
    <d v="2012-06-12T00:00:00"/>
    <s v="12-Jun-2012"/>
  </r>
  <r>
    <n v="39040"/>
    <d v="2009-05-21T00:00:00"/>
    <s v="Critical"/>
    <s v="21-May-2009"/>
    <n v="7"/>
    <n v="19.36"/>
    <n v="0.04"/>
    <s v="Express Air"/>
    <n v="-1"/>
    <n v="1.98"/>
    <n v="0.7"/>
    <s v="Astrea Jones"/>
    <s v="Newfoundland"/>
    <x v="0"/>
    <s v="Corporate"/>
    <s v="Office Supplies"/>
    <x v="16"/>
    <x v="34"/>
    <d v="2009-05-22T00:00:00"/>
    <s v="22-May-2009"/>
  </r>
  <r>
    <n v="43302"/>
    <d v="2011-08-23T00:00:00"/>
    <s v="Low"/>
    <s v="23-Aug-2011"/>
    <n v="4"/>
    <n v="8.8699999999999992"/>
    <n v="0.09"/>
    <s v="Regular Air"/>
    <n v="-5.14"/>
    <n v="1.95"/>
    <n v="1.63"/>
    <s v="Damala Kotsonis"/>
    <s v="Newfoundland"/>
    <x v="0"/>
    <s v="Corporate"/>
    <s v="Office Supplies"/>
    <x v="13"/>
    <x v="29"/>
    <d v="2011-09-01T00:00:00"/>
    <s v="01-Sep-2011"/>
  </r>
  <r>
    <n v="6596"/>
    <d v="2011-07-21T00:00:00"/>
    <s v="Low"/>
    <s v="21-Jul-2011"/>
    <n v="36"/>
    <n v="18028.07"/>
    <n v="0.02"/>
    <s v="Delivery Truck"/>
    <n v="8157.7"/>
    <n v="500.98"/>
    <n v="28.14"/>
    <s v="Chad Sievert"/>
    <s v="Nova Scotia"/>
    <x v="0"/>
    <s v="Corporate"/>
    <s v="Technology"/>
    <x v="0"/>
    <x v="1"/>
    <d v="2011-07-26T00:00:00"/>
    <s v="26-Jul-2011"/>
  </r>
  <r>
    <n v="6369"/>
    <d v="2009-12-19T00:00:00"/>
    <s v="High"/>
    <s v="19-Dec-2009"/>
    <n v="30"/>
    <n v="14922.16"/>
    <n v="0.1"/>
    <s v="Delivery Truck"/>
    <n v="545.70000000000005"/>
    <n v="550.98"/>
    <n v="45.7"/>
    <s v="Denise Leinenbach"/>
    <s v="Nova Scotia"/>
    <x v="0"/>
    <s v="Corporate"/>
    <s v="Furniture"/>
    <x v="3"/>
    <x v="35"/>
    <d v="2009-12-21T00:00:00"/>
    <s v="21-Dec-2009"/>
  </r>
  <r>
    <n v="3654"/>
    <d v="2012-06-02T00:00:00"/>
    <s v="Low"/>
    <s v="02-Jun-2012"/>
    <n v="47"/>
    <n v="12569.31"/>
    <n v="0.1"/>
    <s v="Delivery Truck"/>
    <n v="3160.63"/>
    <n v="279.81"/>
    <n v="23.19"/>
    <s v="Karl Brown"/>
    <s v="Nova Scotia"/>
    <x v="0"/>
    <s v="Corporate"/>
    <s v="Office Supplies"/>
    <x v="5"/>
    <x v="14"/>
    <d v="2012-06-02T00:00:00"/>
    <s v="02-Jun-2012"/>
  </r>
  <r>
    <n v="46177"/>
    <d v="2010-12-05T00:00:00"/>
    <s v="Low"/>
    <s v="05-Dec-2010"/>
    <n v="48"/>
    <n v="9708.64"/>
    <n v="0.1"/>
    <s v="Delivery Truck"/>
    <n v="-528.65"/>
    <n v="218.75"/>
    <n v="69.64"/>
    <s v="Rick Duston"/>
    <s v="Nova Scotia"/>
    <x v="0"/>
    <s v="Corporate"/>
    <s v="Furniture"/>
    <x v="3"/>
    <x v="36"/>
    <d v="2010-12-07T00:00:00"/>
    <s v="07-Dec-2010"/>
  </r>
  <r>
    <n v="26304"/>
    <d v="2011-03-19T00:00:00"/>
    <s v="Medium"/>
    <s v="19-Mar-2011"/>
    <n v="43"/>
    <n v="7452.1369999999997"/>
    <n v="0.02"/>
    <s v="Regular Air"/>
    <n v="2028.36"/>
    <n v="205.99"/>
    <n v="5.99"/>
    <s v="Art Ferguson"/>
    <s v="Nova Scotia"/>
    <x v="0"/>
    <s v="Corporate"/>
    <s v="Technology"/>
    <x v="10"/>
    <x v="14"/>
    <d v="2011-03-20T00:00:00"/>
    <s v="20-Mar-2011"/>
  </r>
  <r>
    <n v="3654"/>
    <d v="2012-06-02T00:00:00"/>
    <s v="Low"/>
    <s v="02-Jun-2012"/>
    <n v="39"/>
    <n v="7338.79"/>
    <n v="0.03"/>
    <s v="Regular Air"/>
    <n v="4031.62"/>
    <n v="204.1"/>
    <n v="13.99"/>
    <s v="Karl Brown"/>
    <s v="Nova Scotia"/>
    <x v="0"/>
    <s v="Corporate"/>
    <s v="Technology"/>
    <x v="0"/>
    <x v="7"/>
    <d v="2012-06-07T00:00:00"/>
    <s v="07-Jun-2012"/>
  </r>
  <r>
    <n v="43302"/>
    <d v="2011-08-23T00:00:00"/>
    <s v="Low"/>
    <s v="23-Aug-2011"/>
    <n v="39"/>
    <n v="6888.6634999999997"/>
    <n v="0.03"/>
    <s v="Regular Air"/>
    <n v="1925.58"/>
    <n v="205.99"/>
    <n v="5"/>
    <s v="Damala Kotsonis"/>
    <s v="Nova Scotia"/>
    <x v="0"/>
    <s v="Corporate"/>
    <s v="Technology"/>
    <x v="10"/>
    <x v="14"/>
    <d v="2011-08-30T00:00:00"/>
    <s v="30-Aug-2011"/>
  </r>
  <r>
    <n v="38976"/>
    <d v="2010-12-25T00:00:00"/>
    <s v="Critical"/>
    <s v="25-Dec-2010"/>
    <n v="16"/>
    <n v="6813.93"/>
    <n v="0.09"/>
    <s v="Delivery Truck"/>
    <n v="358.19"/>
    <n v="449.99"/>
    <n v="49"/>
    <s v="Paul Knutson"/>
    <s v="Nova Scotia"/>
    <x v="0"/>
    <s v="Corporate"/>
    <s v="Technology"/>
    <x v="6"/>
    <x v="1"/>
    <d v="2010-12-26T00:00:00"/>
    <s v="26-Dec-2010"/>
  </r>
  <r>
    <n v="24644"/>
    <d v="2009-07-28T00:00:00"/>
    <s v="Critical"/>
    <s v="28-Jul-2009"/>
    <n v="46"/>
    <n v="5897.47"/>
    <n v="0"/>
    <s v="Delivery Truck"/>
    <n v="-1764.29"/>
    <n v="122.99"/>
    <n v="70.2"/>
    <s v="Tony Molinari"/>
    <s v="Nova Scotia"/>
    <x v="0"/>
    <s v="Corporate"/>
    <s v="Furniture"/>
    <x v="2"/>
    <x v="37"/>
    <d v="2009-07-29T00:00:00"/>
    <s v="29-Jul-2009"/>
  </r>
  <r>
    <n v="50471"/>
    <d v="2012-01-03T00:00:00"/>
    <s v="Low"/>
    <s v="03-Jan-2012"/>
    <n v="25"/>
    <n v="5859.25"/>
    <n v="0.02"/>
    <s v="Delivery Truck"/>
    <n v="1358.53"/>
    <n v="226.67"/>
    <n v="28.16"/>
    <s v="Deborah Brumfield"/>
    <s v="Nova Scotia"/>
    <x v="0"/>
    <s v="Corporate"/>
    <s v="Furniture"/>
    <x v="2"/>
    <x v="14"/>
    <d v="2012-01-05T00:00:00"/>
    <s v="05-Jan-2012"/>
  </r>
  <r>
    <n v="14406"/>
    <d v="2010-03-08T00:00:00"/>
    <s v="Medium"/>
    <s v="08-Mar-2010"/>
    <n v="37"/>
    <n v="5610.84"/>
    <n v="7.0000000000000007E-2"/>
    <s v="Regular Air"/>
    <n v="2366.5100000000002"/>
    <n v="150.97999999999999"/>
    <n v="13.99"/>
    <s v="Charles Sheldon"/>
    <s v="Nova Scotia"/>
    <x v="0"/>
    <s v="Corporate"/>
    <s v="Technology"/>
    <x v="0"/>
    <x v="1"/>
    <d v="2010-03-10T00:00:00"/>
    <s v="10-Mar-2010"/>
  </r>
  <r>
    <n v="21379"/>
    <d v="2011-01-14T00:00:00"/>
    <s v="High"/>
    <s v="14-Jan-2011"/>
    <n v="35"/>
    <n v="5428.49"/>
    <n v="0.05"/>
    <s v="Delivery Truck"/>
    <n v="-1046.78"/>
    <n v="150.88999999999999"/>
    <n v="60.2"/>
    <s v="Charles Sheldon"/>
    <s v="Nova Scotia"/>
    <x v="0"/>
    <s v="Corporate"/>
    <s v="Furniture"/>
    <x v="2"/>
    <x v="36"/>
    <d v="2011-01-16T00:00:00"/>
    <s v="16-Jan-2011"/>
  </r>
  <r>
    <n v="9923"/>
    <d v="2009-10-05T00:00:00"/>
    <s v="High"/>
    <s v="05-Oct-2009"/>
    <n v="14"/>
    <n v="5388.8"/>
    <n v="0.03"/>
    <s v="Delivery Truck"/>
    <n v="-115.08"/>
    <n v="370.98"/>
    <n v="99"/>
    <s v="Chad Sievert"/>
    <s v="Nova Scotia"/>
    <x v="0"/>
    <s v="Corporate"/>
    <s v="Office Supplies"/>
    <x v="4"/>
    <x v="38"/>
    <d v="2009-10-06T00:00:00"/>
    <s v="06-Oct-2009"/>
  </r>
  <r>
    <n v="14662"/>
    <d v="2011-11-16T00:00:00"/>
    <s v="High"/>
    <s v="16-Nov-2011"/>
    <n v="48"/>
    <n v="5139.8819999999996"/>
    <n v="0.01"/>
    <s v="Regular Air"/>
    <n v="1275.67"/>
    <n v="125.99"/>
    <n v="8.99"/>
    <s v="Karl Brown"/>
    <s v="Nova Scotia"/>
    <x v="0"/>
    <s v="Corporate"/>
    <s v="Technology"/>
    <x v="10"/>
    <x v="14"/>
    <d v="2011-11-17T00:00:00"/>
    <s v="17-Nov-2011"/>
  </r>
  <r>
    <n v="12228"/>
    <d v="2009-06-25T00:00:00"/>
    <s v="Not Specified"/>
    <s v="25-Jun-2009"/>
    <n v="30"/>
    <n v="5015.0510000000004"/>
    <n v="0.05"/>
    <s v="Regular Air"/>
    <n v="1090.43"/>
    <n v="200.99"/>
    <n v="4.2"/>
    <s v="Brad Norvell"/>
    <s v="Nova Scotia"/>
    <x v="0"/>
    <s v="Corporate"/>
    <s v="Technology"/>
    <x v="10"/>
    <x v="14"/>
    <d v="2009-06-25T00:00:00"/>
    <s v="25-Jun-2009"/>
  </r>
  <r>
    <n v="1346"/>
    <d v="2012-06-17T00:00:00"/>
    <s v="High"/>
    <s v="17-Jun-2012"/>
    <n v="48"/>
    <n v="4789.8900000000003"/>
    <n v="0.09"/>
    <s v="Delivery Truck"/>
    <n v="421.15"/>
    <n v="100.98"/>
    <n v="26.22"/>
    <s v="Theone Pippenger"/>
    <s v="Nova Scotia"/>
    <x v="0"/>
    <s v="Corporate"/>
    <s v="Furniture"/>
    <x v="8"/>
    <x v="18"/>
    <d v="2012-06-19T00:00:00"/>
    <s v="19-Jun-2012"/>
  </r>
  <r>
    <n v="7751"/>
    <d v="2012-12-23T00:00:00"/>
    <s v="Not Specified"/>
    <s v="23-Dec-2012"/>
    <n v="45"/>
    <n v="4547.8999999999996"/>
    <n v="0.01"/>
    <s v="Delivery Truck"/>
    <n v="-768.14"/>
    <n v="95.98"/>
    <n v="58.2"/>
    <s v="Ann Blume"/>
    <s v="Nova Scotia"/>
    <x v="0"/>
    <s v="Corporate"/>
    <s v="Furniture"/>
    <x v="2"/>
    <x v="15"/>
    <d v="2012-12-24T00:00:00"/>
    <s v="24-Dec-2012"/>
  </r>
  <r>
    <n v="59781"/>
    <d v="2012-12-12T00:00:00"/>
    <s v="Not Specified"/>
    <s v="12-Dec-2012"/>
    <n v="24"/>
    <n v="4408.2700000000004"/>
    <n v="0.04"/>
    <s v="Delivery Truck"/>
    <n v="329.28"/>
    <n v="180.98"/>
    <n v="30"/>
    <s v="Julia Barnett"/>
    <s v="Nova Scotia"/>
    <x v="0"/>
    <s v="Corporate"/>
    <s v="Furniture"/>
    <x v="2"/>
    <x v="39"/>
    <d v="2012-12-13T00:00:00"/>
    <s v="13-Dec-2012"/>
  </r>
  <r>
    <n v="1285"/>
    <d v="2012-05-31T00:00:00"/>
    <s v="Critical"/>
    <s v="31-May-2012"/>
    <n v="27"/>
    <n v="3874.12"/>
    <n v="0"/>
    <s v="Delivery Truck"/>
    <n v="-305.98"/>
    <n v="130.97999999999999"/>
    <n v="54.74"/>
    <s v="Sally Matthias"/>
    <s v="Nova Scotia"/>
    <x v="0"/>
    <s v="Corporate"/>
    <s v="Furniture"/>
    <x v="8"/>
    <x v="39"/>
    <d v="2012-05-31T00:00:00"/>
    <s v="31-May-2012"/>
  </r>
  <r>
    <n v="14375"/>
    <d v="2010-01-31T00:00:00"/>
    <s v="Medium"/>
    <s v="31-Jan-2010"/>
    <n v="50"/>
    <n v="3872.38"/>
    <n v="0.1"/>
    <s v="Regular Air"/>
    <n v="1110.3499999999999"/>
    <n v="83.93"/>
    <n v="19.989999999999998"/>
    <s v="Rick Duston"/>
    <s v="Nova Scotia"/>
    <x v="0"/>
    <s v="Corporate"/>
    <s v="Office Supplies"/>
    <x v="15"/>
    <x v="1"/>
    <d v="2010-02-01T00:00:00"/>
    <s v="01-Feb-2010"/>
  </r>
  <r>
    <n v="58884"/>
    <d v="2011-03-21T00:00:00"/>
    <s v="Low"/>
    <s v="21-Mar-2011"/>
    <n v="46"/>
    <n v="3732.25"/>
    <n v="0.1"/>
    <s v="Delivery Truck"/>
    <n v="-1255.8599999999999"/>
    <n v="85.29"/>
    <n v="60"/>
    <s v="Chuck Clark"/>
    <s v="Nova Scotia"/>
    <x v="0"/>
    <s v="Corporate"/>
    <s v="Furniture"/>
    <x v="3"/>
    <x v="0"/>
    <d v="2011-03-26T00:00:00"/>
    <s v="26-Mar-2011"/>
  </r>
  <r>
    <n v="26276"/>
    <d v="2010-09-12T00:00:00"/>
    <s v="Low"/>
    <s v="12-Sep-2010"/>
    <n v="21"/>
    <n v="3685.38"/>
    <n v="0"/>
    <s v="Express Air"/>
    <n v="1040.6199999999999"/>
    <n v="170.98"/>
    <n v="13.99"/>
    <s v="Janet Martin"/>
    <s v="Nova Scotia"/>
    <x v="0"/>
    <s v="Corporate"/>
    <s v="Furniture"/>
    <x v="7"/>
    <x v="16"/>
    <d v="2010-09-19T00:00:00"/>
    <s v="19-Sep-2010"/>
  </r>
  <r>
    <n v="31845"/>
    <d v="2012-10-22T00:00:00"/>
    <s v="Low"/>
    <s v="22-Oct-2012"/>
    <n v="36"/>
    <n v="3645.12"/>
    <n v="0.04"/>
    <s v="Delivery Truck"/>
    <n v="807.29"/>
    <n v="100.98"/>
    <n v="15.66"/>
    <s v="Damala Kotsonis"/>
    <s v="Nova Scotia"/>
    <x v="0"/>
    <s v="Corporate"/>
    <s v="Office Supplies"/>
    <x v="5"/>
    <x v="6"/>
    <d v="2012-10-22T00:00:00"/>
    <s v="22-Oct-2012"/>
  </r>
  <r>
    <n v="24422"/>
    <d v="2011-12-29T00:00:00"/>
    <s v="Critical"/>
    <s v="29-Dec-2011"/>
    <n v="20"/>
    <n v="3467.28"/>
    <n v="0.06"/>
    <s v="Delivery Truck"/>
    <n v="-433.29"/>
    <n v="179.29"/>
    <n v="29.21"/>
    <s v="Craig Yedwab"/>
    <s v="Nova Scotia"/>
    <x v="0"/>
    <s v="Corporate"/>
    <s v="Furniture"/>
    <x v="3"/>
    <x v="40"/>
    <d v="2011-12-31T00:00:00"/>
    <s v="31-Dec-2011"/>
  </r>
  <r>
    <n v="31682"/>
    <d v="2010-03-09T00:00:00"/>
    <s v="Low"/>
    <s v="09-Mar-2010"/>
    <n v="42"/>
    <n v="3186.77"/>
    <n v="0.09"/>
    <s v="Regular Air"/>
    <n v="455.42"/>
    <n v="76.72"/>
    <n v="19.95"/>
    <s v="Carlos Meador"/>
    <s v="Nova Scotia"/>
    <x v="0"/>
    <s v="Corporate"/>
    <s v="Office Supplies"/>
    <x v="5"/>
    <x v="41"/>
    <d v="2010-03-18T00:00:00"/>
    <s v="18-Mar-2010"/>
  </r>
  <r>
    <n v="12389"/>
    <d v="2009-08-04T00:00:00"/>
    <s v="Medium"/>
    <s v="04-Aug-2009"/>
    <n v="34"/>
    <n v="2560.59"/>
    <n v="7.0000000000000007E-2"/>
    <s v="Regular Air"/>
    <n v="670.96"/>
    <n v="80.98"/>
    <n v="7.18"/>
    <s v="Michael Granlund"/>
    <s v="Nova Scotia"/>
    <x v="0"/>
    <s v="Corporate"/>
    <s v="Technology"/>
    <x v="11"/>
    <x v="23"/>
    <d v="2009-08-06T00:00:00"/>
    <s v="06-Aug-2009"/>
  </r>
  <r>
    <n v="14406"/>
    <d v="2010-03-08T00:00:00"/>
    <s v="Medium"/>
    <s v="08-Mar-2010"/>
    <n v="35"/>
    <n v="2329.6460000000002"/>
    <n v="0.1"/>
    <s v="Express Air"/>
    <n v="-310.24"/>
    <n v="85.99"/>
    <n v="0.99"/>
    <s v="Charles Sheldon"/>
    <s v="Nova Scotia"/>
    <x v="0"/>
    <s v="Corporate"/>
    <s v="Technology"/>
    <x v="10"/>
    <x v="42"/>
    <d v="2010-03-10T00:00:00"/>
    <s v="10-Mar-2010"/>
  </r>
  <r>
    <n v="57056"/>
    <d v="2012-11-08T00:00:00"/>
    <s v="Low"/>
    <s v="08-Nov-2012"/>
    <n v="29"/>
    <n v="2185.61"/>
    <n v="0.01"/>
    <s v="Delivery Truck"/>
    <n v="-2897.25"/>
    <n v="70.89"/>
    <n v="89.3"/>
    <s v="Bradley Talbott"/>
    <s v="Nova Scotia"/>
    <x v="0"/>
    <s v="Corporate"/>
    <s v="Furniture"/>
    <x v="3"/>
    <x v="13"/>
    <d v="2012-11-15T00:00:00"/>
    <s v="15-Nov-2012"/>
  </r>
  <r>
    <n v="16036"/>
    <d v="2012-01-05T00:00:00"/>
    <s v="Medium"/>
    <s v="05-Jan-2012"/>
    <n v="28"/>
    <n v="2160.27"/>
    <n v="0.09"/>
    <s v="Regular Air"/>
    <n v="-818.32"/>
    <n v="80.98"/>
    <n v="35"/>
    <s v="Harold Dahlen"/>
    <s v="Nova Scotia"/>
    <x v="0"/>
    <s v="Corporate"/>
    <s v="Office Supplies"/>
    <x v="4"/>
    <x v="43"/>
    <d v="2012-01-06T00:00:00"/>
    <s v="06-Jan-2012"/>
  </r>
  <r>
    <n v="58593"/>
    <d v="2011-09-08T00:00:00"/>
    <s v="Critical"/>
    <s v="08-Sep-2011"/>
    <n v="29"/>
    <n v="2018.45"/>
    <n v="0.08"/>
    <s v="Regular Air"/>
    <n v="-812.25"/>
    <n v="70.709999999999994"/>
    <n v="37.58"/>
    <s v="Ricardo Emerson"/>
    <s v="Nova Scotia"/>
    <x v="0"/>
    <s v="Corporate"/>
    <s v="Furniture"/>
    <x v="7"/>
    <x v="8"/>
    <d v="2011-09-09T00:00:00"/>
    <s v="09-Sep-2011"/>
  </r>
  <r>
    <n v="5830"/>
    <d v="2010-03-24T00:00:00"/>
    <s v="Medium"/>
    <s v="24-Mar-2010"/>
    <n v="49"/>
    <n v="2012.14"/>
    <n v="7.0000000000000007E-2"/>
    <s v="Regular Air"/>
    <n v="241.74"/>
    <n v="40.97"/>
    <n v="14.45"/>
    <s v="Shirley Jackson"/>
    <s v="Nova Scotia"/>
    <x v="0"/>
    <s v="Corporate"/>
    <s v="Furniture"/>
    <x v="7"/>
    <x v="6"/>
    <d v="2010-03-25T00:00:00"/>
    <s v="25-Mar-2010"/>
  </r>
  <r>
    <n v="21344"/>
    <d v="2012-12-09T00:00:00"/>
    <s v="Low"/>
    <s v="09-Dec-2012"/>
    <n v="48"/>
    <n v="2011.46"/>
    <n v="0.01"/>
    <s v="Regular Air"/>
    <n v="171.07"/>
    <n v="41.32"/>
    <n v="8.66"/>
    <s v="Bobby Trafton"/>
    <s v="Nova Scotia"/>
    <x v="0"/>
    <s v="Corporate"/>
    <s v="Furniture"/>
    <x v="7"/>
    <x v="40"/>
    <d v="2012-12-16T00:00:00"/>
    <s v="16-Dec-2012"/>
  </r>
  <r>
    <n v="49312"/>
    <d v="2011-02-21T00:00:00"/>
    <s v="Critical"/>
    <s v="21-Feb-2011"/>
    <n v="19"/>
    <n v="1882.18"/>
    <n v="0.09"/>
    <s v="Express Air"/>
    <n v="336.26"/>
    <n v="107.53"/>
    <n v="5.81"/>
    <s v="Deanra Eno"/>
    <s v="Nova Scotia"/>
    <x v="0"/>
    <s v="Corporate"/>
    <s v="Furniture"/>
    <x v="7"/>
    <x v="38"/>
    <d v="2011-02-23T00:00:00"/>
    <s v="23-Feb-2011"/>
  </r>
  <r>
    <n v="48452"/>
    <d v="2010-10-09T00:00:00"/>
    <s v="High"/>
    <s v="09-Oct-2010"/>
    <n v="32"/>
    <n v="1859.01"/>
    <n v="0.09"/>
    <s v="Delivery Truck"/>
    <n v="-588.9"/>
    <n v="60.98"/>
    <n v="30"/>
    <s v="Giulietta Weimer"/>
    <s v="Nova Scotia"/>
    <x v="0"/>
    <s v="Corporate"/>
    <s v="Furniture"/>
    <x v="2"/>
    <x v="3"/>
    <d v="2010-10-11T00:00:00"/>
    <s v="11-Oct-2010"/>
  </r>
  <r>
    <n v="5511"/>
    <d v="2009-11-28T00:00:00"/>
    <s v="Critical"/>
    <s v="28-Nov-2009"/>
    <n v="32"/>
    <n v="1829.3869999999999"/>
    <n v="0.02"/>
    <s v="Regular Air"/>
    <n v="482.45"/>
    <n v="65.989999999999995"/>
    <n v="3.9"/>
    <s v="Art Ferguson"/>
    <s v="Nova Scotia"/>
    <x v="0"/>
    <s v="Corporate"/>
    <s v="Technology"/>
    <x v="10"/>
    <x v="20"/>
    <d v="2009-11-29T00:00:00"/>
    <s v="29-Nov-2009"/>
  </r>
  <r>
    <n v="57700"/>
    <d v="2011-11-12T00:00:00"/>
    <s v="Medium"/>
    <s v="12-Nov-2011"/>
    <n v="38"/>
    <n v="1806.43"/>
    <n v="0.04"/>
    <s v="Regular Air"/>
    <n v="134.85"/>
    <n v="47.98"/>
    <n v="3.61"/>
    <s v="Paul MacIntyre"/>
    <s v="Nova Scotia"/>
    <x v="0"/>
    <s v="Corporate"/>
    <s v="Technology"/>
    <x v="11"/>
    <x v="35"/>
    <d v="2011-11-12T00:00:00"/>
    <s v="12-Nov-2011"/>
  </r>
  <r>
    <n v="48452"/>
    <d v="2010-10-09T00:00:00"/>
    <s v="High"/>
    <s v="09-Oct-2010"/>
    <n v="19"/>
    <n v="1781.11"/>
    <n v="0.1"/>
    <s v="Regular Air"/>
    <n v="51.44"/>
    <n v="99.99"/>
    <n v="19.989999999999998"/>
    <s v="Giulietta Weimer"/>
    <s v="Nova Scotia"/>
    <x v="0"/>
    <s v="Corporate"/>
    <s v="Technology"/>
    <x v="11"/>
    <x v="31"/>
    <d v="2010-10-09T00:00:00"/>
    <s v="09-Oct-2010"/>
  </r>
  <r>
    <n v="9925"/>
    <d v="2012-01-30T00:00:00"/>
    <s v="Critical"/>
    <s v="30-Jan-2012"/>
    <n v="43"/>
    <n v="1751.68"/>
    <n v="0.1"/>
    <s v="Express Air"/>
    <n v="771.83"/>
    <n v="41.94"/>
    <n v="2.99"/>
    <s v="Chad Sievert"/>
    <s v="Nova Scotia"/>
    <x v="0"/>
    <s v="Corporate"/>
    <s v="Office Supplies"/>
    <x v="1"/>
    <x v="2"/>
    <d v="2012-02-02T00:00:00"/>
    <s v="02-Feb-2012"/>
  </r>
  <r>
    <n v="58407"/>
    <d v="2011-05-06T00:00:00"/>
    <s v="High"/>
    <s v="06-May-2011"/>
    <n v="29"/>
    <n v="1669.88"/>
    <n v="0.02"/>
    <s v="Regular Air"/>
    <n v="548.91999999999996"/>
    <n v="55.48"/>
    <n v="14.3"/>
    <s v="John Grady"/>
    <s v="Nova Scotia"/>
    <x v="0"/>
    <s v="Corporate"/>
    <s v="Office Supplies"/>
    <x v="12"/>
    <x v="7"/>
    <d v="2011-05-09T00:00:00"/>
    <s v="09-May-2011"/>
  </r>
  <r>
    <n v="4647"/>
    <d v="2009-05-13T00:00:00"/>
    <s v="Medium"/>
    <s v="13-May-2009"/>
    <n v="33"/>
    <n v="1590.163"/>
    <n v="0.01"/>
    <s v="Regular Air"/>
    <n v="-57.54"/>
    <n v="55.99"/>
    <n v="5"/>
    <s v="Carlos Meador"/>
    <s v="Nova Scotia"/>
    <x v="0"/>
    <s v="Corporate"/>
    <s v="Technology"/>
    <x v="10"/>
    <x v="12"/>
    <d v="2009-05-14T00:00:00"/>
    <s v="14-May-2009"/>
  </r>
  <r>
    <n v="1285"/>
    <d v="2012-05-31T00:00:00"/>
    <s v="Critical"/>
    <s v="31-May-2012"/>
    <n v="8"/>
    <n v="1452.2159999999999"/>
    <n v="0.05"/>
    <s v="Delivery Truck"/>
    <n v="-277.29000000000002"/>
    <n v="218.75"/>
    <n v="69.64"/>
    <s v="Sally Matthias"/>
    <s v="Nova Scotia"/>
    <x v="0"/>
    <s v="Corporate"/>
    <s v="Furniture"/>
    <x v="3"/>
    <x v="36"/>
    <d v="2012-06-01T00:00:00"/>
    <s v="01-Jun-2012"/>
  </r>
  <r>
    <n v="15619"/>
    <d v="2011-06-28T00:00:00"/>
    <s v="Low"/>
    <s v="28-Jun-2011"/>
    <n v="9"/>
    <n v="1425.21"/>
    <n v="0.1"/>
    <s v="Delivery Truck"/>
    <n v="-65.02"/>
    <n v="160.97999999999999"/>
    <n v="30"/>
    <s v="Tony Molinari"/>
    <s v="Nova Scotia"/>
    <x v="0"/>
    <s v="Corporate"/>
    <s v="Furniture"/>
    <x v="2"/>
    <x v="44"/>
    <d v="2011-07-05T00:00:00"/>
    <s v="05-Jul-2011"/>
  </r>
  <r>
    <n v="18432"/>
    <d v="2011-03-12T00:00:00"/>
    <s v="High"/>
    <s v="12-Mar-2011"/>
    <n v="5"/>
    <n v="1374.67"/>
    <n v="0.08"/>
    <s v="Delivery Truck"/>
    <n v="-126.34"/>
    <n v="279.81"/>
    <n v="23.19"/>
    <s v="Art Ferguson"/>
    <s v="Nova Scotia"/>
    <x v="0"/>
    <s v="Corporate"/>
    <s v="Office Supplies"/>
    <x v="5"/>
    <x v="14"/>
    <d v="2011-03-14T00:00:00"/>
    <s v="14-Mar-2011"/>
  </r>
  <r>
    <n v="17698"/>
    <d v="2012-05-13T00:00:00"/>
    <s v="High"/>
    <s v="13-May-2012"/>
    <n v="22"/>
    <n v="1118.2515000000001"/>
    <n v="0.1"/>
    <s v="Regular Air"/>
    <n v="-59.59"/>
    <n v="65.989999999999995"/>
    <n v="8.99"/>
    <s v="Michael Kennedy"/>
    <s v="Nova Scotia"/>
    <x v="0"/>
    <s v="Corporate"/>
    <s v="Technology"/>
    <x v="10"/>
    <x v="15"/>
    <d v="2012-05-15T00:00:00"/>
    <s v="15-May-2012"/>
  </r>
  <r>
    <n v="4965"/>
    <d v="2010-10-20T00:00:00"/>
    <s v="Low"/>
    <s v="20-Oct-2010"/>
    <n v="14"/>
    <n v="1068.79"/>
    <n v="7.0000000000000007E-2"/>
    <s v="Regular Air"/>
    <n v="56.05"/>
    <n v="76.72"/>
    <n v="19.95"/>
    <s v="Paul Lucas"/>
    <s v="Nova Scotia"/>
    <x v="0"/>
    <s v="Corporate"/>
    <s v="Office Supplies"/>
    <x v="5"/>
    <x v="41"/>
    <d v="2010-10-20T00:00:00"/>
    <s v="20-Oct-2010"/>
  </r>
  <r>
    <n v="27266"/>
    <d v="2011-09-08T00:00:00"/>
    <s v="Critical"/>
    <s v="08-Sep-2011"/>
    <n v="9"/>
    <n v="1031.06"/>
    <n v="0.03"/>
    <s v="Regular Air"/>
    <n v="39.36"/>
    <n v="115.79"/>
    <n v="1.99"/>
    <s v="Art Ferguson"/>
    <s v="Nova Scotia"/>
    <x v="0"/>
    <s v="Corporate"/>
    <s v="Technology"/>
    <x v="11"/>
    <x v="19"/>
    <d v="2011-09-11T00:00:00"/>
    <s v="11-Sep-2011"/>
  </r>
  <r>
    <n v="25347"/>
    <d v="2009-06-12T00:00:00"/>
    <s v="Low"/>
    <s v="12-Jun-2009"/>
    <n v="28"/>
    <n v="967.27"/>
    <n v="7.0000000000000007E-2"/>
    <s v="Regular Air"/>
    <n v="309.31"/>
    <n v="35.44"/>
    <n v="7.5"/>
    <s v="Theone Pippenger"/>
    <s v="Nova Scotia"/>
    <x v="0"/>
    <s v="Corporate"/>
    <s v="Office Supplies"/>
    <x v="12"/>
    <x v="1"/>
    <d v="2009-06-19T00:00:00"/>
    <s v="19-Jun-2009"/>
  </r>
  <r>
    <n v="325"/>
    <d v="2010-10-16T00:00:00"/>
    <s v="Low"/>
    <s v="16-Oct-2010"/>
    <n v="9"/>
    <n v="884.12750000000005"/>
    <n v="0.06"/>
    <s v="Regular Air"/>
    <n v="-178.71"/>
    <n v="115.99"/>
    <n v="4.2300000000000004"/>
    <s v="Craig Yedwab"/>
    <s v="Nova Scotia"/>
    <x v="0"/>
    <s v="Corporate"/>
    <s v="Technology"/>
    <x v="10"/>
    <x v="0"/>
    <d v="2010-10-20T00:00:00"/>
    <s v="20-Oct-2010"/>
  </r>
  <r>
    <n v="6885"/>
    <d v="2012-06-19T00:00:00"/>
    <s v="Low"/>
    <s v="19-Jun-2012"/>
    <n v="40"/>
    <n v="879.54"/>
    <n v="0.09"/>
    <s v="Regular Air"/>
    <n v="166.93"/>
    <n v="23.99"/>
    <n v="6.3"/>
    <s v="Damala Kotsonis"/>
    <s v="Nova Scotia"/>
    <x v="0"/>
    <s v="Corporate"/>
    <s v="Technology"/>
    <x v="0"/>
    <x v="1"/>
    <d v="2012-06-19T00:00:00"/>
    <s v="19-Jun-2012"/>
  </r>
  <r>
    <n v="8007"/>
    <d v="2012-02-11T00:00:00"/>
    <s v="Low"/>
    <s v="11-Feb-2012"/>
    <n v="5"/>
    <n v="820.56449999999995"/>
    <n v="0.09"/>
    <s v="Regular Air"/>
    <n v="-800.25"/>
    <n v="205.99"/>
    <n v="8.99"/>
    <s v="Maya Herman"/>
    <s v="Nova Scotia"/>
    <x v="0"/>
    <s v="Corporate"/>
    <s v="Technology"/>
    <x v="10"/>
    <x v="18"/>
    <d v="2012-02-11T00:00:00"/>
    <s v="11-Feb-2012"/>
  </r>
  <r>
    <n v="51107"/>
    <d v="2012-09-25T00:00:00"/>
    <s v="Not Specified"/>
    <s v="25-Sep-2012"/>
    <n v="36"/>
    <n v="772.67"/>
    <n v="0"/>
    <s v="Regular Air"/>
    <n v="286.87"/>
    <n v="21.38"/>
    <n v="2.99"/>
    <s v="Luke Foster"/>
    <s v="Nova Scotia"/>
    <x v="0"/>
    <s v="Corporate"/>
    <s v="Office Supplies"/>
    <x v="1"/>
    <x v="7"/>
    <d v="2012-09-26T00:00:00"/>
    <s v="26-Sep-2012"/>
  </r>
  <r>
    <n v="30884"/>
    <d v="2010-09-26T00:00:00"/>
    <s v="Low"/>
    <s v="26-Sep-2010"/>
    <n v="6"/>
    <n v="763.44799999999998"/>
    <n v="0.05"/>
    <s v="Delivery Truck"/>
    <n v="-352.96"/>
    <n v="146.05000000000001"/>
    <n v="80.2"/>
    <s v="Carlos Meador"/>
    <s v="Nova Scotia"/>
    <x v="0"/>
    <s v="Corporate"/>
    <s v="Furniture"/>
    <x v="3"/>
    <x v="35"/>
    <d v="2010-10-01T00:00:00"/>
    <s v="01-Oct-2010"/>
  </r>
  <r>
    <n v="18849"/>
    <d v="2012-08-05T00:00:00"/>
    <s v="High"/>
    <s v="05-Aug-2012"/>
    <n v="6"/>
    <n v="751.71"/>
    <n v="0.09"/>
    <s v="Regular Air"/>
    <n v="50.83"/>
    <n v="131.12"/>
    <n v="0.99"/>
    <s v="Deanra Eno"/>
    <s v="Nova Scotia"/>
    <x v="0"/>
    <s v="Corporate"/>
    <s v="Office Supplies"/>
    <x v="5"/>
    <x v="20"/>
    <d v="2012-08-05T00:00:00"/>
    <s v="05-Aug-2012"/>
  </r>
  <r>
    <n v="17408"/>
    <d v="2009-05-27T00:00:00"/>
    <s v="Not Specified"/>
    <s v="27-May-2009"/>
    <n v="41"/>
    <n v="728.12699999999995"/>
    <n v="0.02"/>
    <s v="Regular Air"/>
    <n v="49.79"/>
    <n v="20.99"/>
    <n v="4.8099999999999996"/>
    <s v="Berenike Kampe"/>
    <s v="Nova Scotia"/>
    <x v="0"/>
    <s v="Corporate"/>
    <s v="Technology"/>
    <x v="10"/>
    <x v="15"/>
    <d v="2009-05-29T00:00:00"/>
    <s v="29-May-2009"/>
  </r>
  <r>
    <n v="43302"/>
    <d v="2011-08-23T00:00:00"/>
    <s v="Low"/>
    <s v="23-Aug-2011"/>
    <n v="43"/>
    <n v="720.61300000000006"/>
    <n v="7.0000000000000007E-2"/>
    <s v="Regular Air"/>
    <n v="329.68"/>
    <n v="20.99"/>
    <n v="0.99"/>
    <s v="Damala Kotsonis"/>
    <s v="Nova Scotia"/>
    <x v="0"/>
    <s v="Corporate"/>
    <s v="Technology"/>
    <x v="10"/>
    <x v="7"/>
    <d v="2011-09-01T00:00:00"/>
    <s v="01-Sep-2011"/>
  </r>
  <r>
    <n v="9861"/>
    <d v="2012-10-28T00:00:00"/>
    <s v="Low"/>
    <s v="28-Oct-2012"/>
    <n v="47"/>
    <n v="706.68"/>
    <n v="0.1"/>
    <s v="Regular Air"/>
    <n v="6.6"/>
    <n v="15.94"/>
    <n v="5.45"/>
    <s v="Chad Sievert"/>
    <s v="Nova Scotia"/>
    <x v="0"/>
    <s v="Corporate"/>
    <s v="Office Supplies"/>
    <x v="13"/>
    <x v="20"/>
    <d v="2012-11-01T00:00:00"/>
    <s v="01-Nov-2012"/>
  </r>
  <r>
    <n v="2084"/>
    <d v="2010-03-16T00:00:00"/>
    <s v="High"/>
    <s v="16-Mar-2010"/>
    <n v="16"/>
    <n v="692.73"/>
    <n v="0.01"/>
    <s v="Regular Air"/>
    <n v="94.97"/>
    <n v="40.99"/>
    <n v="17.48"/>
    <s v="Andy Reiter"/>
    <s v="Nova Scotia"/>
    <x v="0"/>
    <s v="Corporate"/>
    <s v="Office Supplies"/>
    <x v="12"/>
    <x v="10"/>
    <d v="2010-03-18T00:00:00"/>
    <s v="18-Mar-2010"/>
  </r>
  <r>
    <n v="9925"/>
    <d v="2012-01-30T00:00:00"/>
    <s v="Critical"/>
    <s v="30-Jan-2012"/>
    <n v="31"/>
    <n v="684.5"/>
    <n v="0.02"/>
    <s v="Regular Air"/>
    <n v="-27.99"/>
    <n v="21.38"/>
    <n v="8.99"/>
    <s v="Chad Sievert"/>
    <s v="Nova Scotia"/>
    <x v="0"/>
    <s v="Corporate"/>
    <s v="Office Supplies"/>
    <x v="13"/>
    <x v="14"/>
    <d v="2012-02-01T00:00:00"/>
    <s v="01-Feb-2012"/>
  </r>
  <r>
    <n v="16967"/>
    <d v="2011-08-19T00:00:00"/>
    <s v="Low"/>
    <s v="19-Aug-2011"/>
    <n v="34"/>
    <n v="676.26"/>
    <n v="0.06"/>
    <s v="Regular Air"/>
    <n v="181.98"/>
    <n v="19.98"/>
    <n v="5.77"/>
    <s v="Brad Norvell"/>
    <s v="Nova Scotia"/>
    <x v="0"/>
    <s v="Corporate"/>
    <s v="Office Supplies"/>
    <x v="12"/>
    <x v="1"/>
    <d v="2011-08-19T00:00:00"/>
    <s v="19-Aug-2011"/>
  </r>
  <r>
    <n v="38341"/>
    <d v="2009-05-18T00:00:00"/>
    <s v="Medium"/>
    <s v="18-May-2009"/>
    <n v="38"/>
    <n v="623.12649999999996"/>
    <n v="0.09"/>
    <s v="Regular Air"/>
    <n v="122.29"/>
    <n v="20.99"/>
    <n v="0.99"/>
    <s v="Brendan Murry"/>
    <s v="Nova Scotia"/>
    <x v="0"/>
    <s v="Corporate"/>
    <s v="Technology"/>
    <x v="10"/>
    <x v="6"/>
    <d v="2009-05-18T00:00:00"/>
    <s v="18-May-2009"/>
  </r>
  <r>
    <n v="17698"/>
    <d v="2012-05-13T00:00:00"/>
    <s v="High"/>
    <s v="13-May-2012"/>
    <n v="40"/>
    <n v="609.4"/>
    <n v="0.04"/>
    <s v="Regular Air"/>
    <n v="-89.23"/>
    <n v="15.28"/>
    <n v="10.91"/>
    <s v="Michael Kennedy"/>
    <s v="Nova Scotia"/>
    <x v="0"/>
    <s v="Corporate"/>
    <s v="Office Supplies"/>
    <x v="1"/>
    <x v="10"/>
    <d v="2012-05-14T00:00:00"/>
    <s v="14-May-2012"/>
  </r>
  <r>
    <n v="22053"/>
    <d v="2010-08-21T00:00:00"/>
    <s v="Critical"/>
    <s v="21-Aug-2010"/>
    <n v="32"/>
    <n v="563.08000000000004"/>
    <n v="0.1"/>
    <s v="Regular Air"/>
    <n v="112.97"/>
    <n v="18.989999999999998"/>
    <n v="5.23"/>
    <s v="Sean Wendt"/>
    <s v="Nova Scotia"/>
    <x v="0"/>
    <s v="Corporate"/>
    <s v="Office Supplies"/>
    <x v="1"/>
    <x v="7"/>
    <d v="2010-08-23T00:00:00"/>
    <s v="23-Aug-2010"/>
  </r>
  <r>
    <n v="50338"/>
    <d v="2009-03-23T00:00:00"/>
    <s v="Not Specified"/>
    <s v="23-Mar-2009"/>
    <n v="36"/>
    <n v="551.44000000000005"/>
    <n v="0"/>
    <s v="Regular Air"/>
    <n v="28.7"/>
    <n v="13.99"/>
    <n v="7.51"/>
    <s v="Liz Price"/>
    <s v="Nova Scotia"/>
    <x v="0"/>
    <s v="Corporate"/>
    <s v="Technology"/>
    <x v="0"/>
    <x v="4"/>
    <d v="2009-03-25T00:00:00"/>
    <s v="25-Mar-2009"/>
  </r>
  <r>
    <n v="7458"/>
    <d v="2012-04-04T00:00:00"/>
    <s v="Critical"/>
    <s v="04-Apr-2012"/>
    <n v="46"/>
    <n v="511.07"/>
    <n v="0.01"/>
    <s v="Regular Air"/>
    <n v="-165.74"/>
    <n v="10.97"/>
    <n v="6.5"/>
    <s v="Karen Carlisle"/>
    <s v="Nova Scotia"/>
    <x v="0"/>
    <s v="Corporate"/>
    <s v="Technology"/>
    <x v="11"/>
    <x v="28"/>
    <d v="2012-04-05T00:00:00"/>
    <s v="05-Apr-2012"/>
  </r>
  <r>
    <n v="25825"/>
    <d v="2012-07-19T00:00:00"/>
    <s v="Not Specified"/>
    <s v="19-Jul-2012"/>
    <n v="45"/>
    <n v="483.74"/>
    <n v="0.02"/>
    <s v="Regular Air"/>
    <n v="206.27"/>
    <n v="10.31"/>
    <n v="1.79"/>
    <s v="Michael Granlund"/>
    <s v="Nova Scotia"/>
    <x v="0"/>
    <s v="Corporate"/>
    <s v="Office Supplies"/>
    <x v="12"/>
    <x v="1"/>
    <d v="2012-07-22T00:00:00"/>
    <s v="22-Jul-2012"/>
  </r>
  <r>
    <n v="6885"/>
    <d v="2012-06-19T00:00:00"/>
    <s v="Low"/>
    <s v="19-Jun-2012"/>
    <n v="4"/>
    <n v="481.27"/>
    <n v="0.02"/>
    <s v="Delivery Truck"/>
    <n v="-181.27"/>
    <n v="113.98"/>
    <n v="30"/>
    <s v="Damala Kotsonis"/>
    <s v="Nova Scotia"/>
    <x v="0"/>
    <s v="Corporate"/>
    <s v="Furniture"/>
    <x v="2"/>
    <x v="39"/>
    <d v="2012-06-21T00:00:00"/>
    <s v="21-Jun-2012"/>
  </r>
  <r>
    <n v="14406"/>
    <d v="2010-03-08T00:00:00"/>
    <s v="Medium"/>
    <s v="08-Mar-2010"/>
    <n v="20"/>
    <n v="455.34"/>
    <n v="0.06"/>
    <s v="Delivery Truck"/>
    <n v="-932.55"/>
    <n v="20.98"/>
    <n v="53.03"/>
    <s v="Charles Sheldon"/>
    <s v="Nova Scotia"/>
    <x v="0"/>
    <s v="Corporate"/>
    <s v="Office Supplies"/>
    <x v="4"/>
    <x v="8"/>
    <d v="2010-03-10T00:00:00"/>
    <s v="10-Mar-2010"/>
  </r>
  <r>
    <n v="18432"/>
    <d v="2011-03-12T00:00:00"/>
    <s v="High"/>
    <s v="12-Mar-2011"/>
    <n v="42"/>
    <n v="451.32"/>
    <n v="0.04"/>
    <s v="Regular Air"/>
    <n v="1.1599999999999999"/>
    <n v="10.64"/>
    <n v="5.16"/>
    <s v="Art Ferguson"/>
    <s v="Nova Scotia"/>
    <x v="0"/>
    <s v="Corporate"/>
    <s v="Furniture"/>
    <x v="7"/>
    <x v="6"/>
    <d v="2011-03-12T00:00:00"/>
    <s v="12-Mar-2011"/>
  </r>
  <r>
    <n v="1699"/>
    <d v="2010-12-29T00:00:00"/>
    <s v="Critical"/>
    <s v="29-Dec-2010"/>
    <n v="40"/>
    <n v="430.88"/>
    <n v="0.05"/>
    <s v="Regular Air"/>
    <n v="39"/>
    <n v="11.09"/>
    <n v="5.25"/>
    <s v="Art Ferguson"/>
    <s v="Nova Scotia"/>
    <x v="0"/>
    <s v="Corporate"/>
    <s v="Office Supplies"/>
    <x v="15"/>
    <x v="10"/>
    <d v="2011-03-23T00:00:00"/>
    <s v="23-Mar-2011"/>
  </r>
  <r>
    <n v="10209"/>
    <d v="2010-11-29T00:00:00"/>
    <s v="Medium"/>
    <s v="29-Nov-2010"/>
    <n v="48"/>
    <n v="418.82"/>
    <n v="0.02"/>
    <s v="Regular Air"/>
    <n v="-60.21"/>
    <n v="8.6"/>
    <n v="6.19"/>
    <s v="Barry Franz"/>
    <s v="Nova Scotia"/>
    <x v="0"/>
    <s v="Corporate"/>
    <s v="Office Supplies"/>
    <x v="1"/>
    <x v="1"/>
    <d v="2010-12-01T00:00:00"/>
    <s v="01-Dec-2010"/>
  </r>
  <r>
    <n v="16967"/>
    <d v="2011-08-19T00:00:00"/>
    <s v="Low"/>
    <s v="19-Aug-2011"/>
    <n v="5"/>
    <n v="397.55"/>
    <n v="0.08"/>
    <s v="Regular Air"/>
    <n v="-152.47"/>
    <n v="83.1"/>
    <n v="6.13"/>
    <s v="Brad Norvell"/>
    <s v="Nova Scotia"/>
    <x v="0"/>
    <s v="Corporate"/>
    <s v="Technology"/>
    <x v="11"/>
    <x v="45"/>
    <d v="2011-08-21T00:00:00"/>
    <s v="21-Aug-2011"/>
  </r>
  <r>
    <n v="43813"/>
    <d v="2009-07-21T00:00:00"/>
    <s v="Not Specified"/>
    <s v="21-Jul-2009"/>
    <n v="23"/>
    <n v="384.21"/>
    <n v="0.04"/>
    <s v="Regular Air"/>
    <n v="-266.22000000000003"/>
    <n v="15.51"/>
    <n v="17.78"/>
    <s v="Carlos Meador"/>
    <s v="Nova Scotia"/>
    <x v="0"/>
    <s v="Corporate"/>
    <s v="Office Supplies"/>
    <x v="4"/>
    <x v="14"/>
    <d v="2009-07-23T00:00:00"/>
    <s v="23-Jul-2009"/>
  </r>
  <r>
    <n v="20455"/>
    <d v="2010-06-28T00:00:00"/>
    <s v="Critical"/>
    <s v="28-Jun-2010"/>
    <n v="7"/>
    <n v="381.1995"/>
    <n v="0.08"/>
    <s v="Express Air"/>
    <n v="-233.56"/>
    <n v="65.989999999999995"/>
    <n v="8.99"/>
    <s v="Dana Kaydos"/>
    <s v="Nova Scotia"/>
    <x v="0"/>
    <s v="Corporate"/>
    <s v="Technology"/>
    <x v="10"/>
    <x v="15"/>
    <d v="2010-06-29T00:00:00"/>
    <s v="29-Jun-2010"/>
  </r>
  <r>
    <n v="28515"/>
    <d v="2010-06-30T00:00:00"/>
    <s v="High"/>
    <s v="30-Jun-2010"/>
    <n v="48"/>
    <n v="379.78"/>
    <n v="0.1"/>
    <s v="Regular Air"/>
    <n v="-71.59"/>
    <n v="8.32"/>
    <n v="2.38"/>
    <s v="Frank Atkinson"/>
    <s v="Nova Scotia"/>
    <x v="0"/>
    <s v="Corporate"/>
    <s v="Technology"/>
    <x v="11"/>
    <x v="37"/>
    <d v="2010-07-02T00:00:00"/>
    <s v="02-Jul-2010"/>
  </r>
  <r>
    <n v="52006"/>
    <d v="2009-06-24T00:00:00"/>
    <s v="Medium"/>
    <s v="24-Jun-2009"/>
    <n v="42"/>
    <n v="375.76"/>
    <n v="0"/>
    <s v="Regular Air"/>
    <n v="-241.63"/>
    <n v="8.3699999999999992"/>
    <n v="10.16"/>
    <s v="Carlos Meador"/>
    <s v="Nova Scotia"/>
    <x v="0"/>
    <s v="Corporate"/>
    <s v="Furniture"/>
    <x v="7"/>
    <x v="14"/>
    <d v="2009-06-26T00:00:00"/>
    <s v="26-Jun-2009"/>
  </r>
  <r>
    <n v="33959"/>
    <d v="2009-07-31T00:00:00"/>
    <s v="Critical"/>
    <s v="31-Jul-2009"/>
    <n v="23"/>
    <n v="367.53"/>
    <n v="0.03"/>
    <s v="Delivery Truck"/>
    <n v="11.65"/>
    <n v="15.23"/>
    <n v="27.75"/>
    <s v="Ben Peterman"/>
    <s v="Nova Scotia"/>
    <x v="0"/>
    <s v="Corporate"/>
    <s v="Furniture"/>
    <x v="3"/>
    <x v="40"/>
    <d v="2009-08-01T00:00:00"/>
    <s v="01-Aug-2009"/>
  </r>
  <r>
    <n v="10338"/>
    <d v="2011-07-14T00:00:00"/>
    <s v="Not Specified"/>
    <s v="14-Jul-2011"/>
    <n v="7"/>
    <n v="363.57"/>
    <n v="0.02"/>
    <s v="Delivery Truck"/>
    <n v="33.99"/>
    <n v="44.43"/>
    <n v="46.59"/>
    <s v="Barry Franz"/>
    <s v="Nova Scotia"/>
    <x v="0"/>
    <s v="Corporate"/>
    <s v="Furniture"/>
    <x v="3"/>
    <x v="46"/>
    <d v="2011-07-16T00:00:00"/>
    <s v="16-Jul-2011"/>
  </r>
  <r>
    <n v="36390"/>
    <d v="2012-10-12T00:00:00"/>
    <s v="High"/>
    <s v="12-Oct-2012"/>
    <n v="3"/>
    <n v="329.63"/>
    <n v="0.05"/>
    <s v="Regular Air"/>
    <n v="-541.33000000000004"/>
    <n v="125.99"/>
    <n v="8.99"/>
    <s v="Sylvia Foulston"/>
    <s v="Nova Scotia"/>
    <x v="0"/>
    <s v="Corporate"/>
    <s v="Technology"/>
    <x v="10"/>
    <x v="14"/>
    <d v="2012-10-14T00:00:00"/>
    <s v="14-Oct-2012"/>
  </r>
  <r>
    <n v="18951"/>
    <d v="2011-06-29T00:00:00"/>
    <s v="Critical"/>
    <s v="29-Jun-2011"/>
    <n v="10"/>
    <n v="324.3175"/>
    <n v="0.03"/>
    <s v="Express Air"/>
    <n v="-169.74"/>
    <n v="35.99"/>
    <n v="5"/>
    <s v="Astrea Jones"/>
    <s v="Nova Scotia"/>
    <x v="0"/>
    <s v="Corporate"/>
    <s v="Technology"/>
    <x v="10"/>
    <x v="42"/>
    <d v="2011-07-01T00:00:00"/>
    <s v="01-Jul-2011"/>
  </r>
  <r>
    <n v="3078"/>
    <d v="2010-02-11T00:00:00"/>
    <s v="High"/>
    <s v="11-Feb-2010"/>
    <n v="1"/>
    <n v="316.61"/>
    <n v="0.1"/>
    <s v="Delivery Truck"/>
    <n v="-187.29"/>
    <n v="291.73"/>
    <n v="48.8"/>
    <s v="Paul Lucas"/>
    <s v="Nova Scotia"/>
    <x v="0"/>
    <s v="Corporate"/>
    <s v="Furniture"/>
    <x v="2"/>
    <x v="0"/>
    <d v="2010-02-13T00:00:00"/>
    <s v="13-Feb-2010"/>
  </r>
  <r>
    <n v="53953"/>
    <d v="2009-03-27T00:00:00"/>
    <s v="Not Specified"/>
    <s v="27-Mar-2009"/>
    <n v="36"/>
    <n v="307.64999999999998"/>
    <n v="7.0000000000000007E-2"/>
    <s v="Regular Air"/>
    <n v="91.73"/>
    <n v="8.9499999999999993"/>
    <n v="2.0099999999999998"/>
    <s v="Heather Jas"/>
    <s v="Nova Scotia"/>
    <x v="0"/>
    <s v="Corporate"/>
    <s v="Office Supplies"/>
    <x v="12"/>
    <x v="4"/>
    <d v="2009-03-28T00:00:00"/>
    <s v="28-Mar-2009"/>
  </r>
  <r>
    <n v="6695"/>
    <d v="2012-06-27T00:00:00"/>
    <s v="Low"/>
    <s v="27-Jun-2012"/>
    <n v="49"/>
    <n v="295.24"/>
    <n v="0.08"/>
    <s v="Express Air"/>
    <n v="-279.93"/>
    <n v="5.81"/>
    <n v="8.49"/>
    <s v="Natalie Webber"/>
    <s v="Nova Scotia"/>
    <x v="0"/>
    <s v="Corporate"/>
    <s v="Office Supplies"/>
    <x v="1"/>
    <x v="4"/>
    <d v="2012-06-27T00:00:00"/>
    <s v="27-Jun-2012"/>
  </r>
  <r>
    <n v="18534"/>
    <d v="2011-12-30T00:00:00"/>
    <s v="Low"/>
    <s v="30-Dec-2011"/>
    <n v="36"/>
    <n v="282.58"/>
    <n v="0.1"/>
    <s v="Express Air"/>
    <n v="21.68"/>
    <n v="8.33"/>
    <n v="1.99"/>
    <s v="Tracy Poddar"/>
    <s v="Nova Scotia"/>
    <x v="0"/>
    <s v="Corporate"/>
    <s v="Technology"/>
    <x v="11"/>
    <x v="24"/>
    <d v="2011-12-30T00:00:00"/>
    <s v="30-Dec-2011"/>
  </r>
  <r>
    <n v="15878"/>
    <d v="2010-11-04T00:00:00"/>
    <s v="High"/>
    <s v="04-Nov-2010"/>
    <n v="36"/>
    <n v="275.06"/>
    <n v="0.05"/>
    <s v="Regular Air"/>
    <n v="-237.87"/>
    <n v="7.28"/>
    <n v="11.15"/>
    <s v="Mike Kennedy"/>
    <s v="Nova Scotia"/>
    <x v="0"/>
    <s v="Corporate"/>
    <s v="Office Supplies"/>
    <x v="12"/>
    <x v="7"/>
    <d v="2010-11-06T00:00:00"/>
    <s v="06-Nov-2010"/>
  </r>
  <r>
    <n v="41766"/>
    <d v="2012-09-11T00:00:00"/>
    <s v="Critical"/>
    <s v="11-Sep-2012"/>
    <n v="7"/>
    <n v="273.42"/>
    <n v="0"/>
    <s v="Regular Air"/>
    <n v="10.06"/>
    <n v="34.54"/>
    <n v="14.72"/>
    <s v="Stefania Perrino"/>
    <s v="Nova Scotia"/>
    <x v="0"/>
    <s v="Corporate"/>
    <s v="Office Supplies"/>
    <x v="1"/>
    <x v="7"/>
    <d v="2012-09-12T00:00:00"/>
    <s v="12-Sep-2012"/>
  </r>
  <r>
    <n v="53123"/>
    <d v="2009-08-31T00:00:00"/>
    <s v="Not Specified"/>
    <s v="31-Aug-2009"/>
    <n v="25"/>
    <n v="265.75"/>
    <n v="0.06"/>
    <s v="Regular Air"/>
    <n v="14"/>
    <n v="10.98"/>
    <n v="5.14"/>
    <s v="Michael Kennedy"/>
    <s v="Nova Scotia"/>
    <x v="0"/>
    <s v="Corporate"/>
    <s v="Office Supplies"/>
    <x v="1"/>
    <x v="10"/>
    <d v="2009-09-02T00:00:00"/>
    <s v="02-Sep-2009"/>
  </r>
  <r>
    <n v="37829"/>
    <d v="2010-09-29T00:00:00"/>
    <s v="Not Specified"/>
    <s v="29-Sep-2010"/>
    <n v="28"/>
    <n v="257.89999999999998"/>
    <n v="0"/>
    <s v="Regular Air"/>
    <n v="-84.69"/>
    <n v="8.74"/>
    <n v="8.2899999999999991"/>
    <s v="Eleni McCrary"/>
    <s v="Nova Scotia"/>
    <x v="0"/>
    <s v="Corporate"/>
    <s v="Office Supplies"/>
    <x v="15"/>
    <x v="1"/>
    <d v="2010-10-01T00:00:00"/>
    <s v="01-Oct-2010"/>
  </r>
  <r>
    <n v="14662"/>
    <d v="2011-11-16T00:00:00"/>
    <s v="High"/>
    <s v="16-Nov-2011"/>
    <n v="48"/>
    <n v="257.75"/>
    <n v="0.02"/>
    <s v="Regular Air"/>
    <n v="-66.260000000000005"/>
    <n v="4.9800000000000004"/>
    <n v="4.75"/>
    <s v="Karl Brown"/>
    <s v="Nova Scotia"/>
    <x v="0"/>
    <s v="Corporate"/>
    <s v="Office Supplies"/>
    <x v="12"/>
    <x v="10"/>
    <d v="2011-11-17T00:00:00"/>
    <s v="17-Nov-2011"/>
  </r>
  <r>
    <n v="49223"/>
    <d v="2011-10-02T00:00:00"/>
    <s v="Medium"/>
    <s v="02-Oct-2011"/>
    <n v="24"/>
    <n v="238.25"/>
    <n v="0.05"/>
    <s v="Regular Air"/>
    <n v="-83.55"/>
    <n v="9.3800000000000008"/>
    <n v="7.28"/>
    <s v="Chuck Clark"/>
    <s v="Nova Scotia"/>
    <x v="0"/>
    <s v="Corporate"/>
    <s v="Office Supplies"/>
    <x v="4"/>
    <x v="6"/>
    <d v="2011-10-02T00:00:00"/>
    <s v="02-Oct-2011"/>
  </r>
  <r>
    <n v="7458"/>
    <d v="2012-04-04T00:00:00"/>
    <s v="Critical"/>
    <s v="04-Apr-2012"/>
    <n v="16"/>
    <n v="226.81"/>
    <n v="0.05"/>
    <s v="Regular Air"/>
    <n v="-5.37"/>
    <n v="14.45"/>
    <n v="7.17"/>
    <s v="Karen Carlisle"/>
    <s v="Nova Scotia"/>
    <x v="0"/>
    <s v="Corporate"/>
    <s v="Office Supplies"/>
    <x v="1"/>
    <x v="1"/>
    <d v="2012-04-06T00:00:00"/>
    <s v="06-Apr-2012"/>
  </r>
  <r>
    <n v="18432"/>
    <d v="2011-03-12T00:00:00"/>
    <s v="High"/>
    <s v="12-Mar-2011"/>
    <n v="15"/>
    <n v="217.66"/>
    <n v="0.1"/>
    <s v="Express Air"/>
    <n v="-24.91"/>
    <n v="14.42"/>
    <n v="6.75"/>
    <s v="Art Ferguson"/>
    <s v="Nova Scotia"/>
    <x v="0"/>
    <s v="Corporate"/>
    <s v="Office Supplies"/>
    <x v="5"/>
    <x v="24"/>
    <d v="2011-03-12T00:00:00"/>
    <s v="12-Mar-2011"/>
  </r>
  <r>
    <n v="3361"/>
    <d v="2012-08-22T00:00:00"/>
    <s v="Not Specified"/>
    <s v="22-Aug-2012"/>
    <n v="49"/>
    <n v="213.71"/>
    <n v="0.06"/>
    <s v="Regular Air"/>
    <n v="-208.02"/>
    <n v="4.28"/>
    <n v="6.72"/>
    <s v="Michael Granlund"/>
    <s v="Nova Scotia"/>
    <x v="0"/>
    <s v="Corporate"/>
    <s v="Office Supplies"/>
    <x v="12"/>
    <x v="27"/>
    <d v="2012-08-22T00:00:00"/>
    <s v="22-Aug-2012"/>
  </r>
  <r>
    <n v="25280"/>
    <d v="2011-05-21T00:00:00"/>
    <s v="Not Specified"/>
    <s v="21-May-2011"/>
    <n v="47"/>
    <n v="202.64"/>
    <n v="0.03"/>
    <s v="Regular Air"/>
    <n v="28.75"/>
    <n v="4.13"/>
    <n v="1.17"/>
    <s v="Stefania Perrino"/>
    <s v="Nova Scotia"/>
    <x v="0"/>
    <s v="Corporate"/>
    <s v="Office Supplies"/>
    <x v="13"/>
    <x v="6"/>
    <d v="2011-05-22T00:00:00"/>
    <s v="22-May-2011"/>
  </r>
  <r>
    <n v="24039"/>
    <d v="2012-07-17T00:00:00"/>
    <s v="Not Specified"/>
    <s v="17-Jul-2012"/>
    <n v="5"/>
    <n v="199.16"/>
    <n v="0.1"/>
    <s v="Regular Air"/>
    <n v="-64.87"/>
    <n v="40.98"/>
    <n v="1.99"/>
    <s v="Sean Wendt"/>
    <s v="Nova Scotia"/>
    <x v="0"/>
    <s v="Corporate"/>
    <s v="Technology"/>
    <x v="11"/>
    <x v="47"/>
    <d v="2012-07-19T00:00:00"/>
    <s v="19-Jul-2012"/>
  </r>
  <r>
    <n v="47750"/>
    <d v="2010-06-15T00:00:00"/>
    <s v="Low"/>
    <s v="15-Jun-2010"/>
    <n v="1"/>
    <n v="195.04"/>
    <n v="0.08"/>
    <s v="Regular Air"/>
    <n v="-149.41"/>
    <n v="167.27"/>
    <n v="35"/>
    <s v="Sally Knutson"/>
    <s v="Nova Scotia"/>
    <x v="0"/>
    <s v="Corporate"/>
    <s v="Office Supplies"/>
    <x v="4"/>
    <x v="42"/>
    <d v="2010-06-15T00:00:00"/>
    <s v="15-Jun-2010"/>
  </r>
  <r>
    <n v="12389"/>
    <d v="2009-08-04T00:00:00"/>
    <s v="Medium"/>
    <s v="04-Aug-2009"/>
    <n v="16"/>
    <n v="189.04"/>
    <n v="0.08"/>
    <s v="Regular Air"/>
    <n v="-74.77"/>
    <n v="11.35"/>
    <n v="8.6"/>
    <s v="Michael Granlund"/>
    <s v="Nova Scotia"/>
    <x v="0"/>
    <s v="Corporate"/>
    <s v="Office Supplies"/>
    <x v="4"/>
    <x v="6"/>
    <d v="2009-08-05T00:00:00"/>
    <s v="05-Aug-2009"/>
  </r>
  <r>
    <n v="46849"/>
    <d v="2010-12-13T00:00:00"/>
    <s v="Not Specified"/>
    <s v="13-Dec-2010"/>
    <n v="23"/>
    <n v="188.54"/>
    <n v="0.09"/>
    <s v="Regular Air"/>
    <n v="9.82"/>
    <n v="8.33"/>
    <n v="1.99"/>
    <s v="Sarah Bern"/>
    <s v="Nova Scotia"/>
    <x v="0"/>
    <s v="Corporate"/>
    <s v="Technology"/>
    <x v="11"/>
    <x v="24"/>
    <d v="2010-12-14T00:00:00"/>
    <s v="14-Dec-2010"/>
  </r>
  <r>
    <n v="48452"/>
    <d v="2010-10-09T00:00:00"/>
    <s v="High"/>
    <s v="09-Oct-2010"/>
    <n v="44"/>
    <n v="185.32"/>
    <n v="0.03"/>
    <s v="Regular Air"/>
    <n v="-192.56"/>
    <n v="4.18"/>
    <n v="6.92"/>
    <s v="Giulietta Weimer"/>
    <s v="Nova Scotia"/>
    <x v="0"/>
    <s v="Corporate"/>
    <s v="Furniture"/>
    <x v="7"/>
    <x v="19"/>
    <d v="2010-10-10T00:00:00"/>
    <s v="10-Oct-2010"/>
  </r>
  <r>
    <n v="58372"/>
    <d v="2011-04-02T00:00:00"/>
    <s v="Low"/>
    <s v="02-Apr-2011"/>
    <n v="48"/>
    <n v="184.1"/>
    <n v="0.04"/>
    <s v="Regular Air"/>
    <n v="43.2"/>
    <n v="3.98"/>
    <n v="0.7"/>
    <s v="Brian Stugart"/>
    <s v="Nova Scotia"/>
    <x v="0"/>
    <s v="Corporate"/>
    <s v="Office Supplies"/>
    <x v="13"/>
    <x v="24"/>
    <d v="2011-04-07T00:00:00"/>
    <s v="07-Apr-2011"/>
  </r>
  <r>
    <n v="37792"/>
    <d v="2011-12-29T00:00:00"/>
    <s v="High"/>
    <s v="29-Dec-2011"/>
    <n v="49"/>
    <n v="183.08"/>
    <n v="0.01"/>
    <s v="Regular Air"/>
    <n v="82.49"/>
    <n v="3.69"/>
    <n v="0.5"/>
    <s v="Eleni McCrary"/>
    <s v="Nova Scotia"/>
    <x v="0"/>
    <s v="Corporate"/>
    <s v="Office Supplies"/>
    <x v="9"/>
    <x v="1"/>
    <d v="2011-12-31T00:00:00"/>
    <s v="31-Dec-2011"/>
  </r>
  <r>
    <n v="45155"/>
    <d v="2011-02-15T00:00:00"/>
    <s v="Low"/>
    <s v="15-Feb-2011"/>
    <n v="44"/>
    <n v="181.61"/>
    <n v="0.03"/>
    <s v="Regular Air"/>
    <n v="-150.26"/>
    <n v="4.13"/>
    <n v="5.34"/>
    <s v="Ralph Kennedy"/>
    <s v="Nova Scotia"/>
    <x v="0"/>
    <s v="Corporate"/>
    <s v="Office Supplies"/>
    <x v="1"/>
    <x v="1"/>
    <d v="2011-02-22T00:00:00"/>
    <s v="22-Feb-2011"/>
  </r>
  <r>
    <n v="3680"/>
    <d v="2012-12-09T00:00:00"/>
    <s v="Not Specified"/>
    <s v="09-Dec-2012"/>
    <n v="27"/>
    <n v="177.95"/>
    <n v="0.09"/>
    <s v="Regular Air"/>
    <n v="-61.75"/>
    <n v="6.48"/>
    <n v="6"/>
    <s v="Evan Henry"/>
    <s v="Nova Scotia"/>
    <x v="0"/>
    <s v="Corporate"/>
    <s v="Office Supplies"/>
    <x v="12"/>
    <x v="7"/>
    <d v="2012-12-11T00:00:00"/>
    <s v="11-Dec-2012"/>
  </r>
  <r>
    <n v="12355"/>
    <d v="2011-05-28T00:00:00"/>
    <s v="Not Specified"/>
    <s v="28-May-2011"/>
    <n v="45"/>
    <n v="168.66"/>
    <n v="0.08"/>
    <s v="Regular Air"/>
    <n v="-167.06"/>
    <n v="3.95"/>
    <n v="5.13"/>
    <s v="Ken Heidel"/>
    <s v="Nova Scotia"/>
    <x v="0"/>
    <s v="Corporate"/>
    <s v="Office Supplies"/>
    <x v="5"/>
    <x v="14"/>
    <d v="2011-05-30T00:00:00"/>
    <s v="30-May-2011"/>
  </r>
  <r>
    <n v="49312"/>
    <d v="2011-02-21T00:00:00"/>
    <s v="Critical"/>
    <s v="21-Feb-2011"/>
    <n v="30"/>
    <n v="164.41"/>
    <n v="0"/>
    <s v="Regular Air"/>
    <n v="-128.52000000000001"/>
    <n v="4.9800000000000004"/>
    <n v="7.54"/>
    <s v="Deanra Eno"/>
    <s v="Nova Scotia"/>
    <x v="0"/>
    <s v="Corporate"/>
    <s v="Office Supplies"/>
    <x v="12"/>
    <x v="1"/>
    <d v="2011-02-22T00:00:00"/>
    <s v="22-Feb-2011"/>
  </r>
  <r>
    <n v="54533"/>
    <d v="2011-12-18T00:00:00"/>
    <s v="Medium"/>
    <s v="18-Dec-2011"/>
    <n v="21"/>
    <n v="162.25"/>
    <n v="0.03"/>
    <s v="Regular Air"/>
    <n v="-42.72"/>
    <n v="7.1"/>
    <n v="6.05"/>
    <s v="Marc Crier"/>
    <s v="Nova Scotia"/>
    <x v="0"/>
    <s v="Corporate"/>
    <s v="Office Supplies"/>
    <x v="1"/>
    <x v="4"/>
    <d v="2011-12-19T00:00:00"/>
    <s v="19-Dec-2011"/>
  </r>
  <r>
    <n v="25825"/>
    <d v="2012-07-19T00:00:00"/>
    <s v="Not Specified"/>
    <s v="19-Jul-2012"/>
    <n v="27"/>
    <n v="159.65"/>
    <n v="0.06"/>
    <s v="Regular Air"/>
    <n v="-1.79"/>
    <n v="5.85"/>
    <n v="2.27"/>
    <s v="Michael Granlund"/>
    <s v="Nova Scotia"/>
    <x v="0"/>
    <s v="Corporate"/>
    <s v="Office Supplies"/>
    <x v="13"/>
    <x v="0"/>
    <d v="2012-07-19T00:00:00"/>
    <s v="19-Jul-2012"/>
  </r>
  <r>
    <n v="12228"/>
    <d v="2009-06-25T00:00:00"/>
    <s v="Not Specified"/>
    <s v="25-Jun-2009"/>
    <n v="1"/>
    <n v="159.51"/>
    <n v="0.04"/>
    <s v="Delivery Truck"/>
    <n v="-103.63"/>
    <n v="130.97999999999999"/>
    <n v="30"/>
    <s v="Brad Norvell"/>
    <s v="Nova Scotia"/>
    <x v="0"/>
    <s v="Corporate"/>
    <s v="Furniture"/>
    <x v="2"/>
    <x v="8"/>
    <d v="2009-06-28T00:00:00"/>
    <s v="28-Jun-2009"/>
  </r>
  <r>
    <n v="11271"/>
    <d v="2011-10-18T00:00:00"/>
    <s v="High"/>
    <s v="18-Oct-2011"/>
    <n v="46"/>
    <n v="157.87"/>
    <n v="0"/>
    <s v="Regular Air"/>
    <n v="-115.8"/>
    <n v="3.28"/>
    <n v="3.97"/>
    <s v="Berenike Kampe"/>
    <s v="Nova Scotia"/>
    <x v="0"/>
    <s v="Corporate"/>
    <s v="Office Supplies"/>
    <x v="13"/>
    <x v="0"/>
    <d v="2011-10-20T00:00:00"/>
    <s v="20-Oct-2011"/>
  </r>
  <r>
    <n v="6116"/>
    <d v="2009-03-20T00:00:00"/>
    <s v="Medium"/>
    <s v="20-Mar-2009"/>
    <n v="7"/>
    <n v="150.77000000000001"/>
    <n v="0.01"/>
    <s v="Regular Air"/>
    <n v="-72.23"/>
    <n v="19.98"/>
    <n v="4"/>
    <s v="Barry Weirich"/>
    <s v="Nova Scotia"/>
    <x v="0"/>
    <s v="Corporate"/>
    <s v="Technology"/>
    <x v="11"/>
    <x v="48"/>
    <d v="2009-03-20T00:00:00"/>
    <s v="20-Mar-2009"/>
  </r>
  <r>
    <n v="17408"/>
    <d v="2009-05-27T00:00:00"/>
    <s v="Not Specified"/>
    <s v="27-May-2009"/>
    <n v="26"/>
    <n v="149.69999999999999"/>
    <n v="0.05"/>
    <s v="Express Air"/>
    <n v="-132.63"/>
    <n v="5.4"/>
    <n v="7.78"/>
    <s v="Berenike Kampe"/>
    <s v="Nova Scotia"/>
    <x v="0"/>
    <s v="Corporate"/>
    <s v="Office Supplies"/>
    <x v="1"/>
    <x v="7"/>
    <d v="2009-05-29T00:00:00"/>
    <s v="29-May-2009"/>
  </r>
  <r>
    <n v="58913"/>
    <d v="2010-05-11T00:00:00"/>
    <s v="Medium"/>
    <s v="11-May-2010"/>
    <n v="23"/>
    <n v="144.55000000000001"/>
    <n v="7.0000000000000007E-2"/>
    <s v="Regular Air"/>
    <n v="-60.17"/>
    <n v="6.48"/>
    <n v="5.94"/>
    <s v="Sarah Bern"/>
    <s v="Nova Scotia"/>
    <x v="0"/>
    <s v="Corporate"/>
    <s v="Office Supplies"/>
    <x v="12"/>
    <x v="7"/>
    <d v="2010-05-13T00:00:00"/>
    <s v="13-May-2010"/>
  </r>
  <r>
    <n v="3361"/>
    <d v="2012-08-22T00:00:00"/>
    <s v="Not Specified"/>
    <s v="22-Aug-2012"/>
    <n v="23"/>
    <n v="133.66"/>
    <n v="7.0000000000000007E-2"/>
    <s v="Regular Air"/>
    <n v="-5.6"/>
    <n v="5.85"/>
    <n v="2.27"/>
    <s v="Michael Granlund"/>
    <s v="Nova Scotia"/>
    <x v="0"/>
    <s v="Corporate"/>
    <s v="Office Supplies"/>
    <x v="13"/>
    <x v="0"/>
    <d v="2012-08-23T00:00:00"/>
    <s v="23-Aug-2012"/>
  </r>
  <r>
    <n v="24003"/>
    <d v="2009-10-31T00:00:00"/>
    <s v="Critical"/>
    <s v="31-Oct-2009"/>
    <n v="4"/>
    <n v="129.78649999999999"/>
    <n v="0.05"/>
    <s v="Express Air"/>
    <n v="-116.51"/>
    <n v="35.99"/>
    <n v="5.99"/>
    <s v="Dan Campbell"/>
    <s v="Nova Scotia"/>
    <x v="0"/>
    <s v="Corporate"/>
    <s v="Technology"/>
    <x v="10"/>
    <x v="1"/>
    <d v="2009-11-02T00:00:00"/>
    <s v="02-Nov-2009"/>
  </r>
  <r>
    <n v="5511"/>
    <d v="2009-11-28T00:00:00"/>
    <s v="Critical"/>
    <s v="28-Nov-2009"/>
    <n v="46"/>
    <n v="129.44"/>
    <n v="0.02"/>
    <s v="Express Air"/>
    <n v="-5.54"/>
    <n v="2.58"/>
    <n v="1.3"/>
    <s v="Art Ferguson"/>
    <s v="Nova Scotia"/>
    <x v="0"/>
    <s v="Corporate"/>
    <s v="Office Supplies"/>
    <x v="13"/>
    <x v="14"/>
    <d v="2009-11-29T00:00:00"/>
    <s v="29-Nov-2009"/>
  </r>
  <r>
    <n v="24067"/>
    <d v="2012-08-22T00:00:00"/>
    <s v="High"/>
    <s v="22-Aug-2012"/>
    <n v="30"/>
    <n v="128.25"/>
    <n v="7.0000000000000007E-2"/>
    <s v="Express Air"/>
    <n v="-95.31"/>
    <n v="3.98"/>
    <n v="5.26"/>
    <s v="Frank Atkinson"/>
    <s v="Nova Scotia"/>
    <x v="0"/>
    <s v="Corporate"/>
    <s v="Office Supplies"/>
    <x v="1"/>
    <x v="1"/>
    <d v="2012-08-24T00:00:00"/>
    <s v="24-Aug-2012"/>
  </r>
  <r>
    <n v="10245"/>
    <d v="2011-02-13T00:00:00"/>
    <s v="Medium"/>
    <s v="13-Feb-2011"/>
    <n v="23"/>
    <n v="127.17"/>
    <n v="0.1"/>
    <s v="Regular Air"/>
    <n v="-108.13"/>
    <n v="5.53"/>
    <n v="6.98"/>
    <s v="Astrea Jones"/>
    <s v="Nova Scotia"/>
    <x v="0"/>
    <s v="Corporate"/>
    <s v="Office Supplies"/>
    <x v="1"/>
    <x v="4"/>
    <d v="2011-02-15T00:00:00"/>
    <s v="15-Feb-2011"/>
  </r>
  <r>
    <n v="15619"/>
    <d v="2011-06-28T00:00:00"/>
    <s v="Low"/>
    <s v="28-Jun-2011"/>
    <n v="36"/>
    <n v="123.13"/>
    <n v="0.05"/>
    <s v="Express Air"/>
    <n v="20.57"/>
    <n v="3.29"/>
    <n v="1.35"/>
    <s v="Tony Molinari"/>
    <s v="Nova Scotia"/>
    <x v="0"/>
    <s v="Corporate"/>
    <s v="Office Supplies"/>
    <x v="16"/>
    <x v="27"/>
    <d v="2011-07-02T00:00:00"/>
    <s v="02-Jul-2011"/>
  </r>
  <r>
    <n v="37287"/>
    <d v="2012-11-01T00:00:00"/>
    <s v="Low"/>
    <s v="01-Nov-2012"/>
    <n v="18"/>
    <n v="122.41"/>
    <n v="0.09"/>
    <s v="Regular Air"/>
    <n v="2.37"/>
    <n v="6.64"/>
    <n v="4.95"/>
    <s v="Brad Thomas"/>
    <s v="Nova Scotia"/>
    <x v="0"/>
    <s v="Corporate"/>
    <s v="Furniture"/>
    <x v="7"/>
    <x v="7"/>
    <d v="2012-11-05T00:00:00"/>
    <s v="05-Nov-2012"/>
  </r>
  <r>
    <n v="45155"/>
    <d v="2011-02-15T00:00:00"/>
    <s v="Low"/>
    <s v="15-Feb-2011"/>
    <n v="35"/>
    <n v="111.55"/>
    <n v="0.05"/>
    <s v="Regular Air"/>
    <n v="-54.25"/>
    <n v="3.14"/>
    <n v="1.92"/>
    <s v="Ralph Kennedy"/>
    <s v="Nova Scotia"/>
    <x v="0"/>
    <s v="Corporate"/>
    <s v="Office Supplies"/>
    <x v="14"/>
    <x v="30"/>
    <d v="2011-02-15T00:00:00"/>
    <s v="15-Feb-2011"/>
  </r>
  <r>
    <n v="56768"/>
    <d v="2011-07-27T00:00:00"/>
    <s v="Critical"/>
    <s v="27-Jul-2011"/>
    <n v="37"/>
    <n v="111.39"/>
    <n v="0.02"/>
    <s v="Regular Air"/>
    <n v="20.059999999999999"/>
    <n v="2.88"/>
    <n v="0.7"/>
    <s v="Giulietta Dortch"/>
    <s v="Nova Scotia"/>
    <x v="0"/>
    <s v="Corporate"/>
    <s v="Office Supplies"/>
    <x v="13"/>
    <x v="0"/>
    <d v="2011-07-29T00:00:00"/>
    <s v="29-Jul-2011"/>
  </r>
  <r>
    <n v="56901"/>
    <d v="2009-09-11T00:00:00"/>
    <s v="Critical"/>
    <s v="11-Sep-2009"/>
    <n v="36"/>
    <n v="100.68"/>
    <n v="0"/>
    <s v="Regular Air"/>
    <n v="-45.21"/>
    <n v="2.6"/>
    <n v="2.4"/>
    <s v="Paul MacIntyre"/>
    <s v="Nova Scotia"/>
    <x v="0"/>
    <s v="Corporate"/>
    <s v="Office Supplies"/>
    <x v="13"/>
    <x v="15"/>
    <d v="2009-09-13T00:00:00"/>
    <s v="13-Sep-2009"/>
  </r>
  <r>
    <n v="52934"/>
    <d v="2011-07-27T00:00:00"/>
    <s v="Critical"/>
    <s v="27-Jul-2011"/>
    <n v="20"/>
    <n v="92.15"/>
    <n v="0.08"/>
    <s v="Regular Air"/>
    <n v="36.979999999999997"/>
    <n v="4.91"/>
    <n v="0.5"/>
    <s v="Sara Luxemburg"/>
    <s v="Nova Scotia"/>
    <x v="0"/>
    <s v="Corporate"/>
    <s v="Office Supplies"/>
    <x v="9"/>
    <x v="10"/>
    <d v="2011-07-28T00:00:00"/>
    <s v="28-Jul-2011"/>
  </r>
  <r>
    <n v="58884"/>
    <d v="2011-03-21T00:00:00"/>
    <s v="Low"/>
    <s v="21-Mar-2011"/>
    <n v="29"/>
    <n v="87.68"/>
    <n v="0.03"/>
    <s v="Regular Air"/>
    <n v="23.14"/>
    <n v="2.88"/>
    <n v="0.99"/>
    <s v="Chuck Clark"/>
    <s v="Nova Scotia"/>
    <x v="0"/>
    <s v="Corporate"/>
    <s v="Office Supplies"/>
    <x v="9"/>
    <x v="10"/>
    <d v="2011-03-26T00:00:00"/>
    <s v="26-Mar-2011"/>
  </r>
  <r>
    <n v="9925"/>
    <d v="2012-01-30T00:00:00"/>
    <s v="Critical"/>
    <s v="30-Jan-2012"/>
    <n v="17"/>
    <n v="86.47"/>
    <n v="7.0000000000000007E-2"/>
    <s v="Regular Air"/>
    <n v="-9.35"/>
    <n v="5.28"/>
    <n v="2.99"/>
    <s v="Chad Sievert"/>
    <s v="Nova Scotia"/>
    <x v="0"/>
    <s v="Corporate"/>
    <s v="Office Supplies"/>
    <x v="1"/>
    <x v="7"/>
    <d v="2012-02-01T00:00:00"/>
    <s v="01-Feb-2012"/>
  </r>
  <r>
    <n v="45984"/>
    <d v="2012-01-27T00:00:00"/>
    <s v="Medium"/>
    <s v="27-Jan-2012"/>
    <n v="27"/>
    <n v="80.33"/>
    <n v="0.01"/>
    <s v="Regular Air"/>
    <n v="2.4900000000000002"/>
    <n v="2.94"/>
    <n v="0.96"/>
    <s v="Janet Martin"/>
    <s v="Nova Scotia"/>
    <x v="0"/>
    <s v="Corporate"/>
    <s v="Office Supplies"/>
    <x v="13"/>
    <x v="15"/>
    <d v="2012-01-29T00:00:00"/>
    <s v="29-Jan-2012"/>
  </r>
  <r>
    <n v="18432"/>
    <d v="2011-03-12T00:00:00"/>
    <s v="High"/>
    <s v="12-Mar-2011"/>
    <n v="12"/>
    <n v="76.42"/>
    <n v="0.02"/>
    <s v="Express Air"/>
    <n v="20.440000000000001"/>
    <n v="5.84"/>
    <n v="0.83"/>
    <s v="Art Ferguson"/>
    <s v="Nova Scotia"/>
    <x v="0"/>
    <s v="Corporate"/>
    <s v="Office Supplies"/>
    <x v="13"/>
    <x v="19"/>
    <d v="2011-03-14T00:00:00"/>
    <s v="14-Mar-2011"/>
  </r>
  <r>
    <n v="55425"/>
    <d v="2011-11-01T00:00:00"/>
    <s v="Critical"/>
    <s v="01-Nov-2011"/>
    <n v="7"/>
    <n v="73.86"/>
    <n v="0.08"/>
    <s v="Regular Air"/>
    <n v="-52.49"/>
    <n v="9.7100000000000009"/>
    <n v="9.4499999999999993"/>
    <s v="Paul Knutson"/>
    <s v="Nova Scotia"/>
    <x v="0"/>
    <s v="Corporate"/>
    <s v="Office Supplies"/>
    <x v="4"/>
    <x v="18"/>
    <d v="2011-11-02T00:00:00"/>
    <s v="02-Nov-2011"/>
  </r>
  <r>
    <n v="48452"/>
    <d v="2010-10-09T00:00:00"/>
    <s v="High"/>
    <s v="09-Oct-2010"/>
    <n v="15"/>
    <n v="73.41"/>
    <n v="0.08"/>
    <s v="Regular Air"/>
    <n v="-44.79"/>
    <n v="4.91"/>
    <n v="4.97"/>
    <s v="Giulietta Weimer"/>
    <s v="Nova Scotia"/>
    <x v="0"/>
    <s v="Corporate"/>
    <s v="Office Supplies"/>
    <x v="1"/>
    <x v="1"/>
    <d v="2010-10-11T00:00:00"/>
    <s v="11-Oct-2010"/>
  </r>
  <r>
    <n v="27335"/>
    <d v="2010-11-06T00:00:00"/>
    <s v="Low"/>
    <s v="06-Nov-2010"/>
    <n v="23"/>
    <n v="67.47"/>
    <n v="0.03"/>
    <s v="Regular Air"/>
    <n v="-100.6"/>
    <n v="2.66"/>
    <n v="6.35"/>
    <s v="Karl Brown"/>
    <s v="Nova Scotia"/>
    <x v="0"/>
    <s v="Corporate"/>
    <s v="Office Supplies"/>
    <x v="15"/>
    <x v="10"/>
    <d v="2010-11-06T00:00:00"/>
    <s v="06-Nov-2010"/>
  </r>
  <r>
    <n v="38341"/>
    <d v="2009-05-18T00:00:00"/>
    <s v="Medium"/>
    <s v="18-May-2009"/>
    <n v="5"/>
    <n v="64.25"/>
    <n v="7.0000000000000007E-2"/>
    <s v="Regular Air"/>
    <n v="-7.94"/>
    <n v="12.28"/>
    <n v="4.8600000000000003"/>
    <s v="Brendan Murry"/>
    <s v="Nova Scotia"/>
    <x v="0"/>
    <s v="Corporate"/>
    <s v="Office Supplies"/>
    <x v="12"/>
    <x v="1"/>
    <d v="2009-05-20T00:00:00"/>
    <s v="20-May-2009"/>
  </r>
  <r>
    <n v="9923"/>
    <d v="2009-10-05T00:00:00"/>
    <s v="High"/>
    <s v="05-Oct-2009"/>
    <n v="27"/>
    <n v="63.71"/>
    <n v="0.01"/>
    <s v="Regular Air"/>
    <n v="-96.03"/>
    <n v="2.08"/>
    <n v="5.33"/>
    <s v="Chad Sievert"/>
    <s v="Nova Scotia"/>
    <x v="0"/>
    <s v="Corporate"/>
    <s v="Furniture"/>
    <x v="7"/>
    <x v="21"/>
    <d v="2009-10-05T00:00:00"/>
    <s v="05-Oct-2009"/>
  </r>
  <r>
    <n v="38341"/>
    <d v="2009-05-18T00:00:00"/>
    <s v="Medium"/>
    <s v="18-May-2009"/>
    <n v="15"/>
    <n v="62.62"/>
    <n v="0.1"/>
    <s v="Express Air"/>
    <n v="-67.06"/>
    <n v="3.36"/>
    <n v="6.27"/>
    <s v="Brendan Murry"/>
    <s v="Nova Scotia"/>
    <x v="0"/>
    <s v="Corporate"/>
    <s v="Office Supplies"/>
    <x v="1"/>
    <x v="27"/>
    <d v="2009-05-19T00:00:00"/>
    <s v="19-May-2009"/>
  </r>
  <r>
    <n v="18951"/>
    <d v="2011-06-29T00:00:00"/>
    <s v="Critical"/>
    <s v="29-Jun-2011"/>
    <n v="16"/>
    <n v="61.5"/>
    <n v="0.09"/>
    <s v="Regular Air"/>
    <n v="-16.27"/>
    <n v="3.98"/>
    <n v="2.97"/>
    <s v="Astrea Jones"/>
    <s v="Nova Scotia"/>
    <x v="0"/>
    <s v="Corporate"/>
    <s v="Office Supplies"/>
    <x v="12"/>
    <x v="2"/>
    <d v="2011-06-30T00:00:00"/>
    <s v="30-Jun-2011"/>
  </r>
  <r>
    <n v="36800"/>
    <d v="2010-09-10T00:00:00"/>
    <s v="High"/>
    <s v="10-Sep-2010"/>
    <n v="4"/>
    <n v="58.44"/>
    <n v="0.05"/>
    <s v="Express Air"/>
    <n v="-7.04"/>
    <n v="10.89"/>
    <n v="4.5"/>
    <s v="Barry Franz"/>
    <s v="Nova Scotia"/>
    <x v="0"/>
    <s v="Corporate"/>
    <s v="Office Supplies"/>
    <x v="5"/>
    <x v="14"/>
    <d v="2010-09-11T00:00:00"/>
    <s v="11-Sep-2010"/>
  </r>
  <r>
    <n v="48452"/>
    <d v="2010-10-09T00:00:00"/>
    <s v="High"/>
    <s v="09-Oct-2010"/>
    <n v="28"/>
    <n v="43.66"/>
    <n v="0.04"/>
    <s v="Regular Air"/>
    <n v="5.77"/>
    <n v="1.48"/>
    <n v="0.7"/>
    <s v="Giulietta Weimer"/>
    <s v="Nova Scotia"/>
    <x v="0"/>
    <s v="Corporate"/>
    <s v="Office Supplies"/>
    <x v="16"/>
    <x v="7"/>
    <d v="2010-10-11T00:00:00"/>
    <s v="11-Oct-2010"/>
  </r>
  <r>
    <n v="20386"/>
    <d v="2010-02-27T00:00:00"/>
    <s v="Critical"/>
    <s v="27-Feb-2010"/>
    <n v="35"/>
    <n v="41.23"/>
    <n v="0.09"/>
    <s v="Regular Air"/>
    <n v="-21.51"/>
    <n v="1.26"/>
    <n v="0.7"/>
    <s v="Mike Kennedy"/>
    <s v="Nova Scotia"/>
    <x v="0"/>
    <s v="Corporate"/>
    <s v="Office Supplies"/>
    <x v="16"/>
    <x v="43"/>
    <d v="2010-02-27T00:00:00"/>
    <s v="27-Feb-2010"/>
  </r>
  <r>
    <n v="964"/>
    <d v="2011-05-19T00:00:00"/>
    <s v="Medium"/>
    <s v="19-May-2011"/>
    <n v="4"/>
    <n v="40.020000000000003"/>
    <n v="0.02"/>
    <s v="Regular Air"/>
    <n v="-1.28"/>
    <n v="9.93"/>
    <n v="1.0900000000000001"/>
    <s v="Stefania Perrino"/>
    <s v="Nova Scotia"/>
    <x v="0"/>
    <s v="Corporate"/>
    <s v="Office Supplies"/>
    <x v="13"/>
    <x v="21"/>
    <d v="2011-05-21T00:00:00"/>
    <s v="21-May-2011"/>
  </r>
  <r>
    <n v="50208"/>
    <d v="2011-01-22T00:00:00"/>
    <s v="Medium"/>
    <s v="22-Jan-2011"/>
    <n v="4"/>
    <n v="38.76"/>
    <n v="0.1"/>
    <s v="Express Air"/>
    <n v="-12.13"/>
    <n v="6.23"/>
    <n v="6.97"/>
    <s v="Sarah Bern"/>
    <s v="Nova Scotia"/>
    <x v="0"/>
    <s v="Corporate"/>
    <s v="Office Supplies"/>
    <x v="1"/>
    <x v="10"/>
    <d v="2011-01-23T00:00:00"/>
    <s v="23-Jan-2011"/>
  </r>
  <r>
    <n v="29346"/>
    <d v="2009-08-16T00:00:00"/>
    <s v="Low"/>
    <s v="16-Aug-2009"/>
    <n v="2"/>
    <n v="29.06"/>
    <n v="0.1"/>
    <s v="Regular Air"/>
    <n v="-16.149999999999999"/>
    <n v="11.58"/>
    <n v="6.97"/>
    <s v="Janet Martin"/>
    <s v="Nova Scotia"/>
    <x v="0"/>
    <s v="Corporate"/>
    <s v="Office Supplies"/>
    <x v="15"/>
    <x v="2"/>
    <d v="2009-08-20T00:00:00"/>
    <s v="20-Aug-2009"/>
  </r>
  <r>
    <n v="14021"/>
    <d v="2011-03-07T00:00:00"/>
    <s v="High"/>
    <s v="07-Mar-2011"/>
    <n v="12"/>
    <n v="27.05"/>
    <n v="0"/>
    <s v="Express Air"/>
    <n v="1"/>
    <n v="1.82"/>
    <n v="0.83"/>
    <s v="Ken Heidel"/>
    <s v="Nova Scotia"/>
    <x v="0"/>
    <s v="Corporate"/>
    <s v="Office Supplies"/>
    <x v="13"/>
    <x v="6"/>
    <d v="2011-03-08T00:00:00"/>
    <s v="08-Mar-2011"/>
  </r>
  <r>
    <n v="51233"/>
    <d v="2009-12-09T00:00:00"/>
    <s v="Low"/>
    <s v="09-Dec-2009"/>
    <n v="3"/>
    <n v="26.5"/>
    <n v="0.05"/>
    <s v="Regular Air"/>
    <n v="20.12"/>
    <n v="7.59"/>
    <n v="4"/>
    <s v="Eleni McCrary"/>
    <s v="Nova Scotia"/>
    <x v="0"/>
    <s v="Corporate"/>
    <s v="Furniture"/>
    <x v="7"/>
    <x v="22"/>
    <d v="2009-12-09T00:00:00"/>
    <s v="09-Dec-2009"/>
  </r>
  <r>
    <n v="5189"/>
    <d v="2010-11-25T00:00:00"/>
    <s v="Low"/>
    <s v="25-Nov-2010"/>
    <n v="8"/>
    <n v="24.72"/>
    <n v="0.06"/>
    <s v="Regular Air"/>
    <n v="-21.47"/>
    <n v="2.74"/>
    <n v="3.5"/>
    <s v="Evan Henry"/>
    <s v="Nova Scotia"/>
    <x v="0"/>
    <s v="Corporate"/>
    <s v="Office Supplies"/>
    <x v="13"/>
    <x v="15"/>
    <d v="2010-11-27T00:00:00"/>
    <s v="27-Nov-2010"/>
  </r>
  <r>
    <n v="3332"/>
    <d v="2009-11-04T00:00:00"/>
    <s v="Critical"/>
    <s v="04-Nov-2009"/>
    <n v="6"/>
    <n v="22.19"/>
    <n v="0.01"/>
    <s v="Regular Air"/>
    <n v="-3.51"/>
    <n v="3.26"/>
    <n v="1.86"/>
    <s v="Ben Peterman"/>
    <s v="Nova Scotia"/>
    <x v="0"/>
    <s v="Corporate"/>
    <s v="Office Supplies"/>
    <x v="13"/>
    <x v="25"/>
    <d v="2009-11-06T00:00:00"/>
    <s v="06-Nov-2009"/>
  </r>
  <r>
    <n v="44583"/>
    <d v="2009-10-04T00:00:00"/>
    <s v="Low"/>
    <s v="04-Oct-2009"/>
    <n v="6"/>
    <n v="17.59"/>
    <n v="0.1"/>
    <s v="Regular Air"/>
    <n v="-19.739999999999998"/>
    <n v="2.2200000000000002"/>
    <n v="5"/>
    <s v="Deanra Eno"/>
    <s v="Nova Scotia"/>
    <x v="0"/>
    <s v="Corporate"/>
    <s v="Office Supplies"/>
    <x v="5"/>
    <x v="20"/>
    <d v="2009-10-09T00:00:00"/>
    <s v="09-Oct-2009"/>
  </r>
  <r>
    <n v="5061"/>
    <d v="2010-08-13T00:00:00"/>
    <s v="Critical"/>
    <s v="13-Aug-2010"/>
    <n v="4"/>
    <n v="12.8"/>
    <n v="0"/>
    <s v="Regular Air"/>
    <n v="-2.21"/>
    <n v="2.88"/>
    <n v="0.7"/>
    <s v="Sean Wendt"/>
    <s v="Nova Scotia"/>
    <x v="0"/>
    <s v="Corporate"/>
    <s v="Office Supplies"/>
    <x v="13"/>
    <x v="0"/>
    <d v="2010-08-15T00:00:00"/>
    <s v="15-Aug-2010"/>
  </r>
  <r>
    <n v="40704"/>
    <d v="2009-01-07T00:00:00"/>
    <s v="Low"/>
    <s v="07-Jan-2009"/>
    <n v="6"/>
    <n v="11.57"/>
    <n v="0.01"/>
    <s v="Regular Air"/>
    <n v="-2.06"/>
    <n v="1.76"/>
    <n v="0.7"/>
    <s v="Julie Kriz"/>
    <s v="Nova Scotia"/>
    <x v="0"/>
    <s v="Corporate"/>
    <s v="Office Supplies"/>
    <x v="13"/>
    <x v="0"/>
    <d v="2009-01-12T00:00:00"/>
    <s v="12-Jan-2009"/>
  </r>
  <r>
    <n v="44292"/>
    <d v="2011-06-14T00:00:00"/>
    <s v="Not Specified"/>
    <s v="14-Jun-2011"/>
    <n v="1"/>
    <n v="10.48"/>
    <n v="0"/>
    <s v="Express Air"/>
    <n v="-3.78"/>
    <n v="5.18"/>
    <n v="2.04"/>
    <s v="Frank Atkinson"/>
    <s v="Nova Scotia"/>
    <x v="0"/>
    <s v="Corporate"/>
    <s v="Office Supplies"/>
    <x v="12"/>
    <x v="10"/>
    <d v="2011-06-15T00:00:00"/>
    <s v="15-Jun-2011"/>
  </r>
  <r>
    <n v="38851"/>
    <d v="2012-06-10T00:00:00"/>
    <s v="Critical"/>
    <s v="10-Jun-2012"/>
    <n v="1"/>
    <n v="8.49"/>
    <n v="0.06"/>
    <s v="Regular Air"/>
    <n v="-5.74"/>
    <n v="3.74"/>
    <n v="4.6900000000000004"/>
    <s v="Brad Thomas"/>
    <s v="Nova Scotia"/>
    <x v="0"/>
    <s v="Corporate"/>
    <s v="Office Supplies"/>
    <x v="1"/>
    <x v="2"/>
    <d v="2012-06-11T00:00:00"/>
    <s v="11-Jun-2012"/>
  </r>
  <r>
    <n v="36677"/>
    <d v="2009-12-23T00:00:00"/>
    <s v="Low"/>
    <s v="23-Dec-2009"/>
    <n v="38"/>
    <n v="23255.61"/>
    <n v="0"/>
    <s v="Regular Air"/>
    <n v="-734.33"/>
    <n v="599.99"/>
    <n v="24.49"/>
    <s v="Jack Lebron"/>
    <s v="Prince Edward Island"/>
    <x v="0"/>
    <s v="Corporate"/>
    <s v="Technology"/>
    <x v="6"/>
    <x v="47"/>
    <d v="2009-12-25T00:00:00"/>
    <s v="25-Dec-2009"/>
  </r>
  <r>
    <n v="21542"/>
    <d v="2011-05-21T00:00:00"/>
    <s v="High"/>
    <s v="21-May-2011"/>
    <n v="43"/>
    <n v="11674.968000000001"/>
    <n v="0.05"/>
    <s v="Delivery Truck"/>
    <n v="715.18"/>
    <n v="348.21"/>
    <n v="84.84"/>
    <s v="Frank Atkinson"/>
    <s v="Prince Edward Island"/>
    <x v="0"/>
    <s v="Corporate"/>
    <s v="Furniture"/>
    <x v="3"/>
    <x v="32"/>
    <d v="2011-05-22T00:00:00"/>
    <s v="22-May-2011"/>
  </r>
  <r>
    <n v="33763"/>
    <d v="2010-09-23T00:00:00"/>
    <s v="Not Specified"/>
    <s v="23-Sep-2010"/>
    <n v="23"/>
    <n v="10791.38"/>
    <n v="0.08"/>
    <s v="Regular Air"/>
    <n v="-234.79"/>
    <n v="499.99"/>
    <n v="24.49"/>
    <s v="Evan Minnotte"/>
    <s v="Prince Edward Island"/>
    <x v="0"/>
    <s v="Corporate"/>
    <s v="Technology"/>
    <x v="6"/>
    <x v="10"/>
    <d v="2010-09-25T00:00:00"/>
    <s v="25-Sep-2010"/>
  </r>
  <r>
    <n v="59207"/>
    <d v="2009-05-18T00:00:00"/>
    <s v="Critical"/>
    <s v="18-May-2009"/>
    <n v="42"/>
    <n v="9502.7360000000008"/>
    <n v="0.02"/>
    <s v="Delivery Truck"/>
    <n v="-945.56"/>
    <n v="280.98"/>
    <n v="81.98"/>
    <s v="Sylvia Foulston"/>
    <s v="Prince Edward Island"/>
    <x v="0"/>
    <s v="Corporate"/>
    <s v="Furniture"/>
    <x v="3"/>
    <x v="8"/>
    <d v="2009-05-18T00:00:00"/>
    <s v="18-May-2009"/>
  </r>
  <r>
    <n v="24388"/>
    <d v="2011-01-26T00:00:00"/>
    <s v="Critical"/>
    <s v="26-Jan-2011"/>
    <n v="15"/>
    <n v="8662.34"/>
    <n v="0"/>
    <s v="Delivery Truck"/>
    <n v="-704.66"/>
    <n v="549.99"/>
    <n v="49"/>
    <s v="Erica Bern"/>
    <s v="Prince Edward Island"/>
    <x v="0"/>
    <s v="Corporate"/>
    <s v="Technology"/>
    <x v="6"/>
    <x v="2"/>
    <d v="2011-01-27T00:00:00"/>
    <s v="27-Jan-2011"/>
  </r>
  <r>
    <n v="49029"/>
    <d v="2012-05-20T00:00:00"/>
    <s v="High"/>
    <s v="20-May-2012"/>
    <n v="49"/>
    <n v="8223.07"/>
    <n v="0.06"/>
    <s v="Express Air"/>
    <n v="2549.4"/>
    <n v="195.99"/>
    <n v="3.99"/>
    <s v="Jim Sink"/>
    <s v="Prince Edward Island"/>
    <x v="0"/>
    <s v="Corporate"/>
    <s v="Technology"/>
    <x v="10"/>
    <x v="14"/>
    <d v="2012-05-22T00:00:00"/>
    <s v="22-May-2012"/>
  </r>
  <r>
    <n v="28836"/>
    <d v="2010-10-24T00:00:00"/>
    <s v="High"/>
    <s v="24-Oct-2010"/>
    <n v="50"/>
    <n v="8221.2934999999998"/>
    <n v="0.06"/>
    <s v="Regular Air"/>
    <n v="2342.21"/>
    <n v="195.99"/>
    <n v="4.2"/>
    <s v="Erica Bern"/>
    <s v="Prince Edward Island"/>
    <x v="0"/>
    <s v="Corporate"/>
    <s v="Technology"/>
    <x v="10"/>
    <x v="18"/>
    <d v="2010-10-25T00:00:00"/>
    <s v="25-Oct-2010"/>
  </r>
  <r>
    <n v="4416"/>
    <d v="2012-06-29T00:00:00"/>
    <s v="Low"/>
    <s v="29-Jun-2012"/>
    <n v="46"/>
    <n v="7441.29"/>
    <n v="0.1"/>
    <s v="Regular Air"/>
    <n v="2665.4"/>
    <n v="165.98"/>
    <n v="19.989999999999998"/>
    <s v="Erica Bern"/>
    <s v="Prince Edward Island"/>
    <x v="0"/>
    <s v="Corporate"/>
    <s v="Office Supplies"/>
    <x v="1"/>
    <x v="27"/>
    <d v="2012-07-03T00:00:00"/>
    <s v="03-Jul-2012"/>
  </r>
  <r>
    <n v="22469"/>
    <d v="2010-10-11T00:00:00"/>
    <s v="High"/>
    <s v="11-Oct-2010"/>
    <n v="23"/>
    <n v="6693.28"/>
    <n v="0.02"/>
    <s v="Regular Air"/>
    <n v="40.32"/>
    <n v="290.98"/>
    <n v="69"/>
    <s v="Jack Lebron"/>
    <s v="Prince Edward Island"/>
    <x v="0"/>
    <s v="Corporate"/>
    <s v="Furniture"/>
    <x v="3"/>
    <x v="46"/>
    <d v="2010-10-13T00:00:00"/>
    <s v="13-Oct-2010"/>
  </r>
  <r>
    <n v="11362"/>
    <d v="2012-09-10T00:00:00"/>
    <s v="Low"/>
    <s v="10-Sep-2012"/>
    <n v="9"/>
    <n v="6420.87"/>
    <n v="0.02"/>
    <s v="Regular Air"/>
    <n v="-690.21"/>
    <n v="699.99"/>
    <n v="24.49"/>
    <s v="Hilary Holden"/>
    <s v="Prince Edward Island"/>
    <x v="0"/>
    <s v="Corporate"/>
    <s v="Technology"/>
    <x v="6"/>
    <x v="25"/>
    <d v="2012-09-15T00:00:00"/>
    <s v="15-Sep-2012"/>
  </r>
  <r>
    <n v="59234"/>
    <d v="2012-07-29T00:00:00"/>
    <s v="Low"/>
    <s v="29-Jul-2012"/>
    <n v="32"/>
    <n v="5686.25"/>
    <n v="0.04"/>
    <s v="Regular Air"/>
    <n v="2109.21"/>
    <n v="177.98"/>
    <n v="0.99"/>
    <s v="Michelle Lonsdale"/>
    <s v="Prince Edward Island"/>
    <x v="0"/>
    <s v="Corporate"/>
    <s v="Office Supplies"/>
    <x v="5"/>
    <x v="0"/>
    <d v="2012-08-02T00:00:00"/>
    <s v="02-Aug-2012"/>
  </r>
  <r>
    <n v="47846"/>
    <d v="2012-08-11T00:00:00"/>
    <s v="High"/>
    <s v="11-Aug-2012"/>
    <n v="50"/>
    <n v="5513.82"/>
    <n v="0.03"/>
    <s v="Regular Air"/>
    <n v="1581.93"/>
    <n v="105.98"/>
    <n v="13.99"/>
    <s v="Hilary Holden"/>
    <s v="Prince Edward Island"/>
    <x v="0"/>
    <s v="Corporate"/>
    <s v="Furniture"/>
    <x v="7"/>
    <x v="38"/>
    <d v="2012-08-12T00:00:00"/>
    <s v="12-Aug-2012"/>
  </r>
  <r>
    <n v="32869"/>
    <d v="2009-03-27T00:00:00"/>
    <s v="Medium"/>
    <s v="27-Mar-2009"/>
    <n v="39"/>
    <n v="5250.6625000000004"/>
    <n v="0.1"/>
    <s v="Regular Air"/>
    <n v="930.99"/>
    <n v="175.99"/>
    <n v="8.99"/>
    <s v="Christopher Schild"/>
    <s v="Prince Edward Island"/>
    <x v="0"/>
    <s v="Corporate"/>
    <s v="Technology"/>
    <x v="10"/>
    <x v="6"/>
    <d v="2009-03-28T00:00:00"/>
    <s v="28-Mar-2009"/>
  </r>
  <r>
    <n v="15139"/>
    <d v="2009-11-19T00:00:00"/>
    <s v="High"/>
    <s v="19-Nov-2009"/>
    <n v="17"/>
    <n v="5203.8999999999996"/>
    <n v="7.0000000000000007E-2"/>
    <s v="Delivery Truck"/>
    <n v="636.20000000000005"/>
    <n v="300.98"/>
    <n v="64.73"/>
    <s v="Guy Armstrong"/>
    <s v="Prince Edward Island"/>
    <x v="0"/>
    <s v="Corporate"/>
    <s v="Furniture"/>
    <x v="2"/>
    <x v="0"/>
    <d v="2009-11-21T00:00:00"/>
    <s v="21-Nov-2009"/>
  </r>
  <r>
    <n v="30243"/>
    <d v="2010-05-05T00:00:00"/>
    <s v="Critical"/>
    <s v="05-May-2010"/>
    <n v="21"/>
    <n v="4242.76"/>
    <n v="7.0000000000000007E-2"/>
    <s v="Regular Air"/>
    <n v="340.88"/>
    <n v="199.99"/>
    <n v="24.49"/>
    <s v="Hilary Holden"/>
    <s v="Prince Edward Island"/>
    <x v="0"/>
    <s v="Corporate"/>
    <s v="Technology"/>
    <x v="6"/>
    <x v="29"/>
    <d v="2010-05-07T00:00:00"/>
    <s v="07-May-2010"/>
  </r>
  <r>
    <n v="17090"/>
    <d v="2010-04-28T00:00:00"/>
    <s v="Low"/>
    <s v="28-Apr-2010"/>
    <n v="30"/>
    <n v="4177.5200000000004"/>
    <n v="0.04"/>
    <s v="Delivery Truck"/>
    <n v="-443.78"/>
    <n v="140.97999999999999"/>
    <n v="36.090000000000003"/>
    <s v="Greg Guthrie"/>
    <s v="Prince Edward Island"/>
    <x v="0"/>
    <s v="Corporate"/>
    <s v="Furniture"/>
    <x v="8"/>
    <x v="36"/>
    <d v="2010-04-30T00:00:00"/>
    <s v="30-Apr-2010"/>
  </r>
  <r>
    <n v="32199"/>
    <d v="2009-07-15T00:00:00"/>
    <s v="High"/>
    <s v="15-Jul-2009"/>
    <n v="1"/>
    <n v="3672.89"/>
    <n v="0.01"/>
    <s v="Regular Air"/>
    <n v="-3061.82"/>
    <n v="3499.99"/>
    <n v="24.49"/>
    <s v="Erica Bern"/>
    <s v="Prince Edward Island"/>
    <x v="0"/>
    <s v="Corporate"/>
    <s v="Technology"/>
    <x v="6"/>
    <x v="7"/>
    <d v="2009-07-16T00:00:00"/>
    <s v="16-Jul-2009"/>
  </r>
  <r>
    <n v="13604"/>
    <d v="2009-02-02T00:00:00"/>
    <s v="Not Specified"/>
    <s v="02-Feb-2009"/>
    <n v="42"/>
    <n v="3609.88"/>
    <n v="7.0000000000000007E-2"/>
    <s v="Regular Air"/>
    <n v="-1396.22"/>
    <n v="90.98"/>
    <n v="56.2"/>
    <s v="Erica Bern"/>
    <s v="Prince Edward Island"/>
    <x v="0"/>
    <s v="Corporate"/>
    <s v="Furniture"/>
    <x v="7"/>
    <x v="37"/>
    <d v="2009-02-05T00:00:00"/>
    <s v="05-Feb-2009"/>
  </r>
  <r>
    <n v="17090"/>
    <d v="2010-04-28T00:00:00"/>
    <s v="Low"/>
    <s v="28-Apr-2010"/>
    <n v="26"/>
    <n v="3351.08"/>
    <n v="0.05"/>
    <s v="Delivery Truck"/>
    <n v="-1086.43"/>
    <n v="122.99"/>
    <n v="70.2"/>
    <s v="Greg Guthrie"/>
    <s v="Prince Edward Island"/>
    <x v="0"/>
    <s v="Corporate"/>
    <s v="Furniture"/>
    <x v="2"/>
    <x v="37"/>
    <d v="2010-05-03T00:00:00"/>
    <s v="03-May-2010"/>
  </r>
  <r>
    <n v="11362"/>
    <d v="2012-09-10T00:00:00"/>
    <s v="Low"/>
    <s v="10-Sep-2012"/>
    <n v="32"/>
    <n v="3245.73"/>
    <n v="0.09"/>
    <s v="Regular Air"/>
    <n v="569.57000000000005"/>
    <n v="110.98"/>
    <n v="13.99"/>
    <s v="Hilary Holden"/>
    <s v="Prince Edward Island"/>
    <x v="0"/>
    <s v="Corporate"/>
    <s v="Furniture"/>
    <x v="7"/>
    <x v="39"/>
    <d v="2012-09-12T00:00:00"/>
    <s v="12-Sep-2012"/>
  </r>
  <r>
    <n v="29121"/>
    <d v="2010-04-11T00:00:00"/>
    <s v="Medium"/>
    <s v="11-Apr-2010"/>
    <n v="31"/>
    <n v="3206.9650000000001"/>
    <n v="0.08"/>
    <s v="Regular Air"/>
    <n v="575.33000000000004"/>
    <n v="125.99"/>
    <n v="7.69"/>
    <s v="Jack Lebron"/>
    <s v="Prince Edward Island"/>
    <x v="0"/>
    <s v="Corporate"/>
    <s v="Technology"/>
    <x v="10"/>
    <x v="15"/>
    <d v="2010-04-13T00:00:00"/>
    <s v="13-Apr-2010"/>
  </r>
  <r>
    <n v="13604"/>
    <d v="2009-02-02T00:00:00"/>
    <s v="Not Specified"/>
    <s v="02-Feb-2009"/>
    <n v="38"/>
    <n v="3152.75"/>
    <n v="0.04"/>
    <s v="Regular Air"/>
    <n v="1166.4000000000001"/>
    <n v="83.1"/>
    <n v="6.13"/>
    <s v="Erica Bern"/>
    <s v="Prince Edward Island"/>
    <x v="0"/>
    <s v="Corporate"/>
    <s v="Technology"/>
    <x v="11"/>
    <x v="45"/>
    <d v="2009-02-04T00:00:00"/>
    <s v="04-Feb-2009"/>
  </r>
  <r>
    <n v="47846"/>
    <d v="2012-08-11T00:00:00"/>
    <s v="High"/>
    <s v="11-Aug-2012"/>
    <n v="25"/>
    <n v="2674.18"/>
    <n v="0.06"/>
    <s v="Regular Air"/>
    <n v="631.99"/>
    <n v="110.98"/>
    <n v="13.99"/>
    <s v="Hilary Holden"/>
    <s v="Prince Edward Island"/>
    <x v="0"/>
    <s v="Corporate"/>
    <s v="Furniture"/>
    <x v="7"/>
    <x v="39"/>
    <d v="2012-08-13T00:00:00"/>
    <s v="13-Aug-2012"/>
  </r>
  <r>
    <n v="24067"/>
    <d v="2012-08-22T00:00:00"/>
    <s v="High"/>
    <s v="22-Aug-2012"/>
    <n v="46"/>
    <n v="2640.6864999999998"/>
    <n v="0.03"/>
    <s v="Express Air"/>
    <n v="751.38"/>
    <n v="65.989999999999995"/>
    <n v="5.92"/>
    <s v="Frank Atkinson"/>
    <s v="Prince Edward Island"/>
    <x v="0"/>
    <s v="Corporate"/>
    <s v="Technology"/>
    <x v="10"/>
    <x v="20"/>
    <d v="2012-08-23T00:00:00"/>
    <s v="23-Aug-2012"/>
  </r>
  <r>
    <n v="20033"/>
    <d v="2010-05-21T00:00:00"/>
    <s v="Critical"/>
    <s v="21-May-2010"/>
    <n v="5"/>
    <n v="2543.9499999999998"/>
    <n v="0.04"/>
    <s v="Regular Air"/>
    <n v="-1011.32"/>
    <n v="499.99"/>
    <n v="24.49"/>
    <s v="Jack Lebron"/>
    <s v="Prince Edward Island"/>
    <x v="0"/>
    <s v="Corporate"/>
    <s v="Technology"/>
    <x v="6"/>
    <x v="10"/>
    <d v="2010-05-23T00:00:00"/>
    <s v="23-May-2010"/>
  </r>
  <r>
    <n v="24965"/>
    <d v="2011-03-29T00:00:00"/>
    <s v="Low"/>
    <s v="29-Mar-2011"/>
    <n v="6"/>
    <n v="2528.4899999999998"/>
    <n v="7.0000000000000007E-2"/>
    <s v="Express Air"/>
    <n v="580.15"/>
    <n v="420.98"/>
    <n v="19.989999999999998"/>
    <s v="Jack Lebron"/>
    <s v="Prince Edward Island"/>
    <x v="0"/>
    <s v="Corporate"/>
    <s v="Office Supplies"/>
    <x v="1"/>
    <x v="2"/>
    <d v="2011-04-03T00:00:00"/>
    <s v="03-Apr-2011"/>
  </r>
  <r>
    <n v="32869"/>
    <d v="2009-03-27T00:00:00"/>
    <s v="Medium"/>
    <s v="27-Mar-2009"/>
    <n v="49"/>
    <n v="2470.84"/>
    <n v="0.05"/>
    <s v="Regular Air"/>
    <n v="25.04"/>
    <n v="51.65"/>
    <n v="18.45"/>
    <s v="Christopher Schild"/>
    <s v="Prince Edward Island"/>
    <x v="0"/>
    <s v="Corporate"/>
    <s v="Furniture"/>
    <x v="7"/>
    <x v="38"/>
    <d v="2009-03-28T00:00:00"/>
    <s v="28-Mar-2009"/>
  </r>
  <r>
    <n v="30243"/>
    <d v="2010-05-05T00:00:00"/>
    <s v="Critical"/>
    <s v="05-May-2010"/>
    <n v="44"/>
    <n v="2435.3200000000002"/>
    <n v="0.09"/>
    <s v="Regular Air"/>
    <n v="650.55999999999995"/>
    <n v="60.22"/>
    <n v="3.5"/>
    <s v="Hilary Holden"/>
    <s v="Prince Edward Island"/>
    <x v="0"/>
    <s v="Corporate"/>
    <s v="Office Supplies"/>
    <x v="5"/>
    <x v="6"/>
    <d v="2010-05-07T00:00:00"/>
    <s v="07-May-2010"/>
  </r>
  <r>
    <n v="11362"/>
    <d v="2012-09-10T00:00:00"/>
    <s v="Low"/>
    <s v="10-Sep-2012"/>
    <n v="25"/>
    <n v="2407.6930000000002"/>
    <n v="0.04"/>
    <s v="Regular Air"/>
    <n v="424.14"/>
    <n v="110.99"/>
    <n v="8.99"/>
    <s v="Hilary Holden"/>
    <s v="Prince Edward Island"/>
    <x v="0"/>
    <s v="Corporate"/>
    <s v="Technology"/>
    <x v="10"/>
    <x v="6"/>
    <d v="2012-09-14T00:00:00"/>
    <s v="14-Sep-2012"/>
  </r>
  <r>
    <n v="40871"/>
    <d v="2011-09-13T00:00:00"/>
    <s v="Not Specified"/>
    <s v="13-Sep-2011"/>
    <n v="18"/>
    <n v="2022.65"/>
    <n v="0.05"/>
    <s v="Delivery Truck"/>
    <n v="-157.63"/>
    <n v="110.98"/>
    <n v="30"/>
    <s v="Joy Smith"/>
    <s v="Prince Edward Island"/>
    <x v="0"/>
    <s v="Corporate"/>
    <s v="Furniture"/>
    <x v="2"/>
    <x v="35"/>
    <d v="2011-09-15T00:00:00"/>
    <s v="15-Sep-2011"/>
  </r>
  <r>
    <n v="58340"/>
    <d v="2011-01-08T00:00:00"/>
    <s v="Medium"/>
    <s v="08-Jan-2011"/>
    <n v="36"/>
    <n v="1936.3"/>
    <n v="0.03"/>
    <s v="Regular Air"/>
    <n v="278.12"/>
    <n v="50.98"/>
    <n v="13.66"/>
    <s v="Sylvia Foulston"/>
    <s v="Prince Edward Island"/>
    <x v="0"/>
    <s v="Corporate"/>
    <s v="Office Supplies"/>
    <x v="5"/>
    <x v="15"/>
    <d v="2011-01-09T00:00:00"/>
    <s v="09-Jan-2011"/>
  </r>
  <r>
    <n v="41991"/>
    <d v="2011-12-18T00:00:00"/>
    <s v="Low"/>
    <s v="18-Dec-2011"/>
    <n v="36"/>
    <n v="1773.86"/>
    <n v="0.06"/>
    <s v="Delivery Truck"/>
    <n v="133.30000000000001"/>
    <n v="50.98"/>
    <n v="14.19"/>
    <s v="Philip Brown"/>
    <s v="Prince Edward Island"/>
    <x v="0"/>
    <s v="Corporate"/>
    <s v="Furniture"/>
    <x v="2"/>
    <x v="0"/>
    <d v="2011-12-23T00:00:00"/>
    <s v="23-Dec-2011"/>
  </r>
  <r>
    <n v="32676"/>
    <d v="2009-02-01T00:00:00"/>
    <s v="Critical"/>
    <s v="01-Feb-2009"/>
    <n v="37"/>
    <n v="1697.44"/>
    <n v="0.06"/>
    <s v="Regular Air"/>
    <n v="523.42999999999995"/>
    <n v="45.19"/>
    <n v="1.99"/>
    <s v="Joy Smith"/>
    <s v="Prince Edward Island"/>
    <x v="0"/>
    <s v="Corporate"/>
    <s v="Technology"/>
    <x v="11"/>
    <x v="20"/>
    <d v="2009-02-04T00:00:00"/>
    <s v="04-Feb-2009"/>
  </r>
  <r>
    <n v="24451"/>
    <d v="2012-12-03T00:00:00"/>
    <s v="Critical"/>
    <s v="03-Dec-2012"/>
    <n v="24"/>
    <n v="1689.97"/>
    <n v="0.06"/>
    <s v="Delivery Truck"/>
    <n v="-564.74"/>
    <n v="68.81"/>
    <n v="60"/>
    <s v="Jack Lebron"/>
    <s v="Prince Edward Island"/>
    <x v="0"/>
    <s v="Corporate"/>
    <s v="Office Supplies"/>
    <x v="5"/>
    <x v="25"/>
    <d v="2012-12-04T00:00:00"/>
    <s v="04-Dec-2012"/>
  </r>
  <r>
    <n v="15044"/>
    <d v="2012-03-06T00:00:00"/>
    <s v="Low"/>
    <s v="06-Mar-2012"/>
    <n v="42"/>
    <n v="1681.6"/>
    <n v="7.0000000000000007E-2"/>
    <s v="Regular Air"/>
    <n v="167.37"/>
    <n v="39.99"/>
    <n v="10.25"/>
    <s v="Erica Bern"/>
    <s v="Prince Edward Island"/>
    <x v="0"/>
    <s v="Corporate"/>
    <s v="Technology"/>
    <x v="11"/>
    <x v="20"/>
    <d v="2012-03-10T00:00:00"/>
    <s v="10-Mar-2012"/>
  </r>
  <r>
    <n v="21378"/>
    <d v="2011-08-07T00:00:00"/>
    <s v="Medium"/>
    <s v="07-Aug-2011"/>
    <n v="17"/>
    <n v="1616.64"/>
    <n v="7.0000000000000007E-2"/>
    <s v="Regular Air"/>
    <n v="26.94"/>
    <n v="99.99"/>
    <n v="19.989999999999998"/>
    <s v="Jack Lebron"/>
    <s v="Prince Edward Island"/>
    <x v="0"/>
    <s v="Corporate"/>
    <s v="Technology"/>
    <x v="11"/>
    <x v="31"/>
    <d v="2011-08-10T00:00:00"/>
    <s v="10-Aug-2011"/>
  </r>
  <r>
    <n v="22469"/>
    <d v="2010-10-11T00:00:00"/>
    <s v="High"/>
    <s v="11-Oct-2010"/>
    <n v="24"/>
    <n v="1482.81"/>
    <n v="0.03"/>
    <s v="Regular Air"/>
    <n v="-678.63"/>
    <n v="60.98"/>
    <n v="49"/>
    <s v="Jack Lebron"/>
    <s v="Prince Edward Island"/>
    <x v="0"/>
    <s v="Corporate"/>
    <s v="Office Supplies"/>
    <x v="5"/>
    <x v="14"/>
    <d v="2010-10-13T00:00:00"/>
    <s v="13-Oct-2010"/>
  </r>
  <r>
    <n v="35300"/>
    <d v="2010-03-02T00:00:00"/>
    <s v="Medium"/>
    <s v="02-Mar-2010"/>
    <n v="35"/>
    <n v="1445.6"/>
    <n v="0.08"/>
    <s v="Regular Air"/>
    <n v="126.03"/>
    <n v="41.32"/>
    <n v="8.66"/>
    <s v="Dan Reichenbach"/>
    <s v="Prince Edward Island"/>
    <x v="0"/>
    <s v="Corporate"/>
    <s v="Furniture"/>
    <x v="7"/>
    <x v="40"/>
    <d v="2010-03-05T00:00:00"/>
    <s v="05-Mar-2010"/>
  </r>
  <r>
    <n v="44387"/>
    <d v="2009-02-04T00:00:00"/>
    <s v="Low"/>
    <s v="04-Feb-2009"/>
    <n v="50"/>
    <n v="1441.57"/>
    <n v="7.0000000000000007E-2"/>
    <s v="Express Air"/>
    <n v="475.26"/>
    <n v="29.89"/>
    <n v="1.99"/>
    <s v="Erica Bern"/>
    <s v="Prince Edward Island"/>
    <x v="0"/>
    <s v="Corporate"/>
    <s v="Technology"/>
    <x v="11"/>
    <x v="31"/>
    <d v="2009-02-09T00:00:00"/>
    <s v="09-Feb-2009"/>
  </r>
  <r>
    <n v="8994"/>
    <d v="2009-04-07T00:00:00"/>
    <s v="Low"/>
    <s v="07-Apr-2009"/>
    <n v="36"/>
    <n v="1423.35"/>
    <n v="0.1"/>
    <s v="Regular Air"/>
    <n v="-580.32000000000005"/>
    <n v="40.479999999999997"/>
    <n v="19.989999999999998"/>
    <s v="Christopher Schild"/>
    <s v="Prince Edward Island"/>
    <x v="0"/>
    <s v="Corporate"/>
    <s v="Technology"/>
    <x v="11"/>
    <x v="36"/>
    <d v="2009-04-09T00:00:00"/>
    <s v="09-Apr-2009"/>
  </r>
  <r>
    <n v="28836"/>
    <d v="2010-10-24T00:00:00"/>
    <s v="High"/>
    <s v="24-Oct-2010"/>
    <n v="7"/>
    <n v="1158.26"/>
    <n v="0.06"/>
    <s v="Regular Air"/>
    <n v="170.08"/>
    <n v="172.99"/>
    <n v="19.989999999999998"/>
    <s v="Erica Bern"/>
    <s v="Prince Edward Island"/>
    <x v="0"/>
    <s v="Corporate"/>
    <s v="Office Supplies"/>
    <x v="1"/>
    <x v="4"/>
    <d v="2010-10-26T00:00:00"/>
    <s v="26-Oct-2010"/>
  </r>
  <r>
    <n v="24965"/>
    <d v="2011-03-29T00:00:00"/>
    <s v="Low"/>
    <s v="29-Mar-2011"/>
    <n v="42"/>
    <n v="1146.1099999999999"/>
    <n v="0.09"/>
    <s v="Regular Air"/>
    <n v="330.63"/>
    <n v="29.18"/>
    <n v="8.5500000000000007"/>
    <s v="Jack Lebron"/>
    <s v="Prince Edward Island"/>
    <x v="0"/>
    <s v="Corporate"/>
    <s v="Furniture"/>
    <x v="7"/>
    <x v="22"/>
    <d v="2011-03-29T00:00:00"/>
    <s v="29-Mar-2011"/>
  </r>
  <r>
    <n v="17376"/>
    <d v="2011-12-04T00:00:00"/>
    <s v="High"/>
    <s v="04-Dec-2011"/>
    <n v="44"/>
    <n v="1127.81"/>
    <n v="0.1"/>
    <s v="Regular Air"/>
    <n v="425.08"/>
    <n v="28.48"/>
    <n v="1.99"/>
    <s v="Joy Smith"/>
    <s v="Prince Edward Island"/>
    <x v="0"/>
    <s v="Corporate"/>
    <s v="Technology"/>
    <x v="11"/>
    <x v="27"/>
    <d v="2011-12-06T00:00:00"/>
    <s v="06-Dec-2011"/>
  </r>
  <r>
    <n v="4007"/>
    <d v="2010-06-17T00:00:00"/>
    <s v="High"/>
    <s v="17-Jun-2010"/>
    <n v="18"/>
    <n v="1038.4000000000001"/>
    <n v="0.01"/>
    <s v="Regular Air"/>
    <n v="112.36"/>
    <n v="56.96"/>
    <n v="13.22"/>
    <s v="Jack Lebron"/>
    <s v="Prince Edward Island"/>
    <x v="0"/>
    <s v="Corporate"/>
    <s v="Office Supplies"/>
    <x v="5"/>
    <x v="0"/>
    <d v="2010-06-18T00:00:00"/>
    <s v="18-Jun-2010"/>
  </r>
  <r>
    <n v="19617"/>
    <d v="2012-01-20T00:00:00"/>
    <s v="Low"/>
    <s v="20-Jan-2012"/>
    <n v="38"/>
    <n v="952.47"/>
    <n v="0.03"/>
    <s v="Regular Air"/>
    <n v="270.69"/>
    <n v="23.99"/>
    <n v="6.3"/>
    <s v="Jack Lebron"/>
    <s v="Prince Edward Island"/>
    <x v="0"/>
    <s v="Corporate"/>
    <s v="Technology"/>
    <x v="0"/>
    <x v="1"/>
    <d v="2012-01-22T00:00:00"/>
    <s v="22-Jan-2012"/>
  </r>
  <r>
    <n v="45601"/>
    <d v="2011-09-26T00:00:00"/>
    <s v="High"/>
    <s v="26-Sep-2011"/>
    <n v="47"/>
    <n v="945.03"/>
    <n v="0"/>
    <s v="Regular Air"/>
    <n v="267.64"/>
    <n v="19.98"/>
    <n v="5.97"/>
    <s v="Dan Reichenbach"/>
    <s v="Prince Edward Island"/>
    <x v="0"/>
    <s v="Corporate"/>
    <s v="Office Supplies"/>
    <x v="12"/>
    <x v="1"/>
    <d v="2011-09-28T00:00:00"/>
    <s v="28-Sep-2011"/>
  </r>
  <r>
    <n v="21378"/>
    <d v="2011-08-07T00:00:00"/>
    <s v="Medium"/>
    <s v="07-Aug-2011"/>
    <n v="34"/>
    <n v="937.04"/>
    <n v="0.08"/>
    <s v="Regular Air"/>
    <n v="391.6"/>
    <n v="28.53"/>
    <n v="1.49"/>
    <s v="Jack Lebron"/>
    <s v="Prince Edward Island"/>
    <x v="0"/>
    <s v="Corporate"/>
    <s v="Office Supplies"/>
    <x v="1"/>
    <x v="1"/>
    <d v="2011-08-08T00:00:00"/>
    <s v="08-Aug-2011"/>
  </r>
  <r>
    <n v="18273"/>
    <d v="2011-09-15T00:00:00"/>
    <s v="Low"/>
    <s v="15-Sep-2011"/>
    <n v="18"/>
    <n v="925.03"/>
    <n v="0.06"/>
    <s v="Regular Air"/>
    <n v="-3.68"/>
    <n v="49.99"/>
    <n v="19.989999999999998"/>
    <s v="Jack Lebron"/>
    <s v="Prince Edward Island"/>
    <x v="0"/>
    <s v="Corporate"/>
    <s v="Technology"/>
    <x v="11"/>
    <x v="25"/>
    <d v="2011-09-17T00:00:00"/>
    <s v="17-Sep-2011"/>
  </r>
  <r>
    <n v="24038"/>
    <d v="2011-06-20T00:00:00"/>
    <s v="High"/>
    <s v="20-Jun-2011"/>
    <n v="15"/>
    <n v="896.18050000000005"/>
    <n v="0"/>
    <s v="Express Air"/>
    <n v="82.04"/>
    <n v="65.989999999999995"/>
    <n v="5.26"/>
    <s v="Jack Lebron"/>
    <s v="Prince Edward Island"/>
    <x v="0"/>
    <s v="Corporate"/>
    <s v="Technology"/>
    <x v="10"/>
    <x v="0"/>
    <d v="2011-06-22T00:00:00"/>
    <s v="22-Jun-2011"/>
  </r>
  <r>
    <n v="10435"/>
    <d v="2010-08-10T00:00:00"/>
    <s v="Medium"/>
    <s v="10-Aug-2010"/>
    <n v="38"/>
    <n v="871.25"/>
    <n v="0.06"/>
    <s v="Regular Air"/>
    <n v="-14.31"/>
    <n v="22.99"/>
    <n v="8.99"/>
    <s v="Evan Minnotte"/>
    <s v="Prince Edward Island"/>
    <x v="0"/>
    <s v="Corporate"/>
    <s v="Office Supplies"/>
    <x v="13"/>
    <x v="6"/>
    <d v="2010-08-12T00:00:00"/>
    <s v="12-Aug-2010"/>
  </r>
  <r>
    <n v="41991"/>
    <d v="2011-12-18T00:00:00"/>
    <s v="Low"/>
    <s v="18-Dec-2011"/>
    <n v="18"/>
    <n v="813.9"/>
    <n v="0.06"/>
    <s v="Regular Air"/>
    <n v="256.66000000000003"/>
    <n v="45.98"/>
    <n v="4.8"/>
    <s v="Philip Brown"/>
    <s v="Prince Edward Island"/>
    <x v="0"/>
    <s v="Corporate"/>
    <s v="Furniture"/>
    <x v="7"/>
    <x v="48"/>
    <d v="2011-12-22T00:00:00"/>
    <s v="22-Dec-2011"/>
  </r>
  <r>
    <n v="59234"/>
    <d v="2012-07-29T00:00:00"/>
    <s v="Low"/>
    <s v="29-Jul-2012"/>
    <n v="16"/>
    <n v="797.24"/>
    <n v="0.04"/>
    <s v="Delivery Truck"/>
    <n v="11.46"/>
    <n v="50.98"/>
    <n v="14.19"/>
    <s v="Michelle Lonsdale"/>
    <s v="Prince Edward Island"/>
    <x v="0"/>
    <s v="Corporate"/>
    <s v="Furniture"/>
    <x v="2"/>
    <x v="0"/>
    <d v="2012-08-03T00:00:00"/>
    <s v="03-Aug-2012"/>
  </r>
  <r>
    <n v="15139"/>
    <d v="2009-11-19T00:00:00"/>
    <s v="High"/>
    <s v="19-Nov-2009"/>
    <n v="33"/>
    <n v="744.12"/>
    <n v="0.01"/>
    <s v="Delivery Truck"/>
    <n v="-1163.21"/>
    <n v="20.98"/>
    <n v="45"/>
    <s v="Guy Armstrong"/>
    <s v="Prince Edward Island"/>
    <x v="0"/>
    <s v="Corporate"/>
    <s v="Office Supplies"/>
    <x v="4"/>
    <x v="9"/>
    <d v="2009-11-19T00:00:00"/>
    <s v="19-Nov-2009"/>
  </r>
  <r>
    <n v="23076"/>
    <d v="2009-05-27T00:00:00"/>
    <s v="Critical"/>
    <s v="27-May-2009"/>
    <n v="50"/>
    <n v="742.21"/>
    <n v="0.03"/>
    <s v="Regular Air"/>
    <n v="122.21"/>
    <n v="14.2"/>
    <n v="5.3"/>
    <s v="Dan Reichenbach"/>
    <s v="Prince Edward Island"/>
    <x v="0"/>
    <s v="Corporate"/>
    <s v="Furniture"/>
    <x v="7"/>
    <x v="29"/>
    <d v="2009-05-28T00:00:00"/>
    <s v="28-May-2009"/>
  </r>
  <r>
    <n v="48199"/>
    <d v="2009-01-18T00:00:00"/>
    <s v="Not Specified"/>
    <s v="18-Jan-2009"/>
    <n v="47"/>
    <n v="672.46"/>
    <n v="0.1"/>
    <s v="Regular Air"/>
    <n v="279.74"/>
    <n v="15.74"/>
    <n v="1.39"/>
    <s v="Erica Bern"/>
    <s v="Prince Edward Island"/>
    <x v="0"/>
    <s v="Corporate"/>
    <s v="Office Supplies"/>
    <x v="15"/>
    <x v="27"/>
    <d v="2009-01-21T00:00:00"/>
    <s v="21-Jan-2009"/>
  </r>
  <r>
    <n v="28995"/>
    <d v="2010-05-12T00:00:00"/>
    <s v="High"/>
    <s v="12-May-2010"/>
    <n v="34"/>
    <n v="667.35"/>
    <n v="0.04"/>
    <s v="Regular Air"/>
    <n v="80.92"/>
    <n v="19.98"/>
    <n v="8.68"/>
    <s v="Hilary Holden"/>
    <s v="Prince Edward Island"/>
    <x v="0"/>
    <s v="Corporate"/>
    <s v="Office Supplies"/>
    <x v="12"/>
    <x v="7"/>
    <d v="2010-05-13T00:00:00"/>
    <s v="13-May-2010"/>
  </r>
  <r>
    <n v="42918"/>
    <d v="2011-05-22T00:00:00"/>
    <s v="High"/>
    <s v="22-May-2011"/>
    <n v="46"/>
    <n v="648.26"/>
    <n v="7.0000000000000007E-2"/>
    <s v="Regular Air"/>
    <n v="30.48"/>
    <n v="14.27"/>
    <n v="7.27"/>
    <s v="Logan Haushalter"/>
    <s v="Prince Edward Island"/>
    <x v="0"/>
    <s v="Corporate"/>
    <s v="Office Supplies"/>
    <x v="1"/>
    <x v="1"/>
    <d v="2011-05-24T00:00:00"/>
    <s v="24-May-2011"/>
  </r>
  <r>
    <n v="37888"/>
    <d v="2009-12-22T00:00:00"/>
    <s v="Critical"/>
    <s v="22-Dec-2009"/>
    <n v="31"/>
    <n v="639.19000000000005"/>
    <n v="0.09"/>
    <s v="Regular Air"/>
    <n v="274.89999999999998"/>
    <n v="20.98"/>
    <n v="1.49"/>
    <s v="Hilary Holden"/>
    <s v="Prince Edward Island"/>
    <x v="0"/>
    <s v="Corporate"/>
    <s v="Office Supplies"/>
    <x v="1"/>
    <x v="2"/>
    <d v="2009-12-24T00:00:00"/>
    <s v="24-Dec-2009"/>
  </r>
  <r>
    <n v="32835"/>
    <d v="2012-07-07T00:00:00"/>
    <s v="Medium"/>
    <s v="07-Jul-2012"/>
    <n v="15"/>
    <n v="572.4325"/>
    <n v="0.05"/>
    <s v="Regular Air"/>
    <n v="-19.440000000000001"/>
    <n v="45.99"/>
    <n v="4.99"/>
    <s v="Joy Smith"/>
    <s v="Prince Edward Island"/>
    <x v="0"/>
    <s v="Corporate"/>
    <s v="Technology"/>
    <x v="10"/>
    <x v="0"/>
    <d v="2012-07-09T00:00:00"/>
    <s v="09-Jul-2012"/>
  </r>
  <r>
    <n v="18788"/>
    <d v="2009-10-02T00:00:00"/>
    <s v="Not Specified"/>
    <s v="02-Oct-2009"/>
    <n v="27"/>
    <n v="566.12"/>
    <n v="0.03"/>
    <s v="Regular Air"/>
    <n v="-19.329999999999998"/>
    <n v="19.989999999999998"/>
    <n v="11.17"/>
    <s v="Joy Smith"/>
    <s v="Prince Edward Island"/>
    <x v="0"/>
    <s v="Corporate"/>
    <s v="Furniture"/>
    <x v="7"/>
    <x v="18"/>
    <d v="2009-10-03T00:00:00"/>
    <s v="03-Oct-2009"/>
  </r>
  <r>
    <n v="41991"/>
    <d v="2011-12-18T00:00:00"/>
    <s v="Low"/>
    <s v="18-Dec-2011"/>
    <n v="35"/>
    <n v="543.22"/>
    <n v="0"/>
    <s v="Regular Air"/>
    <n v="68.44"/>
    <n v="14.58"/>
    <n v="7.4"/>
    <s v="Philip Brown"/>
    <s v="Prince Edward Island"/>
    <x v="0"/>
    <s v="Corporate"/>
    <s v="Furniture"/>
    <x v="7"/>
    <x v="23"/>
    <d v="2011-12-22T00:00:00"/>
    <s v="22-Dec-2011"/>
  </r>
  <r>
    <n v="10435"/>
    <d v="2010-08-10T00:00:00"/>
    <s v="Medium"/>
    <s v="10-Aug-2010"/>
    <n v="46"/>
    <n v="537.87"/>
    <n v="0.05"/>
    <s v="Regular Air"/>
    <n v="-162.24"/>
    <n v="11.66"/>
    <n v="7.95"/>
    <s v="Evan Minnotte"/>
    <s v="Prince Edward Island"/>
    <x v="0"/>
    <s v="Corporate"/>
    <s v="Office Supplies"/>
    <x v="13"/>
    <x v="15"/>
    <d v="2010-08-11T00:00:00"/>
    <s v="11-Aug-2010"/>
  </r>
  <r>
    <n v="12934"/>
    <d v="2009-03-05T00:00:00"/>
    <s v="Not Specified"/>
    <s v="05-Mar-2009"/>
    <n v="45"/>
    <n v="440.39"/>
    <n v="0.05"/>
    <s v="Regular Air"/>
    <n v="186.64"/>
    <n v="9.7799999999999994"/>
    <n v="1.39"/>
    <s v="Guy Armstrong"/>
    <s v="Prince Edward Island"/>
    <x v="0"/>
    <s v="Corporate"/>
    <s v="Office Supplies"/>
    <x v="15"/>
    <x v="4"/>
    <d v="2009-03-06T00:00:00"/>
    <s v="06-Mar-2009"/>
  </r>
  <r>
    <n v="9574"/>
    <d v="2011-07-30T00:00:00"/>
    <s v="Medium"/>
    <s v="30-Jul-2011"/>
    <n v="40"/>
    <n v="434.62"/>
    <n v="0.08"/>
    <s v="Regular Air"/>
    <n v="-68.98"/>
    <n v="11.5"/>
    <n v="7.19"/>
    <s v="Joy Smith"/>
    <s v="Prince Edward Island"/>
    <x v="0"/>
    <s v="Corporate"/>
    <s v="Office Supplies"/>
    <x v="1"/>
    <x v="27"/>
    <d v="2011-07-31T00:00:00"/>
    <s v="31-Jul-2011"/>
  </r>
  <r>
    <n v="5446"/>
    <d v="2009-06-20T00:00:00"/>
    <s v="Low"/>
    <s v="20-Jun-2009"/>
    <n v="42"/>
    <n v="433.68"/>
    <n v="7.0000000000000007E-2"/>
    <s v="Regular Air"/>
    <n v="44.1"/>
    <n v="10.98"/>
    <n v="4.8"/>
    <s v="Guy Armstrong"/>
    <s v="Prince Edward Island"/>
    <x v="0"/>
    <s v="Corporate"/>
    <s v="Office Supplies"/>
    <x v="15"/>
    <x v="10"/>
    <d v="2009-06-27T00:00:00"/>
    <s v="27-Jun-2009"/>
  </r>
  <r>
    <n v="42918"/>
    <d v="2011-05-22T00:00:00"/>
    <s v="High"/>
    <s v="22-May-2011"/>
    <n v="46"/>
    <n v="410.43"/>
    <n v="0.1"/>
    <s v="Regular Air"/>
    <n v="-54.58"/>
    <n v="9.49"/>
    <n v="5.76"/>
    <s v="Logan Haushalter"/>
    <s v="Prince Edward Island"/>
    <x v="0"/>
    <s v="Corporate"/>
    <s v="Technology"/>
    <x v="0"/>
    <x v="4"/>
    <d v="2011-05-24T00:00:00"/>
    <s v="24-May-2011"/>
  </r>
  <r>
    <n v="21542"/>
    <d v="2011-05-21T00:00:00"/>
    <s v="High"/>
    <s v="21-May-2011"/>
    <n v="18"/>
    <n v="404.3"/>
    <n v="0.04"/>
    <s v="Regular Air"/>
    <n v="-27.34"/>
    <n v="21.38"/>
    <n v="8.99"/>
    <s v="Frank Atkinson"/>
    <s v="Prince Edward Island"/>
    <x v="0"/>
    <s v="Corporate"/>
    <s v="Office Supplies"/>
    <x v="13"/>
    <x v="14"/>
    <d v="2011-05-22T00:00:00"/>
    <s v="22-May-2011"/>
  </r>
  <r>
    <n v="42754"/>
    <d v="2010-08-24T00:00:00"/>
    <s v="Critical"/>
    <s v="24-Aug-2010"/>
    <n v="31"/>
    <n v="341.71"/>
    <n v="0.04"/>
    <s v="Regular Air"/>
    <n v="32.19"/>
    <n v="10.98"/>
    <n v="5.14"/>
    <s v="Paul Gonzalez"/>
    <s v="Prince Edward Island"/>
    <x v="0"/>
    <s v="Corporate"/>
    <s v="Office Supplies"/>
    <x v="1"/>
    <x v="10"/>
    <d v="2010-08-25T00:00:00"/>
    <s v="25-Aug-2010"/>
  </r>
  <r>
    <n v="19042"/>
    <d v="2009-03-01T00:00:00"/>
    <s v="Critical"/>
    <s v="01-Mar-2009"/>
    <n v="8"/>
    <n v="327.61"/>
    <n v="7.0000000000000007E-2"/>
    <s v="Regular Air"/>
    <n v="54.9"/>
    <n v="40.98"/>
    <n v="7.47"/>
    <s v="Evan Minnotte"/>
    <s v="Prince Edward Island"/>
    <x v="0"/>
    <s v="Corporate"/>
    <s v="Office Supplies"/>
    <x v="1"/>
    <x v="7"/>
    <d v="2009-03-02T00:00:00"/>
    <s v="02-Mar-2009"/>
  </r>
  <r>
    <n v="45606"/>
    <d v="2011-09-22T00:00:00"/>
    <s v="Medium"/>
    <s v="22-Sep-2011"/>
    <n v="38"/>
    <n v="325.75"/>
    <n v="0.1"/>
    <s v="Regular Air"/>
    <n v="-124.25"/>
    <n v="8.75"/>
    <n v="8.5399999999999991"/>
    <s v="Jim Sink"/>
    <s v="Prince Edward Island"/>
    <x v="0"/>
    <s v="Corporate"/>
    <s v="Furniture"/>
    <x v="7"/>
    <x v="21"/>
    <d v="2011-09-24T00:00:00"/>
    <s v="24-Sep-2011"/>
  </r>
  <r>
    <n v="58368"/>
    <d v="2012-07-09T00:00:00"/>
    <s v="High"/>
    <s v="09-Jul-2012"/>
    <n v="5"/>
    <n v="325.43"/>
    <n v="0.09"/>
    <s v="Express Air"/>
    <n v="-76.11"/>
    <n v="64.98"/>
    <n v="6.88"/>
    <s v="Doug Bickford"/>
    <s v="Prince Edward Island"/>
    <x v="0"/>
    <s v="Corporate"/>
    <s v="Office Supplies"/>
    <x v="4"/>
    <x v="33"/>
    <d v="2012-07-09T00:00:00"/>
    <s v="09-Jul-2012"/>
  </r>
  <r>
    <n v="32869"/>
    <d v="2009-03-27T00:00:00"/>
    <s v="Medium"/>
    <s v="27-Mar-2009"/>
    <n v="41"/>
    <n v="322.02999999999997"/>
    <n v="0.06"/>
    <s v="Regular Air"/>
    <n v="-82.83"/>
    <n v="8.1199999999999992"/>
    <n v="2.83"/>
    <s v="Christopher Schild"/>
    <s v="Prince Edward Island"/>
    <x v="0"/>
    <s v="Corporate"/>
    <s v="Technology"/>
    <x v="11"/>
    <x v="36"/>
    <d v="2009-03-28T00:00:00"/>
    <s v="28-Mar-2009"/>
  </r>
  <r>
    <n v="22656"/>
    <d v="2010-12-22T00:00:00"/>
    <s v="Not Specified"/>
    <s v="22-Dec-2010"/>
    <n v="10"/>
    <n v="309.3"/>
    <n v="0.05"/>
    <s v="Express Air"/>
    <n v="-77.89"/>
    <n v="30.98"/>
    <n v="6.5"/>
    <s v="Evan Minnotte"/>
    <s v="Prince Edward Island"/>
    <x v="0"/>
    <s v="Corporate"/>
    <s v="Technology"/>
    <x v="11"/>
    <x v="28"/>
    <d v="2010-12-24T00:00:00"/>
    <s v="24-Dec-2010"/>
  </r>
  <r>
    <n v="4007"/>
    <d v="2010-06-17T00:00:00"/>
    <s v="High"/>
    <s v="17-Jun-2010"/>
    <n v="1"/>
    <n v="305.82"/>
    <n v="0.05"/>
    <s v="Regular Air"/>
    <n v="-232.24"/>
    <n v="279.48"/>
    <n v="35"/>
    <s v="Jack Lebron"/>
    <s v="Prince Edward Island"/>
    <x v="0"/>
    <s v="Corporate"/>
    <s v="Office Supplies"/>
    <x v="4"/>
    <x v="12"/>
    <d v="2010-06-18T00:00:00"/>
    <s v="18-Jun-2010"/>
  </r>
  <r>
    <n v="28995"/>
    <d v="2010-05-12T00:00:00"/>
    <s v="High"/>
    <s v="12-May-2010"/>
    <n v="9"/>
    <n v="298.52"/>
    <n v="0"/>
    <s v="Regular Air"/>
    <n v="73.19"/>
    <n v="30.98"/>
    <n v="5.76"/>
    <s v="Hilary Holden"/>
    <s v="Prince Edward Island"/>
    <x v="0"/>
    <s v="Corporate"/>
    <s v="Office Supplies"/>
    <x v="12"/>
    <x v="27"/>
    <d v="2010-05-13T00:00:00"/>
    <s v="13-May-2010"/>
  </r>
  <r>
    <n v="40871"/>
    <d v="2011-09-13T00:00:00"/>
    <s v="Not Specified"/>
    <s v="13-Sep-2011"/>
    <n v="32"/>
    <n v="294.04000000000002"/>
    <n v="0.03"/>
    <s v="Regular Air"/>
    <n v="-5.53"/>
    <n v="8.85"/>
    <n v="5.6"/>
    <s v="Joy Smith"/>
    <s v="Prince Edward Island"/>
    <x v="0"/>
    <s v="Corporate"/>
    <s v="Office Supplies"/>
    <x v="1"/>
    <x v="10"/>
    <d v="2011-09-15T00:00:00"/>
    <s v="15-Sep-2011"/>
  </r>
  <r>
    <n v="15463"/>
    <d v="2010-07-24T00:00:00"/>
    <s v="Low"/>
    <s v="24-Jul-2010"/>
    <n v="48"/>
    <n v="293.3"/>
    <n v="0.04"/>
    <s v="Express Air"/>
    <n v="-193.48"/>
    <n v="5.98"/>
    <n v="7.5"/>
    <s v="Evan Minnotte"/>
    <s v="Prince Edward Island"/>
    <x v="0"/>
    <s v="Corporate"/>
    <s v="Office Supplies"/>
    <x v="12"/>
    <x v="27"/>
    <d v="2010-07-26T00:00:00"/>
    <s v="26-Jul-2010"/>
  </r>
  <r>
    <n v="59651"/>
    <d v="2010-05-20T00:00:00"/>
    <s v="Critical"/>
    <s v="20-May-2010"/>
    <n v="36"/>
    <n v="283.20999999999998"/>
    <n v="0.08"/>
    <s v="Regular Air"/>
    <n v="-196.06"/>
    <n v="8.0399999999999991"/>
    <n v="8.94"/>
    <s v="Brendan Dodson"/>
    <s v="Prince Edward Island"/>
    <x v="0"/>
    <s v="Corporate"/>
    <s v="Office Supplies"/>
    <x v="1"/>
    <x v="27"/>
    <d v="2010-05-22T00:00:00"/>
    <s v="22-May-2010"/>
  </r>
  <r>
    <n v="58368"/>
    <d v="2012-07-09T00:00:00"/>
    <s v="High"/>
    <s v="09-Jul-2012"/>
    <n v="39"/>
    <n v="272.07"/>
    <n v="0.02"/>
    <s v="Regular Air"/>
    <n v="-206.46"/>
    <n v="6.48"/>
    <n v="9.5399999999999991"/>
    <s v="Doug Bickford"/>
    <s v="Prince Edward Island"/>
    <x v="0"/>
    <s v="Corporate"/>
    <s v="Office Supplies"/>
    <x v="12"/>
    <x v="7"/>
    <d v="2012-07-10T00:00:00"/>
    <s v="10-Jul-2012"/>
  </r>
  <r>
    <n v="59047"/>
    <d v="2011-01-28T00:00:00"/>
    <s v="Not Specified"/>
    <s v="28-Jan-2011"/>
    <n v="10"/>
    <n v="266.94"/>
    <n v="0.09"/>
    <s v="Regular Air"/>
    <n v="19.2"/>
    <n v="28.48"/>
    <n v="1.99"/>
    <s v="Beth Thompson"/>
    <s v="Prince Edward Island"/>
    <x v="0"/>
    <s v="Corporate"/>
    <s v="Technology"/>
    <x v="11"/>
    <x v="27"/>
    <d v="2011-01-28T00:00:00"/>
    <s v="28-Jan-2011"/>
  </r>
  <r>
    <n v="47846"/>
    <d v="2012-08-11T00:00:00"/>
    <s v="High"/>
    <s v="11-Aug-2012"/>
    <n v="37"/>
    <n v="241.14"/>
    <n v="0.08"/>
    <s v="Regular Air"/>
    <n v="-120.08"/>
    <n v="6.68"/>
    <n v="6.93"/>
    <s v="Hilary Holden"/>
    <s v="Prince Edward Island"/>
    <x v="0"/>
    <s v="Corporate"/>
    <s v="Office Supplies"/>
    <x v="12"/>
    <x v="7"/>
    <d v="2012-08-12T00:00:00"/>
    <s v="12-Aug-2012"/>
  </r>
  <r>
    <n v="16100"/>
    <d v="2011-03-07T00:00:00"/>
    <s v="Medium"/>
    <s v="07-Mar-2011"/>
    <n v="44"/>
    <n v="226.18"/>
    <n v="0.01"/>
    <s v="Regular Air"/>
    <n v="-115.54"/>
    <n v="4.82"/>
    <n v="5.72"/>
    <s v="Paul Gonzalez"/>
    <s v="Prince Edward Island"/>
    <x v="0"/>
    <s v="Corporate"/>
    <s v="Furniture"/>
    <x v="7"/>
    <x v="26"/>
    <d v="2011-03-08T00:00:00"/>
    <s v="08-Mar-2011"/>
  </r>
  <r>
    <n v="1187"/>
    <d v="2012-11-19T00:00:00"/>
    <s v="Medium"/>
    <s v="19-Nov-2012"/>
    <n v="14"/>
    <n v="222.91"/>
    <n v="0.05"/>
    <s v="Regular Air"/>
    <n v="20.21"/>
    <n v="15.98"/>
    <n v="4"/>
    <s v="Guy Armstrong"/>
    <s v="Prince Edward Island"/>
    <x v="0"/>
    <s v="Corporate"/>
    <s v="Technology"/>
    <x v="11"/>
    <x v="7"/>
    <d v="2012-11-20T00:00:00"/>
    <s v="20-Nov-2012"/>
  </r>
  <r>
    <n v="32199"/>
    <d v="2009-07-15T00:00:00"/>
    <s v="High"/>
    <s v="15-Jul-2009"/>
    <n v="40"/>
    <n v="196.5"/>
    <n v="0.08"/>
    <s v="Regular Air"/>
    <n v="-99.76"/>
    <n v="4.91"/>
    <n v="4.97"/>
    <s v="Erica Bern"/>
    <s v="Prince Edward Island"/>
    <x v="0"/>
    <s v="Corporate"/>
    <s v="Office Supplies"/>
    <x v="1"/>
    <x v="1"/>
    <d v="2009-07-16T00:00:00"/>
    <s v="16-Jul-2009"/>
  </r>
  <r>
    <n v="13927"/>
    <d v="2009-08-26T00:00:00"/>
    <s v="Low"/>
    <s v="26-Aug-2009"/>
    <n v="26"/>
    <n v="188.05"/>
    <n v="0.04"/>
    <s v="Express Air"/>
    <n v="-21.41"/>
    <n v="6.48"/>
    <n v="5.16"/>
    <s v="Dan Reichenbach"/>
    <s v="Prince Edward Island"/>
    <x v="0"/>
    <s v="Corporate"/>
    <s v="Office Supplies"/>
    <x v="12"/>
    <x v="7"/>
    <d v="2009-09-02T00:00:00"/>
    <s v="02-Sep-2009"/>
  </r>
  <r>
    <n v="19073"/>
    <d v="2009-06-24T00:00:00"/>
    <s v="Not Specified"/>
    <s v="24-Jun-2009"/>
    <n v="16"/>
    <n v="178.4"/>
    <n v="0.04"/>
    <s v="Regular Air"/>
    <n v="20.079999999999998"/>
    <n v="10.64"/>
    <n v="5.16"/>
    <s v="Chuck Magee"/>
    <s v="Prince Edward Island"/>
    <x v="0"/>
    <s v="Corporate"/>
    <s v="Furniture"/>
    <x v="7"/>
    <x v="6"/>
    <d v="2009-06-25T00:00:00"/>
    <s v="25-Jun-2009"/>
  </r>
  <r>
    <n v="47714"/>
    <d v="2011-03-10T00:00:00"/>
    <s v="Medium"/>
    <s v="10-Mar-2011"/>
    <n v="30"/>
    <n v="176.15"/>
    <n v="0.01"/>
    <s v="Regular Air"/>
    <n v="-125.36"/>
    <n v="5.53"/>
    <n v="6.98"/>
    <s v="Philip Brown"/>
    <s v="Prince Edward Island"/>
    <x v="0"/>
    <s v="Corporate"/>
    <s v="Office Supplies"/>
    <x v="1"/>
    <x v="4"/>
    <d v="2011-03-11T00:00:00"/>
    <s v="11-Mar-2011"/>
  </r>
  <r>
    <n v="44387"/>
    <d v="2009-02-04T00:00:00"/>
    <s v="Low"/>
    <s v="04-Feb-2009"/>
    <n v="20"/>
    <n v="173.09"/>
    <n v="0.03"/>
    <s v="Regular Air"/>
    <n v="-6.71"/>
    <n v="8.34"/>
    <n v="4.82"/>
    <s v="Erica Bern"/>
    <s v="Prince Edward Island"/>
    <x v="0"/>
    <s v="Corporate"/>
    <s v="Office Supplies"/>
    <x v="12"/>
    <x v="27"/>
    <d v="2009-02-08T00:00:00"/>
    <s v="08-Feb-2009"/>
  </r>
  <r>
    <n v="19617"/>
    <d v="2012-01-20T00:00:00"/>
    <s v="Low"/>
    <s v="20-Jan-2012"/>
    <n v="3"/>
    <n v="171.96350000000001"/>
    <n v="7.0000000000000007E-2"/>
    <s v="Regular Air"/>
    <n v="-296.37"/>
    <n v="65.989999999999995"/>
    <n v="8.99"/>
    <s v="Jack Lebron"/>
    <s v="Prince Edward Island"/>
    <x v="0"/>
    <s v="Corporate"/>
    <s v="Technology"/>
    <x v="10"/>
    <x v="15"/>
    <d v="2012-01-20T00:00:00"/>
    <s v="20-Jan-2012"/>
  </r>
  <r>
    <n v="40327"/>
    <d v="2011-05-13T00:00:00"/>
    <s v="Medium"/>
    <s v="13-May-2011"/>
    <n v="36"/>
    <n v="152.96"/>
    <n v="0.09"/>
    <s v="Regular Air"/>
    <n v="-123.87"/>
    <n v="4.28"/>
    <n v="5.74"/>
    <s v="Erica Bern"/>
    <s v="Prince Edward Island"/>
    <x v="0"/>
    <s v="Corporate"/>
    <s v="Office Supplies"/>
    <x v="12"/>
    <x v="27"/>
    <d v="2011-05-15T00:00:00"/>
    <s v="15-May-2011"/>
  </r>
  <r>
    <n v="40327"/>
    <d v="2011-05-13T00:00:00"/>
    <s v="Medium"/>
    <s v="13-May-2011"/>
    <n v="42"/>
    <n v="152.55000000000001"/>
    <n v="0.06"/>
    <s v="Regular Air"/>
    <n v="-20.27"/>
    <n v="3.69"/>
    <n v="2.5"/>
    <s v="Erica Bern"/>
    <s v="Prince Edward Island"/>
    <x v="0"/>
    <s v="Corporate"/>
    <s v="Office Supplies"/>
    <x v="15"/>
    <x v="4"/>
    <d v="2011-05-15T00:00:00"/>
    <s v="15-May-2011"/>
  </r>
  <r>
    <n v="45606"/>
    <d v="2011-09-22T00:00:00"/>
    <s v="Medium"/>
    <s v="22-Sep-2011"/>
    <n v="24"/>
    <n v="136.41999999999999"/>
    <n v="0.09"/>
    <s v="Regular Air"/>
    <n v="-8.3800000000000008"/>
    <n v="5.85"/>
    <n v="2.27"/>
    <s v="Jim Sink"/>
    <s v="Prince Edward Island"/>
    <x v="0"/>
    <s v="Corporate"/>
    <s v="Office Supplies"/>
    <x v="13"/>
    <x v="0"/>
    <d v="2011-09-23T00:00:00"/>
    <s v="23-Sep-2011"/>
  </r>
  <r>
    <n v="12773"/>
    <d v="2011-01-11T00:00:00"/>
    <s v="Low"/>
    <s v="11-Jan-2011"/>
    <n v="19"/>
    <n v="130.66999999999999"/>
    <n v="0.05"/>
    <s v="Regular Air"/>
    <n v="-77.180000000000007"/>
    <n v="6.48"/>
    <n v="7.86"/>
    <s v="Greg Guthrie"/>
    <s v="Prince Edward Island"/>
    <x v="0"/>
    <s v="Corporate"/>
    <s v="Office Supplies"/>
    <x v="12"/>
    <x v="7"/>
    <d v="2011-01-16T00:00:00"/>
    <s v="16-Jan-2011"/>
  </r>
  <r>
    <n v="24067"/>
    <d v="2012-08-22T00:00:00"/>
    <s v="High"/>
    <s v="22-Aug-2012"/>
    <n v="19"/>
    <n v="120.56"/>
    <n v="7.0000000000000007E-2"/>
    <s v="Regular Air"/>
    <n v="-79.349999999999994"/>
    <n v="5.98"/>
    <n v="7.5"/>
    <s v="Frank Atkinson"/>
    <s v="Prince Edward Island"/>
    <x v="0"/>
    <s v="Corporate"/>
    <s v="Office Supplies"/>
    <x v="12"/>
    <x v="27"/>
    <d v="2012-08-23T00:00:00"/>
    <s v="23-Aug-2012"/>
  </r>
  <r>
    <n v="35300"/>
    <d v="2010-03-02T00:00:00"/>
    <s v="Medium"/>
    <s v="02-Mar-2010"/>
    <n v="13"/>
    <n v="119.03"/>
    <n v="0.06"/>
    <s v="Regular Air"/>
    <n v="29.62"/>
    <n v="8.9499999999999993"/>
    <n v="2.0099999999999998"/>
    <s v="Dan Reichenbach"/>
    <s v="Prince Edward Island"/>
    <x v="0"/>
    <s v="Corporate"/>
    <s v="Office Supplies"/>
    <x v="12"/>
    <x v="4"/>
    <d v="2010-03-03T00:00:00"/>
    <s v="03-Mar-2010"/>
  </r>
  <r>
    <n v="19073"/>
    <d v="2009-06-24T00:00:00"/>
    <s v="Not Specified"/>
    <s v="24-Jun-2009"/>
    <n v="40"/>
    <n v="115.01"/>
    <n v="0.03"/>
    <s v="Express Air"/>
    <n v="5.81"/>
    <n v="2.78"/>
    <n v="1.34"/>
    <s v="Chuck Magee"/>
    <s v="Prince Edward Island"/>
    <x v="0"/>
    <s v="Corporate"/>
    <s v="Office Supplies"/>
    <x v="13"/>
    <x v="45"/>
    <d v="2009-06-26T00:00:00"/>
    <s v="26-Jun-2009"/>
  </r>
  <r>
    <n v="59047"/>
    <d v="2011-01-28T00:00:00"/>
    <s v="Not Specified"/>
    <s v="28-Jan-2011"/>
    <n v="26"/>
    <n v="113.85"/>
    <n v="0.06"/>
    <s v="Regular Air"/>
    <n v="-93.93"/>
    <n v="4.1399999999999997"/>
    <n v="6.6"/>
    <s v="Beth Thompson"/>
    <s v="Prince Edward Island"/>
    <x v="0"/>
    <s v="Corporate"/>
    <s v="Furniture"/>
    <x v="7"/>
    <x v="19"/>
    <d v="2011-01-30T00:00:00"/>
    <s v="30-Jan-2011"/>
  </r>
  <r>
    <n v="11968"/>
    <d v="2011-03-16T00:00:00"/>
    <s v="Low"/>
    <s v="16-Mar-2011"/>
    <n v="31"/>
    <n v="109.49"/>
    <n v="0.04"/>
    <s v="Regular Air"/>
    <n v="26.09"/>
    <n v="3.38"/>
    <n v="0.85"/>
    <s v="Christopher Schild"/>
    <s v="Prince Edward Island"/>
    <x v="0"/>
    <s v="Corporate"/>
    <s v="Office Supplies"/>
    <x v="13"/>
    <x v="23"/>
    <d v="2011-03-16T00:00:00"/>
    <s v="16-Mar-2011"/>
  </r>
  <r>
    <n v="40800"/>
    <d v="2010-12-04T00:00:00"/>
    <s v="Not Specified"/>
    <s v="04-Dec-2010"/>
    <n v="18"/>
    <n v="101.34"/>
    <n v="0.06"/>
    <s v="Regular Air"/>
    <n v="26.11"/>
    <n v="5.68"/>
    <n v="1.39"/>
    <s v="Jim Sink"/>
    <s v="Prince Edward Island"/>
    <x v="0"/>
    <s v="Corporate"/>
    <s v="Office Supplies"/>
    <x v="15"/>
    <x v="1"/>
    <d v="2010-12-06T00:00:00"/>
    <s v="06-Dec-2010"/>
  </r>
  <r>
    <n v="12934"/>
    <d v="2009-03-05T00:00:00"/>
    <s v="Not Specified"/>
    <s v="05-Mar-2009"/>
    <n v="27"/>
    <n v="96.99"/>
    <n v="0.02"/>
    <s v="Express Air"/>
    <n v="-66.349999999999994"/>
    <n v="3.28"/>
    <n v="3.97"/>
    <s v="Guy Armstrong"/>
    <s v="Prince Edward Island"/>
    <x v="0"/>
    <s v="Corporate"/>
    <s v="Office Supplies"/>
    <x v="13"/>
    <x v="0"/>
    <d v="2009-03-06T00:00:00"/>
    <s v="06-Mar-2009"/>
  </r>
  <r>
    <n v="12773"/>
    <d v="2011-01-11T00:00:00"/>
    <s v="Low"/>
    <s v="11-Jan-2011"/>
    <n v="21"/>
    <n v="77.62"/>
    <n v="0.01"/>
    <s v="Regular Air"/>
    <n v="-50.88"/>
    <n v="3.28"/>
    <n v="3.97"/>
    <s v="Greg Guthrie"/>
    <s v="Prince Edward Island"/>
    <x v="0"/>
    <s v="Corporate"/>
    <s v="Office Supplies"/>
    <x v="13"/>
    <x v="0"/>
    <d v="2011-01-16T00:00:00"/>
    <s v="16-Jan-2011"/>
  </r>
  <r>
    <n v="25376"/>
    <d v="2011-03-26T00:00:00"/>
    <s v="Critical"/>
    <s v="26-Mar-2011"/>
    <n v="12"/>
    <n v="76.61"/>
    <n v="0.09"/>
    <s v="Regular Air"/>
    <n v="-31.83"/>
    <n v="6.28"/>
    <n v="5.29"/>
    <s v="Greg Guthrie"/>
    <s v="Prince Edward Island"/>
    <x v="0"/>
    <s v="Corporate"/>
    <s v="Furniture"/>
    <x v="7"/>
    <x v="21"/>
    <d v="2011-03-27T00:00:00"/>
    <s v="27-Mar-2011"/>
  </r>
  <r>
    <n v="12773"/>
    <d v="2011-01-11T00:00:00"/>
    <s v="Low"/>
    <s v="11-Jan-2011"/>
    <n v="15"/>
    <n v="67.41"/>
    <n v="0.04"/>
    <s v="Regular Air"/>
    <n v="-49.6"/>
    <n v="4.1399999999999997"/>
    <n v="6.6"/>
    <s v="Greg Guthrie"/>
    <s v="Prince Edward Island"/>
    <x v="0"/>
    <s v="Corporate"/>
    <s v="Furniture"/>
    <x v="7"/>
    <x v="19"/>
    <d v="2011-01-20T00:00:00"/>
    <s v="20-Jan-2011"/>
  </r>
  <r>
    <n v="47846"/>
    <d v="2012-08-11T00:00:00"/>
    <s v="High"/>
    <s v="11-Aug-2012"/>
    <n v="5"/>
    <n v="66.430000000000007"/>
    <n v="0.01"/>
    <s v="Regular Air"/>
    <n v="-9.4499999999999993"/>
    <n v="10.68"/>
    <n v="13.04"/>
    <s v="Hilary Holden"/>
    <s v="Prince Edward Island"/>
    <x v="0"/>
    <s v="Corporate"/>
    <s v="Furniture"/>
    <x v="7"/>
    <x v="18"/>
    <d v="2012-08-13T00:00:00"/>
    <s v="13-Aug-2012"/>
  </r>
  <r>
    <n v="11362"/>
    <d v="2012-09-10T00:00:00"/>
    <s v="Low"/>
    <s v="10-Sep-2012"/>
    <n v="27"/>
    <n v="63.02"/>
    <n v="7.0000000000000007E-2"/>
    <s v="Regular Air"/>
    <n v="-119.66"/>
    <n v="2.1800000000000002"/>
    <n v="5"/>
    <s v="Hilary Holden"/>
    <s v="Prince Edward Island"/>
    <x v="0"/>
    <s v="Corporate"/>
    <s v="Office Supplies"/>
    <x v="14"/>
    <x v="43"/>
    <d v="2012-09-12T00:00:00"/>
    <s v="12-Sep-2012"/>
  </r>
  <r>
    <n v="38310"/>
    <d v="2012-04-14T00:00:00"/>
    <s v="High"/>
    <s v="14-Apr-2012"/>
    <n v="4"/>
    <n v="62.45"/>
    <n v="0.08"/>
    <s v="Regular Air"/>
    <n v="-141.76"/>
    <n v="3.48"/>
    <n v="49"/>
    <s v="Jack Lebron"/>
    <s v="Prince Edward Island"/>
    <x v="0"/>
    <s v="Corporate"/>
    <s v="Office Supplies"/>
    <x v="5"/>
    <x v="14"/>
    <d v="2012-04-17T00:00:00"/>
    <s v="17-Apr-2012"/>
  </r>
  <r>
    <n v="58150"/>
    <d v="2010-05-07T00:00:00"/>
    <s v="Critical"/>
    <s v="07-May-2010"/>
    <n v="24"/>
    <n v="60.36"/>
    <n v="0.03"/>
    <s v="Regular Air"/>
    <n v="-119.62"/>
    <n v="2.16"/>
    <n v="6.05"/>
    <s v="Susan Vittorini"/>
    <s v="Prince Edward Island"/>
    <x v="0"/>
    <s v="Corporate"/>
    <s v="Office Supplies"/>
    <x v="1"/>
    <x v="7"/>
    <d v="2010-05-07T00:00:00"/>
    <s v="07-May-2010"/>
  </r>
  <r>
    <n v="4454"/>
    <d v="2009-02-01T00:00:00"/>
    <s v="Low"/>
    <s v="01-Feb-2009"/>
    <n v="17"/>
    <n v="55.45"/>
    <n v="0.01"/>
    <s v="Regular Air"/>
    <n v="21.42"/>
    <n v="3.08"/>
    <n v="0.5"/>
    <s v="Erica Bern"/>
    <s v="Prince Edward Island"/>
    <x v="0"/>
    <s v="Corporate"/>
    <s v="Office Supplies"/>
    <x v="9"/>
    <x v="7"/>
    <d v="2009-02-06T00:00:00"/>
    <s v="06-Feb-2009"/>
  </r>
  <r>
    <n v="32199"/>
    <d v="2009-07-15T00:00:00"/>
    <s v="High"/>
    <s v="15-Jul-2009"/>
    <n v="8"/>
    <n v="46.97"/>
    <n v="0.03"/>
    <s v="Regular Air"/>
    <n v="-0.01"/>
    <n v="5.84"/>
    <n v="1.2"/>
    <s v="Erica Bern"/>
    <s v="Prince Edward Island"/>
    <x v="0"/>
    <s v="Corporate"/>
    <s v="Office Supplies"/>
    <x v="13"/>
    <x v="20"/>
    <d v="2009-07-17T00:00:00"/>
    <s v="17-Jul-2009"/>
  </r>
  <r>
    <n v="59651"/>
    <d v="2010-05-20T00:00:00"/>
    <s v="Critical"/>
    <s v="20-May-2010"/>
    <n v="18"/>
    <n v="45.8"/>
    <n v="0.04"/>
    <s v="Regular Air"/>
    <n v="-52.92"/>
    <n v="2.23"/>
    <n v="4.57"/>
    <s v="Brendan Dodson"/>
    <s v="Prince Edward Island"/>
    <x v="0"/>
    <s v="Corporate"/>
    <s v="Furniture"/>
    <x v="7"/>
    <x v="25"/>
    <d v="2010-05-22T00:00:00"/>
    <s v="22-May-2010"/>
  </r>
  <r>
    <n v="46756"/>
    <d v="2009-10-11T00:00:00"/>
    <s v="Medium"/>
    <s v="11-Oct-2009"/>
    <n v="3"/>
    <n v="33.64"/>
    <n v="0.01"/>
    <s v="Regular Air"/>
    <n v="-22.45"/>
    <n v="7.28"/>
    <n v="11.15"/>
    <s v="Chuck Magee"/>
    <s v="Prince Edward Island"/>
    <x v="0"/>
    <s v="Corporate"/>
    <s v="Office Supplies"/>
    <x v="12"/>
    <x v="7"/>
    <d v="2009-10-13T00:00:00"/>
    <s v="13-Oct-2009"/>
  </r>
  <r>
    <n v="35300"/>
    <d v="2010-03-02T00:00:00"/>
    <s v="Medium"/>
    <s v="02-Mar-2010"/>
    <n v="10"/>
    <n v="28.81"/>
    <n v="0.02"/>
    <s v="Regular Air"/>
    <n v="7.15"/>
    <n v="2.89"/>
    <n v="0.49"/>
    <s v="Dan Reichenbach"/>
    <s v="Prince Edward Island"/>
    <x v="0"/>
    <s v="Corporate"/>
    <s v="Office Supplies"/>
    <x v="9"/>
    <x v="1"/>
    <d v="2010-03-03T00:00:00"/>
    <s v="03-Mar-2010"/>
  </r>
  <r>
    <n v="34048"/>
    <d v="2011-03-28T00:00:00"/>
    <s v="Low"/>
    <s v="28-Mar-2011"/>
    <n v="1"/>
    <n v="26.68"/>
    <n v="0.04"/>
    <s v="Regular Air"/>
    <n v="-10.74"/>
    <n v="22.23"/>
    <n v="3.63"/>
    <s v="Christopher Schild"/>
    <s v="Prince Edward Island"/>
    <x v="0"/>
    <s v="Corporate"/>
    <s v="Furniture"/>
    <x v="7"/>
    <x v="24"/>
    <d v="2011-03-30T00:00:00"/>
    <s v="30-Mar-2011"/>
  </r>
  <r>
    <n v="37185"/>
    <d v="2012-10-31T00:00:00"/>
    <s v="High"/>
    <s v="31-Oct-2012"/>
    <n v="8"/>
    <n v="23.19"/>
    <n v="0.02"/>
    <s v="Regular Air"/>
    <n v="-13.27"/>
    <n v="2.6"/>
    <n v="2.4"/>
    <s v="Guy Armstrong"/>
    <s v="Prince Edward Island"/>
    <x v="0"/>
    <s v="Corporate"/>
    <s v="Office Supplies"/>
    <x v="13"/>
    <x v="15"/>
    <d v="2012-11-01T00:00:00"/>
    <s v="01-Nov-2012"/>
  </r>
  <r>
    <n v="12773"/>
    <d v="2011-01-11T00:00:00"/>
    <s v="Low"/>
    <s v="11-Jan-2011"/>
    <n v="6"/>
    <n v="17"/>
    <n v="7.0000000000000007E-2"/>
    <s v="Regular Air"/>
    <n v="-4.6100000000000003"/>
    <n v="2.78"/>
    <n v="1.49"/>
    <s v="Greg Guthrie"/>
    <s v="Prince Edward Island"/>
    <x v="0"/>
    <s v="Corporate"/>
    <s v="Office Supplies"/>
    <x v="1"/>
    <x v="4"/>
    <d v="2011-01-13T00:00:00"/>
    <s v="13-Jan-2011"/>
  </r>
  <r>
    <n v="32869"/>
    <d v="2009-03-27T00:00:00"/>
    <s v="Medium"/>
    <s v="27-Mar-2009"/>
    <n v="2"/>
    <n v="15.26"/>
    <n v="0.01"/>
    <s v="Regular Air"/>
    <n v="-7.51"/>
    <n v="6.68"/>
    <n v="1.5"/>
    <s v="Christopher Schild"/>
    <s v="Prince Edward Island"/>
    <x v="0"/>
    <s v="Corporate"/>
    <s v="Office Supplies"/>
    <x v="13"/>
    <x v="23"/>
    <d v="2009-03-28T00:00:00"/>
    <s v="28-Mar-2009"/>
  </r>
  <r>
    <n v="30372"/>
    <d v="2010-08-30T00:00:00"/>
    <s v="High"/>
    <s v="30-Aug-2010"/>
    <n v="1"/>
    <n v="14.4"/>
    <n v="0.1"/>
    <s v="Regular Air"/>
    <n v="-7.39"/>
    <n v="12.22"/>
    <n v="2.85"/>
    <s v="Christopher Schild"/>
    <s v="Prince Edward Island"/>
    <x v="0"/>
    <s v="Corporate"/>
    <s v="Furniture"/>
    <x v="7"/>
    <x v="20"/>
    <d v="2010-09-01T00:00:00"/>
    <s v="01-Sep-2010"/>
  </r>
  <r>
    <n v="58368"/>
    <d v="2012-07-09T00:00:00"/>
    <s v="High"/>
    <s v="09-Jul-2012"/>
    <n v="4"/>
    <n v="14.23"/>
    <n v="0"/>
    <s v="Regular Air"/>
    <n v="-4.43"/>
    <n v="2.08"/>
    <n v="5.33"/>
    <s v="Doug Bickford"/>
    <s v="Prince Edward Island"/>
    <x v="0"/>
    <s v="Corporate"/>
    <s v="Furniture"/>
    <x v="7"/>
    <x v="21"/>
    <d v="2012-07-11T00:00:00"/>
    <s v="11-Jul-2012"/>
  </r>
  <r>
    <n v="12419"/>
    <d v="2011-10-15T00:00:00"/>
    <s v="Critical"/>
    <s v="15-Oct-2011"/>
    <n v="12"/>
    <n v="22079.47"/>
    <n v="0.06"/>
    <s v="Regular Air"/>
    <n v="5322.14"/>
    <n v="1938.02"/>
    <n v="13.99"/>
    <s v="Sylvia Foulston"/>
    <s v="Northwest Territories"/>
    <x v="1"/>
    <s v="Corporate"/>
    <s v="Technology"/>
    <x v="0"/>
    <x v="1"/>
    <d v="2011-10-17T00:00:00"/>
    <s v="17-Oct-2011"/>
  </r>
  <r>
    <n v="39364"/>
    <d v="2012-11-09T00:00:00"/>
    <s v="High"/>
    <s v="09-Nov-2012"/>
    <n v="15"/>
    <n v="19417.55"/>
    <n v="0.03"/>
    <s v="Regular Air"/>
    <n v="8417.57"/>
    <n v="1270.99"/>
    <n v="19.989999999999998"/>
    <s v="Jamie Kunitz"/>
    <s v="Northwest Territories"/>
    <x v="1"/>
    <s v="Corporate"/>
    <s v="Office Supplies"/>
    <x v="1"/>
    <x v="2"/>
    <d v="2012-11-11T00:00:00"/>
    <s v="11-Nov-2012"/>
  </r>
  <r>
    <n v="27553"/>
    <d v="2011-08-12T00:00:00"/>
    <s v="Medium"/>
    <s v="12-Aug-2011"/>
    <n v="48"/>
    <n v="18235.47"/>
    <n v="0.03"/>
    <s v="Delivery Truck"/>
    <n v="1166.93"/>
    <n v="370.98"/>
    <n v="99"/>
    <s v="Jim Radford"/>
    <s v="Northwest Territories"/>
    <x v="1"/>
    <s v="Corporate"/>
    <s v="Office Supplies"/>
    <x v="4"/>
    <x v="38"/>
    <d v="2011-08-14T00:00:00"/>
    <s v="14-Aug-2011"/>
  </r>
  <r>
    <n v="30658"/>
    <d v="2011-03-26T00:00:00"/>
    <s v="Medium"/>
    <s v="26-Mar-2011"/>
    <n v="35"/>
    <n v="17387.650000000001"/>
    <n v="0.08"/>
    <s v="Regular Air"/>
    <n v="6907.61"/>
    <n v="499.99"/>
    <n v="24.49"/>
    <s v="Charles McCrossin"/>
    <s v="Northwest Territories"/>
    <x v="1"/>
    <s v="Corporate"/>
    <s v="Technology"/>
    <x v="6"/>
    <x v="10"/>
    <d v="2011-03-27T00:00:00"/>
    <s v="27-Mar-2011"/>
  </r>
  <r>
    <n v="44519"/>
    <d v="2010-05-19T00:00:00"/>
    <s v="High"/>
    <s v="19-May-2010"/>
    <n v="34"/>
    <n v="16073.03"/>
    <n v="0.01"/>
    <s v="Delivery Truck"/>
    <n v="5386.32"/>
    <n v="442.14"/>
    <n v="14.7"/>
    <s v="Dorothy Wardle"/>
    <s v="Northwest Territories"/>
    <x v="1"/>
    <s v="Corporate"/>
    <s v="Technology"/>
    <x v="0"/>
    <x v="0"/>
    <d v="2010-05-20T00:00:00"/>
    <s v="20-May-2010"/>
  </r>
  <r>
    <n v="34631"/>
    <d v="2009-10-23T00:00:00"/>
    <s v="Not Specified"/>
    <s v="23-Oct-2009"/>
    <n v="19"/>
    <n v="12616.2"/>
    <n v="7.0000000000000007E-2"/>
    <s v="Regular Air"/>
    <n v="2808.22"/>
    <n v="699.99"/>
    <n v="24.49"/>
    <s v="Brendan Dodson"/>
    <s v="Northwest Territories"/>
    <x v="1"/>
    <s v="Corporate"/>
    <s v="Technology"/>
    <x v="6"/>
    <x v="25"/>
    <d v="2009-10-25T00:00:00"/>
    <s v="25-Oct-2009"/>
  </r>
  <r>
    <n v="16547"/>
    <d v="2009-02-18T00:00:00"/>
    <s v="Not Specified"/>
    <s v="18-Feb-2009"/>
    <n v="30"/>
    <n v="10554.63"/>
    <n v="0.09"/>
    <s v="Delivery Truck"/>
    <n v="1240.25"/>
    <n v="355.98"/>
    <n v="58.92"/>
    <s v="Nicole Hansen"/>
    <s v="Northwest Territories"/>
    <x v="1"/>
    <s v="Corporate"/>
    <s v="Furniture"/>
    <x v="2"/>
    <x v="28"/>
    <d v="2009-02-20T00:00:00"/>
    <s v="20-Feb-2009"/>
  </r>
  <r>
    <n v="9927"/>
    <d v="2011-08-16T00:00:00"/>
    <s v="High"/>
    <s v="16-Aug-2011"/>
    <n v="44"/>
    <n v="10087.6"/>
    <n v="0.01"/>
    <s v="Regular Air"/>
    <n v="3387.35"/>
    <n v="218.08"/>
    <n v="18.059999999999999"/>
    <s v="Grant Carroll"/>
    <s v="Northwest Territories"/>
    <x v="1"/>
    <s v="Corporate"/>
    <s v="Furniture"/>
    <x v="2"/>
    <x v="6"/>
    <d v="2011-08-17T00:00:00"/>
    <s v="17-Aug-2011"/>
  </r>
  <r>
    <n v="24743"/>
    <d v="2012-06-28T00:00:00"/>
    <s v="Low"/>
    <s v="28-Jun-2012"/>
    <n v="47"/>
    <n v="9633.59"/>
    <n v="0.06"/>
    <s v="Delivery Truck"/>
    <n v="176.67"/>
    <n v="216.6"/>
    <n v="64.2"/>
    <s v="Sylvia Foulston"/>
    <s v="Northwest Territories"/>
    <x v="1"/>
    <s v="Corporate"/>
    <s v="Furniture"/>
    <x v="2"/>
    <x v="14"/>
    <d v="2012-07-05T00:00:00"/>
    <s v="05-Jul-2012"/>
  </r>
  <r>
    <n v="42209"/>
    <d v="2010-03-29T00:00:00"/>
    <s v="High"/>
    <s v="29-Mar-2010"/>
    <n v="31"/>
    <n v="8901.7800000000007"/>
    <n v="0.04"/>
    <s v="Regular Air"/>
    <n v="2795.36"/>
    <n v="276.2"/>
    <n v="24.49"/>
    <s v="Alan Barnes"/>
    <s v="Northwest Territories"/>
    <x v="1"/>
    <s v="Corporate"/>
    <s v="Furniture"/>
    <x v="2"/>
    <x v="49"/>
    <d v="2010-04-01T00:00:00"/>
    <s v="01-Apr-2010"/>
  </r>
  <r>
    <n v="50914"/>
    <d v="2012-07-03T00:00:00"/>
    <s v="Critical"/>
    <s v="03-Jul-2012"/>
    <n v="49"/>
    <n v="8551.5439999999999"/>
    <n v="0.03"/>
    <s v="Regular Air"/>
    <n v="2763.13"/>
    <n v="195.99"/>
    <n v="8.99"/>
    <s v="Carlos Daly"/>
    <s v="Northwest Territories"/>
    <x v="1"/>
    <s v="Corporate"/>
    <s v="Technology"/>
    <x v="10"/>
    <x v="15"/>
    <d v="2012-07-03T00:00:00"/>
    <s v="03-Jul-2012"/>
  </r>
  <r>
    <n v="39683"/>
    <d v="2011-08-10T00:00:00"/>
    <s v="High"/>
    <s v="10-Aug-2011"/>
    <n v="41"/>
    <n v="8387.1"/>
    <n v="0.1"/>
    <s v="Regular Air"/>
    <n v="2113.9499999999998"/>
    <n v="218.08"/>
    <n v="18.059999999999999"/>
    <s v="Jeremy Lonsdale"/>
    <s v="Northwest Territories"/>
    <x v="1"/>
    <s v="Corporate"/>
    <s v="Furniture"/>
    <x v="2"/>
    <x v="6"/>
    <d v="2011-08-11T00:00:00"/>
    <s v="11-Aug-2011"/>
  </r>
  <r>
    <n v="31270"/>
    <d v="2012-11-23T00:00:00"/>
    <s v="Medium"/>
    <s v="23-Nov-2012"/>
    <n v="21"/>
    <n v="6806.66"/>
    <n v="0"/>
    <s v="Delivery Truck"/>
    <n v="801.72"/>
    <n v="299.05"/>
    <n v="87.01"/>
    <s v="Michelle Lonsdale"/>
    <s v="Northwest Territories"/>
    <x v="1"/>
    <s v="Corporate"/>
    <s v="Furniture"/>
    <x v="2"/>
    <x v="6"/>
    <d v="2012-11-24T00:00:00"/>
    <s v="24-Nov-2012"/>
  </r>
  <r>
    <n v="24128"/>
    <d v="2010-11-23T00:00:00"/>
    <s v="High"/>
    <s v="23-Nov-2010"/>
    <n v="43"/>
    <n v="6583.9129999999996"/>
    <n v="0.09"/>
    <s v="Regular Air"/>
    <n v="1459.79"/>
    <n v="195.99"/>
    <n v="3.99"/>
    <s v="Eugene Barchas"/>
    <s v="Northwest Territories"/>
    <x v="1"/>
    <s v="Corporate"/>
    <s v="Technology"/>
    <x v="10"/>
    <x v="14"/>
    <d v="2010-11-25T00:00:00"/>
    <s v="25-Nov-2010"/>
  </r>
  <r>
    <n v="10499"/>
    <d v="2010-11-16T00:00:00"/>
    <s v="Not Specified"/>
    <s v="16-Nov-2010"/>
    <n v="29"/>
    <n v="6250.9359999999997"/>
    <n v="0.01"/>
    <s v="Delivery Truck"/>
    <n v="31.21"/>
    <n v="262.11"/>
    <n v="62.74"/>
    <s v="Doug Bickford"/>
    <s v="Northwest Territories"/>
    <x v="1"/>
    <s v="Corporate"/>
    <s v="Furniture"/>
    <x v="3"/>
    <x v="16"/>
    <d v="2010-11-17T00:00:00"/>
    <s v="17-Nov-2010"/>
  </r>
  <r>
    <n v="16706"/>
    <d v="2012-06-27T00:00:00"/>
    <s v="High"/>
    <s v="27-Jun-2012"/>
    <n v="49"/>
    <n v="6175.777"/>
    <n v="7.0000000000000007E-2"/>
    <s v="Express Air"/>
    <n v="1881.58"/>
    <n v="155.99"/>
    <n v="3.9"/>
    <s v="Beth Thompson"/>
    <s v="Northwest Territories"/>
    <x v="1"/>
    <s v="Corporate"/>
    <s v="Technology"/>
    <x v="10"/>
    <x v="20"/>
    <d v="2012-06-29T00:00:00"/>
    <s v="29-Jun-2012"/>
  </r>
  <r>
    <n v="26567"/>
    <d v="2009-09-04T00:00:00"/>
    <s v="Critical"/>
    <s v="04-Sep-2009"/>
    <n v="48"/>
    <n v="6109.817"/>
    <n v="0.04"/>
    <s v="Regular Air"/>
    <n v="1374.95"/>
    <n v="155.99"/>
    <n v="8.08"/>
    <s v="Sylvia Foulston"/>
    <s v="Northwest Territories"/>
    <x v="1"/>
    <s v="Corporate"/>
    <s v="Technology"/>
    <x v="10"/>
    <x v="18"/>
    <d v="2009-09-05T00:00:00"/>
    <s v="05-Sep-2009"/>
  </r>
  <r>
    <n v="33123"/>
    <d v="2010-11-24T00:00:00"/>
    <s v="Medium"/>
    <s v="24-Nov-2010"/>
    <n v="41"/>
    <n v="6045.98"/>
    <n v="0.08"/>
    <s v="Delivery Truck"/>
    <n v="-996.67"/>
    <n v="150.97999999999999"/>
    <n v="66.27"/>
    <s v="Roy Skaria"/>
    <s v="Northwest Territories"/>
    <x v="1"/>
    <s v="Corporate"/>
    <s v="Furniture"/>
    <x v="8"/>
    <x v="38"/>
    <d v="2010-11-26T00:00:00"/>
    <s v="26-Nov-2010"/>
  </r>
  <r>
    <n v="30658"/>
    <d v="2011-03-26T00:00:00"/>
    <s v="Medium"/>
    <s v="26-Mar-2011"/>
    <n v="44"/>
    <n v="6040.22"/>
    <n v="0.05"/>
    <s v="Regular Air"/>
    <n v="-942.5"/>
    <n v="138.13999999999999"/>
    <n v="35"/>
    <s v="Charles McCrossin"/>
    <s v="Northwest Territories"/>
    <x v="1"/>
    <s v="Corporate"/>
    <s v="Office Supplies"/>
    <x v="4"/>
    <x v="49"/>
    <d v="2011-03-28T00:00:00"/>
    <s v="28-Mar-2011"/>
  </r>
  <r>
    <n v="35266"/>
    <d v="2011-01-10T00:00:00"/>
    <s v="Not Specified"/>
    <s v="10-Jan-2011"/>
    <n v="28"/>
    <n v="5993.74"/>
    <n v="7.0000000000000007E-2"/>
    <s v="Delivery Truck"/>
    <n v="-998.94"/>
    <n v="218.75"/>
    <n v="69.64"/>
    <s v="Beth Thompson"/>
    <s v="Northwest Territories"/>
    <x v="1"/>
    <s v="Corporate"/>
    <s v="Furniture"/>
    <x v="3"/>
    <x v="36"/>
    <d v="2011-01-12T00:00:00"/>
    <s v="12-Jan-2011"/>
  </r>
  <r>
    <n v="27392"/>
    <d v="2012-03-02T00:00:00"/>
    <s v="Low"/>
    <s v="02-Mar-2012"/>
    <n v="37"/>
    <n v="5753.85"/>
    <n v="0"/>
    <s v="Regular Air"/>
    <n v="2509.52"/>
    <n v="150.97999999999999"/>
    <n v="13.99"/>
    <s v="Frank Price"/>
    <s v="Northwest Territories"/>
    <x v="1"/>
    <s v="Corporate"/>
    <s v="Technology"/>
    <x v="0"/>
    <x v="1"/>
    <d v="2012-03-11T00:00:00"/>
    <s v="11-Mar-2012"/>
  </r>
  <r>
    <n v="52964"/>
    <d v="2010-03-31T00:00:00"/>
    <s v="Critical"/>
    <s v="31-Mar-2010"/>
    <n v="44"/>
    <n v="5735.79"/>
    <n v="0.08"/>
    <s v="Regular Air"/>
    <n v="828.27"/>
    <n v="136.97999999999999"/>
    <n v="24.49"/>
    <s v="Jim Radford"/>
    <s v="Northwest Territories"/>
    <x v="1"/>
    <s v="Corporate"/>
    <s v="Furniture"/>
    <x v="7"/>
    <x v="14"/>
    <d v="2010-04-01T00:00:00"/>
    <s v="01-Apr-2010"/>
  </r>
  <r>
    <n v="14372"/>
    <d v="2012-10-23T00:00:00"/>
    <s v="Critical"/>
    <s v="23-Oct-2012"/>
    <n v="34"/>
    <n v="5350.61"/>
    <n v="0.09"/>
    <s v="Delivery Truck"/>
    <n v="-1059.2"/>
    <n v="170.98"/>
    <n v="60.49"/>
    <s v="Beth Thompson"/>
    <s v="Northwest Territories"/>
    <x v="1"/>
    <s v="Corporate"/>
    <s v="Furniture"/>
    <x v="8"/>
    <x v="39"/>
    <d v="2012-10-25T00:00:00"/>
    <s v="25-Oct-2012"/>
  </r>
  <r>
    <n v="12929"/>
    <d v="2010-08-30T00:00:00"/>
    <s v="Critical"/>
    <s v="30-Aug-2010"/>
    <n v="19"/>
    <n v="5297.47"/>
    <n v="0.02"/>
    <s v="Delivery Truck"/>
    <n v="-158.93"/>
    <n v="270.98"/>
    <n v="50"/>
    <s v="Jim Radford"/>
    <s v="Northwest Territories"/>
    <x v="1"/>
    <s v="Corporate"/>
    <s v="Furniture"/>
    <x v="2"/>
    <x v="36"/>
    <d v="2010-08-31T00:00:00"/>
    <s v="31-Aug-2010"/>
  </r>
  <r>
    <n v="18308"/>
    <d v="2009-10-09T00:00:00"/>
    <s v="Not Specified"/>
    <s v="09-Oct-2009"/>
    <n v="49"/>
    <n v="5247.4835000000003"/>
    <n v="0"/>
    <s v="Regular Air"/>
    <n v="1465.87"/>
    <n v="125.99"/>
    <n v="8.08"/>
    <s v="Ann Chong"/>
    <s v="Northwest Territories"/>
    <x v="1"/>
    <s v="Corporate"/>
    <s v="Technology"/>
    <x v="10"/>
    <x v="6"/>
    <d v="2009-10-10T00:00:00"/>
    <s v="10-Oct-2009"/>
  </r>
  <r>
    <n v="27778"/>
    <d v="2011-09-02T00:00:00"/>
    <s v="Critical"/>
    <s v="02-Sep-2011"/>
    <n v="34"/>
    <n v="4805.92"/>
    <n v="7.0000000000000007E-2"/>
    <s v="Delivery Truck"/>
    <n v="-393.96"/>
    <n v="140.97999999999999"/>
    <n v="36.090000000000003"/>
    <s v="Roy Skaria"/>
    <s v="Northwest Territories"/>
    <x v="1"/>
    <s v="Corporate"/>
    <s v="Furniture"/>
    <x v="8"/>
    <x v="36"/>
    <d v="2011-09-04T00:00:00"/>
    <s v="04-Sep-2011"/>
  </r>
  <r>
    <n v="40132"/>
    <d v="2012-02-23T00:00:00"/>
    <s v="Low"/>
    <s v="23-Feb-2012"/>
    <n v="36"/>
    <n v="4698.5"/>
    <n v="0.04"/>
    <s v="Delivery Truck"/>
    <n v="-219.38"/>
    <n v="124.49"/>
    <n v="51.94"/>
    <s v="Hunter Glantz"/>
    <s v="Northwest Territories"/>
    <x v="1"/>
    <s v="Corporate"/>
    <s v="Furniture"/>
    <x v="3"/>
    <x v="50"/>
    <d v="2012-02-29T00:00:00"/>
    <s v="29-Feb-2012"/>
  </r>
  <r>
    <n v="26531"/>
    <d v="2011-06-20T00:00:00"/>
    <s v="Medium"/>
    <s v="20-Jun-2011"/>
    <n v="26"/>
    <n v="4688.9485000000004"/>
    <n v="0"/>
    <s v="Regular Air"/>
    <n v="1215.44"/>
    <n v="205.99"/>
    <n v="5.26"/>
    <s v="Michelle Lonsdale"/>
    <s v="Northwest Territories"/>
    <x v="1"/>
    <s v="Corporate"/>
    <s v="Technology"/>
    <x v="10"/>
    <x v="0"/>
    <d v="2011-06-22T00:00:00"/>
    <s v="22-Jun-2011"/>
  </r>
  <r>
    <n v="26182"/>
    <d v="2010-01-16T00:00:00"/>
    <s v="Not Specified"/>
    <s v="16-Jan-2010"/>
    <n v="30"/>
    <n v="4684.8999999999996"/>
    <n v="0.01"/>
    <s v="Delivery Truck"/>
    <n v="-549.27"/>
    <n v="150.97999999999999"/>
    <n v="66.27"/>
    <s v="Doug Bickford"/>
    <s v="Northwest Territories"/>
    <x v="1"/>
    <s v="Corporate"/>
    <s v="Furniture"/>
    <x v="8"/>
    <x v="38"/>
    <d v="2010-01-19T00:00:00"/>
    <s v="19-Jan-2010"/>
  </r>
  <r>
    <n v="11941"/>
    <d v="2010-06-24T00:00:00"/>
    <s v="Critical"/>
    <s v="24-Jun-2010"/>
    <n v="26"/>
    <n v="4679.1000000000004"/>
    <n v="0.05"/>
    <s v="Delivery Truck"/>
    <n v="111.52"/>
    <n v="179.29"/>
    <n v="29.21"/>
    <s v="Jamie Kunitz"/>
    <s v="Northwest Territories"/>
    <x v="1"/>
    <s v="Corporate"/>
    <s v="Furniture"/>
    <x v="3"/>
    <x v="37"/>
    <d v="2010-06-25T00:00:00"/>
    <s v="25-Jun-2010"/>
  </r>
  <r>
    <n v="9927"/>
    <d v="2011-08-16T00:00:00"/>
    <s v="High"/>
    <s v="16-Aug-2011"/>
    <n v="32"/>
    <n v="4655.07"/>
    <n v="0"/>
    <s v="Delivery Truck"/>
    <n v="-270.63"/>
    <n v="140.97999999999999"/>
    <n v="53.48"/>
    <s v="Grant Carroll"/>
    <s v="Northwest Territories"/>
    <x v="1"/>
    <s v="Corporate"/>
    <s v="Furniture"/>
    <x v="8"/>
    <x v="38"/>
    <d v="2011-08-17T00:00:00"/>
    <s v="17-Aug-2011"/>
  </r>
  <r>
    <n v="15205"/>
    <d v="2011-03-17T00:00:00"/>
    <s v="Critical"/>
    <s v="17-Mar-2011"/>
    <n v="18"/>
    <n v="4605.3599999999997"/>
    <n v="0.02"/>
    <s v="Delivery Truck"/>
    <n v="678.26"/>
    <n v="243.98"/>
    <n v="43.32"/>
    <s v="Julia West"/>
    <s v="Northwest Territories"/>
    <x v="1"/>
    <s v="Corporate"/>
    <s v="Furniture"/>
    <x v="2"/>
    <x v="20"/>
    <d v="2011-03-19T00:00:00"/>
    <s v="19-Mar-2011"/>
  </r>
  <r>
    <n v="25377"/>
    <d v="2012-11-26T00:00:00"/>
    <s v="Low"/>
    <s v="26-Nov-2012"/>
    <n v="3"/>
    <n v="4343.51"/>
    <n v="0.09"/>
    <s v="Delivery Truck"/>
    <n v="-3755.03"/>
    <n v="1500.97"/>
    <n v="29.7"/>
    <s v="Don Jones"/>
    <s v="Northwest Territories"/>
    <x v="1"/>
    <s v="Corporate"/>
    <s v="Technology"/>
    <x v="0"/>
    <x v="6"/>
    <d v="2012-12-03T00:00:00"/>
    <s v="03-Dec-2012"/>
  </r>
  <r>
    <n v="53990"/>
    <d v="2012-11-01T00:00:00"/>
    <s v="Not Specified"/>
    <s v="01-Nov-2012"/>
    <n v="44"/>
    <n v="4263.9314999999997"/>
    <n v="0.04"/>
    <s v="Regular Air"/>
    <n v="1411.03"/>
    <n v="110.99"/>
    <n v="2.5"/>
    <s v="Carlos Daly"/>
    <s v="Northwest Territories"/>
    <x v="1"/>
    <s v="Corporate"/>
    <s v="Technology"/>
    <x v="10"/>
    <x v="6"/>
    <d v="2012-11-02T00:00:00"/>
    <s v="02-Nov-2012"/>
  </r>
  <r>
    <n v="24743"/>
    <d v="2012-06-28T00:00:00"/>
    <s v="Low"/>
    <s v="28-Jun-2012"/>
    <n v="26"/>
    <n v="3758.77"/>
    <n v="0"/>
    <s v="Regular Air"/>
    <n v="753.61"/>
    <n v="140.81"/>
    <n v="24.49"/>
    <s v="Sylvia Foulston"/>
    <s v="Northwest Territories"/>
    <x v="1"/>
    <s v="Corporate"/>
    <s v="Furniture"/>
    <x v="2"/>
    <x v="6"/>
    <d v="2012-07-03T00:00:00"/>
    <s v="03-Jul-2012"/>
  </r>
  <r>
    <n v="32743"/>
    <d v="2010-05-07T00:00:00"/>
    <s v="Critical"/>
    <s v="07-May-2010"/>
    <n v="19"/>
    <n v="3548.67"/>
    <n v="0.01"/>
    <s v="Regular Air"/>
    <n v="1280.19"/>
    <n v="177.98"/>
    <n v="0.99"/>
    <s v="Grant Carroll"/>
    <s v="Northwest Territories"/>
    <x v="1"/>
    <s v="Corporate"/>
    <s v="Office Supplies"/>
    <x v="5"/>
    <x v="0"/>
    <d v="2010-05-09T00:00:00"/>
    <s v="09-May-2010"/>
  </r>
  <r>
    <n v="28870"/>
    <d v="2011-11-10T00:00:00"/>
    <s v="High"/>
    <s v="10-Nov-2011"/>
    <n v="35"/>
    <n v="3310.9454999999998"/>
    <n v="0.05"/>
    <s v="Regular Air"/>
    <n v="822.4"/>
    <n v="115.99"/>
    <n v="2.5"/>
    <s v="Cindy Schnelling"/>
    <s v="Northwest Territories"/>
    <x v="1"/>
    <s v="Corporate"/>
    <s v="Technology"/>
    <x v="10"/>
    <x v="6"/>
    <d v="2011-11-13T00:00:00"/>
    <s v="13-Nov-2011"/>
  </r>
  <r>
    <n v="12289"/>
    <d v="2011-12-24T00:00:00"/>
    <s v="Low"/>
    <s v="24-Dec-2011"/>
    <n v="25"/>
    <n v="3019.41"/>
    <n v="0.04"/>
    <s v="Regular Air"/>
    <n v="1269.05"/>
    <n v="120.97"/>
    <n v="7.11"/>
    <s v="Brendan Dodson"/>
    <s v="Northwest Territories"/>
    <x v="1"/>
    <s v="Corporate"/>
    <s v="Technology"/>
    <x v="0"/>
    <x v="10"/>
    <d v="2011-12-28T00:00:00"/>
    <s v="28-Dec-2011"/>
  </r>
  <r>
    <n v="9126"/>
    <d v="2009-11-17T00:00:00"/>
    <s v="Medium"/>
    <s v="17-Nov-2009"/>
    <n v="47"/>
    <n v="2799.7"/>
    <n v="0.04"/>
    <s v="Regular Air"/>
    <n v="884.08"/>
    <n v="62.05"/>
    <n v="3.99"/>
    <s v="Sylvia Foulston"/>
    <s v="Northwest Territories"/>
    <x v="1"/>
    <s v="Corporate"/>
    <s v="Office Supplies"/>
    <x v="5"/>
    <x v="20"/>
    <d v="2009-11-18T00:00:00"/>
    <s v="18-Nov-2009"/>
  </r>
  <r>
    <n v="39364"/>
    <d v="2012-11-09T00:00:00"/>
    <s v="High"/>
    <s v="09-Nov-2012"/>
    <n v="29"/>
    <n v="2754.93"/>
    <n v="0.06"/>
    <s v="Regular Air"/>
    <n v="-1.33"/>
    <n v="92.23"/>
    <n v="39.61"/>
    <s v="Jamie Kunitz"/>
    <s v="Northwest Territories"/>
    <x v="1"/>
    <s v="Corporate"/>
    <s v="Furniture"/>
    <x v="7"/>
    <x v="46"/>
    <d v="2012-11-10T00:00:00"/>
    <s v="10-Nov-2012"/>
  </r>
  <r>
    <n v="56453"/>
    <d v="2012-04-11T00:00:00"/>
    <s v="Critical"/>
    <s v="11-Apr-2012"/>
    <n v="1"/>
    <n v="2728.65"/>
    <n v="0"/>
    <s v="Delivery Truck"/>
    <n v="-5572.39"/>
    <n v="2550.14"/>
    <n v="29.7"/>
    <s v="Dorothy Wardle"/>
    <s v="Northwest Territories"/>
    <x v="1"/>
    <s v="Corporate"/>
    <s v="Technology"/>
    <x v="0"/>
    <x v="6"/>
    <d v="2012-04-12T00:00:00"/>
    <s v="12-Apr-2012"/>
  </r>
  <r>
    <n v="23584"/>
    <d v="2012-03-12T00:00:00"/>
    <s v="Critical"/>
    <s v="12-Mar-2012"/>
    <n v="14"/>
    <n v="2671.21"/>
    <n v="0.06"/>
    <s v="Delivery Truck"/>
    <n v="636.17999999999995"/>
    <n v="200.97"/>
    <n v="15.59"/>
    <s v="Alan Barnes"/>
    <s v="Northwest Territories"/>
    <x v="1"/>
    <s v="Corporate"/>
    <s v="Technology"/>
    <x v="0"/>
    <x v="10"/>
    <d v="2012-03-14T00:00:00"/>
    <s v="14-Mar-2012"/>
  </r>
  <r>
    <n v="27553"/>
    <d v="2011-08-12T00:00:00"/>
    <s v="Medium"/>
    <s v="12-Aug-2011"/>
    <n v="16"/>
    <n v="2631.107"/>
    <n v="0"/>
    <s v="Regular Air"/>
    <n v="297.11"/>
    <n v="179.99"/>
    <n v="13.99"/>
    <s v="Jim Radford"/>
    <s v="Northwest Territories"/>
    <x v="1"/>
    <s v="Corporate"/>
    <s v="Technology"/>
    <x v="10"/>
    <x v="6"/>
    <d v="2011-08-14T00:00:00"/>
    <s v="14-Aug-2011"/>
  </r>
  <r>
    <n v="43329"/>
    <d v="2010-03-07T00:00:00"/>
    <s v="Medium"/>
    <s v="07-Mar-2010"/>
    <n v="42"/>
    <n v="2475.83"/>
    <n v="0.09"/>
    <s v="Regular Air"/>
    <n v="752.37"/>
    <n v="59.98"/>
    <n v="3.99"/>
    <s v="Doug Bickford"/>
    <s v="Northwest Territories"/>
    <x v="1"/>
    <s v="Corporate"/>
    <s v="Office Supplies"/>
    <x v="5"/>
    <x v="6"/>
    <d v="2010-03-10T00:00:00"/>
    <s v="10-Mar-2010"/>
  </r>
  <r>
    <n v="36644"/>
    <d v="2012-05-13T00:00:00"/>
    <s v="High"/>
    <s v="13-May-2012"/>
    <n v="24"/>
    <n v="2298.3200000000002"/>
    <n v="0.06"/>
    <s v="Regular Air"/>
    <n v="218.72"/>
    <n v="99.99"/>
    <n v="19.989999999999998"/>
    <s v="Dorothy Wardle"/>
    <s v="Northwest Territories"/>
    <x v="1"/>
    <s v="Corporate"/>
    <s v="Technology"/>
    <x v="11"/>
    <x v="31"/>
    <d v="2012-05-14T00:00:00"/>
    <s v="14-May-2012"/>
  </r>
  <r>
    <n v="50278"/>
    <d v="2010-05-25T00:00:00"/>
    <s v="High"/>
    <s v="25-May-2010"/>
    <n v="20"/>
    <n v="2195.5500000000002"/>
    <n v="0.01"/>
    <s v="Delivery Truck"/>
    <n v="-355.94"/>
    <n v="100.8"/>
    <n v="60"/>
    <s v="Beth Thompson"/>
    <s v="Northwest Territories"/>
    <x v="1"/>
    <s v="Corporate"/>
    <s v="Furniture"/>
    <x v="3"/>
    <x v="14"/>
    <d v="2010-05-27T00:00:00"/>
    <s v="27-May-2010"/>
  </r>
  <r>
    <n v="40067"/>
    <d v="2012-02-17T00:00:00"/>
    <s v="Low"/>
    <s v="17-Feb-2012"/>
    <n v="38"/>
    <n v="2157.3085000000001"/>
    <n v="0"/>
    <s v="Regular Air"/>
    <n v="519.25"/>
    <n v="65.989999999999995"/>
    <n v="5.31"/>
    <s v="Alan Barnes"/>
    <s v="Northwest Territories"/>
    <x v="1"/>
    <s v="Corporate"/>
    <s v="Technology"/>
    <x v="10"/>
    <x v="6"/>
    <d v="2012-02-19T00:00:00"/>
    <s v="19-Feb-2012"/>
  </r>
  <r>
    <n v="9127"/>
    <d v="2011-10-10T00:00:00"/>
    <s v="Not Specified"/>
    <s v="10-Oct-2011"/>
    <n v="7"/>
    <n v="2039.56"/>
    <n v="0.04"/>
    <s v="Express Air"/>
    <n v="-329.49"/>
    <n v="279.48"/>
    <n v="35"/>
    <s v="Bryan Davis"/>
    <s v="Northwest Territories"/>
    <x v="1"/>
    <s v="Corporate"/>
    <s v="Office Supplies"/>
    <x v="4"/>
    <x v="12"/>
    <d v="2011-10-12T00:00:00"/>
    <s v="12-Oct-2011"/>
  </r>
  <r>
    <n v="16706"/>
    <d v="2012-06-27T00:00:00"/>
    <s v="High"/>
    <s v="27-Jun-2012"/>
    <n v="47"/>
    <n v="1943.72"/>
    <n v="0.03"/>
    <s v="Regular Air"/>
    <n v="-1003.58"/>
    <n v="41.47"/>
    <n v="34.200000000000003"/>
    <s v="Beth Thompson"/>
    <s v="Northwest Territories"/>
    <x v="1"/>
    <s v="Corporate"/>
    <s v="Furniture"/>
    <x v="7"/>
    <x v="33"/>
    <d v="2012-06-28T00:00:00"/>
    <s v="28-Jun-2012"/>
  </r>
  <r>
    <n v="18144"/>
    <d v="2011-06-07T00:00:00"/>
    <s v="Critical"/>
    <s v="07-Jun-2011"/>
    <n v="41"/>
    <n v="1779.8915"/>
    <n v="0.09"/>
    <s v="Regular Air"/>
    <n v="-250.17"/>
    <n v="55.99"/>
    <n v="5"/>
    <s v="Dorothy Wardle"/>
    <s v="Northwest Territories"/>
    <x v="1"/>
    <s v="Corporate"/>
    <s v="Technology"/>
    <x v="10"/>
    <x v="12"/>
    <d v="2011-06-09T00:00:00"/>
    <s v="09-Jun-2011"/>
  </r>
  <r>
    <n v="15205"/>
    <d v="2011-03-17T00:00:00"/>
    <s v="Critical"/>
    <s v="17-Mar-2011"/>
    <n v="42"/>
    <n v="1753.51"/>
    <n v="0.02"/>
    <s v="Regular Air"/>
    <n v="155.72"/>
    <n v="39.979999999999997"/>
    <n v="9.1999999999999993"/>
    <s v="Julia West"/>
    <s v="Northwest Territories"/>
    <x v="1"/>
    <s v="Corporate"/>
    <s v="Furniture"/>
    <x v="7"/>
    <x v="38"/>
    <d v="2011-03-18T00:00:00"/>
    <s v="18-Mar-2011"/>
  </r>
  <r>
    <n v="16547"/>
    <d v="2009-02-18T00:00:00"/>
    <s v="Not Specified"/>
    <s v="18-Feb-2009"/>
    <n v="8"/>
    <n v="1749.64"/>
    <n v="0.04"/>
    <s v="Delivery Truck"/>
    <n v="-533.23"/>
    <n v="218.75"/>
    <n v="69.64"/>
    <s v="Nicole Hansen"/>
    <s v="Northwest Territories"/>
    <x v="1"/>
    <s v="Corporate"/>
    <s v="Furniture"/>
    <x v="3"/>
    <x v="36"/>
    <d v="2009-02-18T00:00:00"/>
    <s v="18-Feb-2009"/>
  </r>
  <r>
    <n v="9927"/>
    <d v="2011-08-16T00:00:00"/>
    <s v="High"/>
    <s v="16-Aug-2011"/>
    <n v="34"/>
    <n v="1608.08"/>
    <n v="0.09"/>
    <s v="Express Air"/>
    <n v="-82.16"/>
    <n v="50.98"/>
    <n v="6.5"/>
    <s v="Grant Carroll"/>
    <s v="Northwest Territories"/>
    <x v="1"/>
    <s v="Corporate"/>
    <s v="Technology"/>
    <x v="11"/>
    <x v="33"/>
    <d v="2011-08-17T00:00:00"/>
    <s v="17-Aug-2011"/>
  </r>
  <r>
    <n v="28135"/>
    <d v="2009-09-25T00:00:00"/>
    <s v="Critical"/>
    <s v="25-Sep-2009"/>
    <n v="37"/>
    <n v="1601.24"/>
    <n v="0.08"/>
    <s v="Regular Air"/>
    <n v="520.69000000000005"/>
    <n v="46.89"/>
    <n v="5.0999999999999996"/>
    <s v="Jeremy Lonsdale"/>
    <s v="Northwest Territories"/>
    <x v="1"/>
    <s v="Corporate"/>
    <s v="Office Supplies"/>
    <x v="5"/>
    <x v="29"/>
    <d v="2009-09-27T00:00:00"/>
    <s v="27-Sep-2009"/>
  </r>
  <r>
    <n v="54274"/>
    <d v="2010-11-23T00:00:00"/>
    <s v="Not Specified"/>
    <s v="23-Nov-2010"/>
    <n v="20"/>
    <n v="1583.06"/>
    <n v="0.05"/>
    <s v="Regular Air"/>
    <n v="328"/>
    <n v="78.650000000000006"/>
    <n v="13.99"/>
    <s v="Don Jones"/>
    <s v="Northwest Territories"/>
    <x v="1"/>
    <s v="Corporate"/>
    <s v="Office Supplies"/>
    <x v="5"/>
    <x v="24"/>
    <d v="2010-11-25T00:00:00"/>
    <s v="25-Nov-2010"/>
  </r>
  <r>
    <n v="11456"/>
    <d v="2010-04-12T00:00:00"/>
    <s v="Low"/>
    <s v="12-Apr-2010"/>
    <n v="15"/>
    <n v="1519.9"/>
    <n v="0.09"/>
    <s v="Regular Air"/>
    <n v="399.37"/>
    <n v="105.34"/>
    <n v="24.49"/>
    <s v="Doug Bickford"/>
    <s v="Northwest Territories"/>
    <x v="1"/>
    <s v="Corporate"/>
    <s v="Furniture"/>
    <x v="7"/>
    <x v="9"/>
    <d v="2010-04-19T00:00:00"/>
    <s v="19-Apr-2010"/>
  </r>
  <r>
    <n v="16193"/>
    <d v="2012-04-09T00:00:00"/>
    <s v="Not Specified"/>
    <s v="09-Apr-2012"/>
    <n v="29"/>
    <n v="1364.8025"/>
    <n v="7.0000000000000007E-2"/>
    <s v="Regular Air"/>
    <n v="-183.68"/>
    <n v="55.99"/>
    <n v="5"/>
    <s v="Frank Price"/>
    <s v="Northwest Territories"/>
    <x v="1"/>
    <s v="Corporate"/>
    <s v="Technology"/>
    <x v="10"/>
    <x v="34"/>
    <d v="2012-04-11T00:00:00"/>
    <s v="11-Apr-2012"/>
  </r>
  <r>
    <n v="40132"/>
    <d v="2012-02-23T00:00:00"/>
    <s v="Low"/>
    <s v="23-Feb-2012"/>
    <n v="26"/>
    <n v="1363"/>
    <n v="0.04"/>
    <s v="Delivery Truck"/>
    <n v="149.83000000000001"/>
    <n v="50.98"/>
    <n v="14.19"/>
    <s v="Hunter Glantz"/>
    <s v="Northwest Territories"/>
    <x v="1"/>
    <s v="Corporate"/>
    <s v="Furniture"/>
    <x v="2"/>
    <x v="0"/>
    <d v="2012-02-29T00:00:00"/>
    <s v="29-Feb-2012"/>
  </r>
  <r>
    <n v="33186"/>
    <d v="2012-08-28T00:00:00"/>
    <s v="Low"/>
    <s v="28-Aug-2012"/>
    <n v="24"/>
    <n v="1350.5309999999999"/>
    <n v="0.01"/>
    <s v="Regular Air"/>
    <n v="221.18"/>
    <n v="65.989999999999995"/>
    <n v="5.26"/>
    <s v="Don Jones"/>
    <s v="Northwest Territories"/>
    <x v="1"/>
    <s v="Corporate"/>
    <s v="Technology"/>
    <x v="10"/>
    <x v="0"/>
    <d v="2012-08-30T00:00:00"/>
    <s v="30-Aug-2012"/>
  </r>
  <r>
    <n v="49952"/>
    <d v="2011-11-19T00:00:00"/>
    <s v="High"/>
    <s v="19-Nov-2011"/>
    <n v="12"/>
    <n v="1323.67"/>
    <n v="0.04"/>
    <s v="Express Air"/>
    <n v="630.28"/>
    <n v="107.53"/>
    <n v="5.81"/>
    <s v="Beth Thompson"/>
    <s v="Northwest Territories"/>
    <x v="1"/>
    <s v="Corporate"/>
    <s v="Furniture"/>
    <x v="7"/>
    <x v="38"/>
    <d v="2011-11-20T00:00:00"/>
    <s v="20-Nov-2011"/>
  </r>
  <r>
    <n v="32229"/>
    <d v="2010-08-30T00:00:00"/>
    <s v="High"/>
    <s v="30-Aug-2010"/>
    <n v="8"/>
    <n v="1219.19"/>
    <n v="0.02"/>
    <s v="Regular Air"/>
    <n v="44.37"/>
    <n v="150.97999999999999"/>
    <n v="13.99"/>
    <s v="Carlos Daly"/>
    <s v="Northwest Territories"/>
    <x v="1"/>
    <s v="Corporate"/>
    <s v="Technology"/>
    <x v="0"/>
    <x v="1"/>
    <d v="2010-08-30T00:00:00"/>
    <s v="30-Aug-2010"/>
  </r>
  <r>
    <n v="18080"/>
    <d v="2009-06-22T00:00:00"/>
    <s v="High"/>
    <s v="22-Jun-2009"/>
    <n v="7"/>
    <n v="1211.98"/>
    <n v="0.1"/>
    <s v="Delivery Truck"/>
    <n v="-80.83"/>
    <n v="180.98"/>
    <n v="26.2"/>
    <s v="Sylvia Foulston"/>
    <s v="Northwest Territories"/>
    <x v="1"/>
    <s v="Corporate"/>
    <s v="Furniture"/>
    <x v="2"/>
    <x v="14"/>
    <d v="2009-06-23T00:00:00"/>
    <s v="23-Jun-2009"/>
  </r>
  <r>
    <n v="44071"/>
    <d v="2012-04-15T00:00:00"/>
    <s v="Not Specified"/>
    <s v="15-Apr-2012"/>
    <n v="20"/>
    <n v="1163.123"/>
    <n v="0"/>
    <s v="Regular Air"/>
    <n v="83.84"/>
    <n v="65.989999999999995"/>
    <n v="8.99"/>
    <s v="Frank Price"/>
    <s v="Northwest Territories"/>
    <x v="1"/>
    <s v="Corporate"/>
    <s v="Technology"/>
    <x v="10"/>
    <x v="15"/>
    <d v="2012-04-16T00:00:00"/>
    <s v="16-Apr-2012"/>
  </r>
  <r>
    <n v="19655"/>
    <d v="2009-01-11T00:00:00"/>
    <s v="High"/>
    <s v="11-Jan-2009"/>
    <n v="31"/>
    <n v="1143.45"/>
    <n v="0.06"/>
    <s v="Regular Air"/>
    <n v="304.42"/>
    <n v="39.24"/>
    <n v="1.99"/>
    <s v="Alan Barnes"/>
    <s v="Northwest Territories"/>
    <x v="1"/>
    <s v="Corporate"/>
    <s v="Technology"/>
    <x v="11"/>
    <x v="51"/>
    <d v="2009-01-12T00:00:00"/>
    <s v="12-Jan-2009"/>
  </r>
  <r>
    <n v="57344"/>
    <d v="2010-09-24T00:00:00"/>
    <s v="High"/>
    <s v="24-Sep-2010"/>
    <n v="47"/>
    <n v="1060.0605"/>
    <n v="0.1"/>
    <s v="Regular Air"/>
    <n v="-71.03"/>
    <n v="28.99"/>
    <n v="8.59"/>
    <s v="Sylvia Foulston"/>
    <s v="Northwest Territories"/>
    <x v="1"/>
    <s v="Corporate"/>
    <s v="Technology"/>
    <x v="10"/>
    <x v="0"/>
    <d v="2010-09-26T00:00:00"/>
    <s v="26-Sep-2010"/>
  </r>
  <r>
    <n v="11495"/>
    <d v="2011-07-04T00:00:00"/>
    <s v="High"/>
    <s v="04-Jul-2011"/>
    <n v="6"/>
    <n v="965.69"/>
    <n v="0"/>
    <s v="Delivery Truck"/>
    <n v="-144.19999999999999"/>
    <n v="146.34"/>
    <n v="43.75"/>
    <s v="Brendan Dodson"/>
    <s v="Northwest Territories"/>
    <x v="1"/>
    <s v="Corporate"/>
    <s v="Furniture"/>
    <x v="3"/>
    <x v="38"/>
    <d v="2011-07-05T00:00:00"/>
    <s v="05-Jul-2011"/>
  </r>
  <r>
    <n v="31270"/>
    <d v="2012-11-23T00:00:00"/>
    <s v="Medium"/>
    <s v="23-Nov-2012"/>
    <n v="3"/>
    <n v="891.61"/>
    <n v="0.1"/>
    <s v="Delivery Truck"/>
    <n v="-328.36"/>
    <n v="291.73"/>
    <n v="48.8"/>
    <s v="Michelle Lonsdale"/>
    <s v="Northwest Territories"/>
    <x v="1"/>
    <s v="Corporate"/>
    <s v="Furniture"/>
    <x v="2"/>
    <x v="0"/>
    <d v="2012-11-25T00:00:00"/>
    <s v="25-Nov-2012"/>
  </r>
  <r>
    <n v="41153"/>
    <d v="2009-03-02T00:00:00"/>
    <s v="Medium"/>
    <s v="02-Mar-2009"/>
    <n v="29"/>
    <n v="862.2"/>
    <n v="0.1"/>
    <s v="Regular Air"/>
    <n v="-45.1"/>
    <n v="30.73"/>
    <n v="4"/>
    <s v="Alan Barnes"/>
    <s v="Northwest Territories"/>
    <x v="1"/>
    <s v="Corporate"/>
    <s v="Technology"/>
    <x v="11"/>
    <x v="16"/>
    <d v="2009-03-03T00:00:00"/>
    <s v="03-Mar-2009"/>
  </r>
  <r>
    <n v="10535"/>
    <d v="2011-05-27T00:00:00"/>
    <s v="Low"/>
    <s v="27-May-2011"/>
    <n v="25"/>
    <n v="854.88"/>
    <n v="0.09"/>
    <s v="Regular Air"/>
    <n v="-44.14"/>
    <n v="33.979999999999997"/>
    <n v="19.989999999999998"/>
    <s v="Doug Bickford"/>
    <s v="Northwest Territories"/>
    <x v="1"/>
    <s v="Corporate"/>
    <s v="Furniture"/>
    <x v="7"/>
    <x v="20"/>
    <d v="2011-05-29T00:00:00"/>
    <s v="29-May-2011"/>
  </r>
  <r>
    <n v="34177"/>
    <d v="2009-08-15T00:00:00"/>
    <s v="High"/>
    <s v="15-Aug-2009"/>
    <n v="50"/>
    <n v="853.16200000000003"/>
    <n v="0.1"/>
    <s v="Regular Air"/>
    <n v="-83.95"/>
    <n v="20.99"/>
    <n v="2.5"/>
    <s v="Toby Braunhardt"/>
    <s v="Northwest Territories"/>
    <x v="1"/>
    <s v="Corporate"/>
    <s v="Technology"/>
    <x v="10"/>
    <x v="43"/>
    <d v="2009-08-16T00:00:00"/>
    <s v="16-Aug-2009"/>
  </r>
  <r>
    <n v="36134"/>
    <d v="2010-11-22T00:00:00"/>
    <s v="Low"/>
    <s v="22-Nov-2010"/>
    <n v="6"/>
    <n v="826.97349999999994"/>
    <n v="0.01"/>
    <s v="Regular Air"/>
    <n v="-413.33"/>
    <n v="155.99"/>
    <n v="8.99"/>
    <s v="Grant Carroll"/>
    <s v="Northwest Territories"/>
    <x v="1"/>
    <s v="Corporate"/>
    <s v="Technology"/>
    <x v="10"/>
    <x v="20"/>
    <d v="2010-11-22T00:00:00"/>
    <s v="22-Nov-2010"/>
  </r>
  <r>
    <n v="10437"/>
    <d v="2009-08-18T00:00:00"/>
    <s v="Critical"/>
    <s v="18-Aug-2009"/>
    <n v="50"/>
    <n v="820.52"/>
    <n v="0.01"/>
    <s v="Regular Air"/>
    <n v="-191.22"/>
    <n v="15.99"/>
    <n v="13.18"/>
    <s v="Don Jones"/>
    <s v="Northwest Territories"/>
    <x v="1"/>
    <s v="Corporate"/>
    <s v="Office Supplies"/>
    <x v="1"/>
    <x v="7"/>
    <d v="2009-08-20T00:00:00"/>
    <s v="20-Aug-2009"/>
  </r>
  <r>
    <n v="28486"/>
    <d v="2009-08-26T00:00:00"/>
    <s v="High"/>
    <s v="26-Aug-2009"/>
    <n v="2"/>
    <n v="811.13"/>
    <n v="0.08"/>
    <s v="Regular Air"/>
    <n v="-517.47"/>
    <n v="415.88"/>
    <n v="11.37"/>
    <s v="Carlos Daly"/>
    <s v="Northwest Territories"/>
    <x v="1"/>
    <s v="Corporate"/>
    <s v="Office Supplies"/>
    <x v="4"/>
    <x v="6"/>
    <d v="2009-08-27T00:00:00"/>
    <s v="27-Aug-2009"/>
  </r>
  <r>
    <n v="33703"/>
    <d v="2010-02-06T00:00:00"/>
    <s v="Not Specified"/>
    <s v="06-Feb-2010"/>
    <n v="25"/>
    <n v="802.19"/>
    <n v="0"/>
    <s v="Regular Air"/>
    <n v="56.26"/>
    <n v="29.74"/>
    <n v="6.64"/>
    <s v="Carl Ludwig"/>
    <s v="Northwest Territories"/>
    <x v="1"/>
    <s v="Corporate"/>
    <s v="Office Supplies"/>
    <x v="4"/>
    <x v="3"/>
    <d v="2010-02-07T00:00:00"/>
    <s v="07-Feb-2010"/>
  </r>
  <r>
    <n v="31364"/>
    <d v="2009-05-01T00:00:00"/>
    <s v="Not Specified"/>
    <s v="01-May-2009"/>
    <n v="2"/>
    <n v="789.01"/>
    <n v="7.0000000000000007E-2"/>
    <s v="Regular Air"/>
    <n v="-539.59"/>
    <n v="415.88"/>
    <n v="11.37"/>
    <s v="Beth Thompson"/>
    <s v="Northwest Territories"/>
    <x v="1"/>
    <s v="Corporate"/>
    <s v="Office Supplies"/>
    <x v="4"/>
    <x v="6"/>
    <d v="2009-05-01T00:00:00"/>
    <s v="01-May-2009"/>
  </r>
  <r>
    <n v="45440"/>
    <d v="2012-08-09T00:00:00"/>
    <s v="Critical"/>
    <s v="09-Aug-2012"/>
    <n v="5"/>
    <n v="748.29"/>
    <n v="0.02"/>
    <s v="Delivery Truck"/>
    <n v="-183.6"/>
    <n v="135.99"/>
    <n v="28.63"/>
    <s v="Michelle Lonsdale"/>
    <s v="Northwest Territories"/>
    <x v="1"/>
    <s v="Corporate"/>
    <s v="Furniture"/>
    <x v="2"/>
    <x v="40"/>
    <d v="2012-08-11T00:00:00"/>
    <s v="11-Aug-2012"/>
  </r>
  <r>
    <n v="30947"/>
    <d v="2010-07-14T00:00:00"/>
    <s v="Low"/>
    <s v="14-Jul-2010"/>
    <n v="17"/>
    <n v="691.59"/>
    <n v="0.03"/>
    <s v="Regular Air"/>
    <n v="261.24"/>
    <n v="41.94"/>
    <n v="2.99"/>
    <s v="Charles McCrossin"/>
    <s v="Northwest Territories"/>
    <x v="1"/>
    <s v="Corporate"/>
    <s v="Office Supplies"/>
    <x v="1"/>
    <x v="2"/>
    <d v="2010-07-18T00:00:00"/>
    <s v="18-Jul-2010"/>
  </r>
  <r>
    <n v="50565"/>
    <d v="2012-08-30T00:00:00"/>
    <s v="High"/>
    <s v="30-Aug-2012"/>
    <n v="43"/>
    <n v="683.46"/>
    <n v="0.09"/>
    <s v="Regular Air"/>
    <n v="-138.82"/>
    <n v="16.98"/>
    <n v="12.39"/>
    <s v="Sylvia Foulston"/>
    <s v="Northwest Territories"/>
    <x v="1"/>
    <s v="Corporate"/>
    <s v="Office Supplies"/>
    <x v="15"/>
    <x v="2"/>
    <d v="2012-08-30T00:00:00"/>
    <s v="30-Aug-2012"/>
  </r>
  <r>
    <n v="25634"/>
    <d v="2010-07-29T00:00:00"/>
    <s v="Not Specified"/>
    <s v="29-Jul-2010"/>
    <n v="26"/>
    <n v="626.07000000000005"/>
    <n v="0.03"/>
    <s v="Express Air"/>
    <n v="185.32"/>
    <n v="23.99"/>
    <n v="6.71"/>
    <s v="Mike Pelletier"/>
    <s v="Northwest Territories"/>
    <x v="1"/>
    <s v="Corporate"/>
    <s v="Office Supplies"/>
    <x v="15"/>
    <x v="2"/>
    <d v="2010-07-30T00:00:00"/>
    <s v="30-Jul-2010"/>
  </r>
  <r>
    <n v="39683"/>
    <d v="2011-08-10T00:00:00"/>
    <s v="High"/>
    <s v="10-Aug-2011"/>
    <n v="31"/>
    <n v="615.58000000000004"/>
    <n v="0.04"/>
    <s v="Regular Air"/>
    <n v="168"/>
    <n v="18.989999999999998"/>
    <n v="5.23"/>
    <s v="Jeremy Lonsdale"/>
    <s v="Northwest Territories"/>
    <x v="1"/>
    <s v="Corporate"/>
    <s v="Office Supplies"/>
    <x v="1"/>
    <x v="7"/>
    <d v="2011-08-13T00:00:00"/>
    <s v="13-Aug-2011"/>
  </r>
  <r>
    <n v="25767"/>
    <d v="2012-03-03T00:00:00"/>
    <s v="High"/>
    <s v="03-Mar-2012"/>
    <n v="15"/>
    <n v="593.73"/>
    <n v="0.04"/>
    <s v="Regular Air"/>
    <n v="108.01"/>
    <n v="38.76"/>
    <n v="13.26"/>
    <s v="Ann Chong"/>
    <s v="Northwest Territories"/>
    <x v="1"/>
    <s v="Corporate"/>
    <s v="Office Supplies"/>
    <x v="12"/>
    <x v="10"/>
    <d v="2012-03-04T00:00:00"/>
    <s v="04-Mar-2012"/>
  </r>
  <r>
    <n v="25634"/>
    <d v="2010-07-29T00:00:00"/>
    <s v="Not Specified"/>
    <s v="29-Jul-2010"/>
    <n v="29"/>
    <n v="593.32000000000005"/>
    <n v="0.03"/>
    <s v="Regular Air"/>
    <n v="28.99"/>
    <n v="20.95"/>
    <n v="4"/>
    <s v="Mike Pelletier"/>
    <s v="Northwest Territories"/>
    <x v="1"/>
    <s v="Corporate"/>
    <s v="Technology"/>
    <x v="11"/>
    <x v="18"/>
    <d v="2010-08-01T00:00:00"/>
    <s v="01-Aug-2010"/>
  </r>
  <r>
    <n v="43364"/>
    <d v="2012-04-07T00:00:00"/>
    <s v="High"/>
    <s v="07-Apr-2012"/>
    <n v="21"/>
    <n v="524.20000000000005"/>
    <n v="0.04"/>
    <s v="Regular Air"/>
    <n v="158.97999999999999"/>
    <n v="23.99"/>
    <n v="6.71"/>
    <s v="Susan Vittorini"/>
    <s v="Northwest Territories"/>
    <x v="1"/>
    <s v="Corporate"/>
    <s v="Office Supplies"/>
    <x v="15"/>
    <x v="2"/>
    <d v="2012-04-10T00:00:00"/>
    <s v="10-Apr-2012"/>
  </r>
  <r>
    <n v="43109"/>
    <d v="2012-12-21T00:00:00"/>
    <s v="Critical"/>
    <s v="21-Dec-2012"/>
    <n v="25"/>
    <n v="509.52"/>
    <n v="0.05"/>
    <s v="Regular Air"/>
    <n v="-145.78"/>
    <n v="20.97"/>
    <n v="6.5"/>
    <s v="Dorothy Wardle"/>
    <s v="Northwest Territories"/>
    <x v="1"/>
    <s v="Corporate"/>
    <s v="Technology"/>
    <x v="11"/>
    <x v="8"/>
    <d v="2012-12-22T00:00:00"/>
    <s v="22-Dec-2012"/>
  </r>
  <r>
    <n v="51938"/>
    <d v="2011-05-17T00:00:00"/>
    <s v="Low"/>
    <s v="17-May-2011"/>
    <n v="5"/>
    <n v="503.32749999999999"/>
    <n v="0.06"/>
    <s v="Regular Air"/>
    <n v="-488.31"/>
    <n v="125.99"/>
    <n v="5.63"/>
    <s v="Jim Radford"/>
    <s v="Northwest Territories"/>
    <x v="1"/>
    <s v="Corporate"/>
    <s v="Technology"/>
    <x v="10"/>
    <x v="18"/>
    <d v="2011-05-21T00:00:00"/>
    <s v="21-May-2011"/>
  </r>
  <r>
    <n v="28135"/>
    <d v="2009-09-25T00:00:00"/>
    <s v="Critical"/>
    <s v="25-Sep-2009"/>
    <n v="40"/>
    <n v="501.31"/>
    <n v="0.05"/>
    <s v="Regular Air"/>
    <n v="38.229999999999997"/>
    <n v="12.98"/>
    <n v="3.14"/>
    <s v="Jeremy Lonsdale"/>
    <s v="Northwest Territories"/>
    <x v="1"/>
    <s v="Corporate"/>
    <s v="Office Supplies"/>
    <x v="14"/>
    <x v="18"/>
    <d v="2009-09-25T00:00:00"/>
    <s v="25-Sep-2009"/>
  </r>
  <r>
    <n v="22151"/>
    <d v="2010-07-31T00:00:00"/>
    <s v="High"/>
    <s v="31-Jul-2010"/>
    <n v="49"/>
    <n v="465.83"/>
    <n v="0.1"/>
    <s v="Regular Air"/>
    <n v="-79.72"/>
    <n v="9.65"/>
    <n v="6.22"/>
    <s v="Beth Thompson"/>
    <s v="Northwest Territories"/>
    <x v="1"/>
    <s v="Corporate"/>
    <s v="Furniture"/>
    <x v="7"/>
    <x v="20"/>
    <d v="2010-07-31T00:00:00"/>
    <s v="31-Jul-2010"/>
  </r>
  <r>
    <n v="31684"/>
    <d v="2012-09-16T00:00:00"/>
    <s v="Critical"/>
    <s v="16-Sep-2012"/>
    <n v="28"/>
    <n v="456.91"/>
    <n v="0.04"/>
    <s v="Express Air"/>
    <n v="-328.18"/>
    <n v="15.51"/>
    <n v="17.78"/>
    <s v="Susan Vittorini"/>
    <s v="Northwest Territories"/>
    <x v="1"/>
    <s v="Corporate"/>
    <s v="Office Supplies"/>
    <x v="4"/>
    <x v="14"/>
    <d v="2012-09-18T00:00:00"/>
    <s v="18-Sep-2012"/>
  </r>
  <r>
    <n v="33894"/>
    <d v="2010-06-14T00:00:00"/>
    <s v="Critical"/>
    <s v="14-Jun-2010"/>
    <n v="13"/>
    <n v="438.93"/>
    <n v="0.04"/>
    <s v="Express Air"/>
    <n v="-119.02"/>
    <n v="32.979999999999997"/>
    <n v="5.5"/>
    <s v="Doug Bickford"/>
    <s v="Northwest Territories"/>
    <x v="1"/>
    <s v="Corporate"/>
    <s v="Technology"/>
    <x v="11"/>
    <x v="16"/>
    <d v="2010-06-16T00:00:00"/>
    <s v="16-Jun-2010"/>
  </r>
  <r>
    <n v="18308"/>
    <d v="2009-10-09T00:00:00"/>
    <s v="Not Specified"/>
    <s v="09-Oct-2009"/>
    <n v="15"/>
    <n v="436.05"/>
    <n v="0.09"/>
    <s v="Regular Air"/>
    <n v="-92.58"/>
    <n v="30.73"/>
    <n v="4"/>
    <s v="Ann Chong"/>
    <s v="Northwest Territories"/>
    <x v="1"/>
    <s v="Corporate"/>
    <s v="Technology"/>
    <x v="11"/>
    <x v="16"/>
    <d v="2009-10-09T00:00:00"/>
    <s v="09-Oct-2009"/>
  </r>
  <r>
    <n v="31618"/>
    <d v="2011-07-11T00:00:00"/>
    <s v="Critical"/>
    <s v="11-Jul-2011"/>
    <n v="14"/>
    <n v="403.17"/>
    <n v="0.02"/>
    <s v="Regular Air"/>
    <n v="147.44999999999999"/>
    <n v="28.53"/>
    <n v="1.49"/>
    <s v="Roy Skaria"/>
    <s v="Northwest Territories"/>
    <x v="1"/>
    <s v="Corporate"/>
    <s v="Office Supplies"/>
    <x v="1"/>
    <x v="1"/>
    <d v="2011-07-11T00:00:00"/>
    <s v="11-Jul-2011"/>
  </r>
  <r>
    <n v="55366"/>
    <d v="2012-10-10T00:00:00"/>
    <s v="Critical"/>
    <s v="10-Oct-2012"/>
    <n v="7"/>
    <n v="387.17"/>
    <n v="0.1"/>
    <s v="Regular Air"/>
    <n v="-204.65"/>
    <n v="55.94"/>
    <n v="6.55"/>
    <s v="Doug Bickford"/>
    <s v="Northwest Territories"/>
    <x v="1"/>
    <s v="Corporate"/>
    <s v="Technology"/>
    <x v="11"/>
    <x v="48"/>
    <d v="2012-10-11T00:00:00"/>
    <s v="11-Oct-2012"/>
  </r>
  <r>
    <n v="33734"/>
    <d v="2011-10-17T00:00:00"/>
    <s v="Not Specified"/>
    <s v="17-Oct-2011"/>
    <n v="13"/>
    <n v="371.94"/>
    <n v="0.05"/>
    <s v="Regular Air"/>
    <n v="106.53"/>
    <n v="29.14"/>
    <n v="4.8600000000000003"/>
    <s v="Jamie Kunitz"/>
    <s v="Northwest Territories"/>
    <x v="1"/>
    <s v="Corporate"/>
    <s v="Office Supplies"/>
    <x v="12"/>
    <x v="1"/>
    <d v="2011-10-18T00:00:00"/>
    <s v="18-Oct-2011"/>
  </r>
  <r>
    <n v="55298"/>
    <d v="2009-08-02T00:00:00"/>
    <s v="Critical"/>
    <s v="02-Aug-2009"/>
    <n v="1"/>
    <n v="368.66"/>
    <n v="0.01"/>
    <s v="Delivery Truck"/>
    <n v="-165.6"/>
    <n v="300.98"/>
    <n v="64.73"/>
    <s v="Bryan Mills"/>
    <s v="Northwest Territories"/>
    <x v="1"/>
    <s v="Corporate"/>
    <s v="Furniture"/>
    <x v="2"/>
    <x v="0"/>
    <d v="2009-08-03T00:00:00"/>
    <s v="03-Aug-2009"/>
  </r>
  <r>
    <n v="37634"/>
    <d v="2012-05-21T00:00:00"/>
    <s v="Medium"/>
    <s v="21-May-2012"/>
    <n v="32"/>
    <n v="368.18"/>
    <n v="7.0000000000000007E-2"/>
    <s v="Regular Air"/>
    <n v="-36.78"/>
    <n v="12.21"/>
    <n v="4.8099999999999996"/>
    <s v="Brendan Dodson"/>
    <s v="Northwest Territories"/>
    <x v="1"/>
    <s v="Corporate"/>
    <s v="Office Supplies"/>
    <x v="4"/>
    <x v="15"/>
    <d v="2012-05-22T00:00:00"/>
    <s v="22-May-2012"/>
  </r>
  <r>
    <n v="44519"/>
    <d v="2010-05-19T00:00:00"/>
    <s v="High"/>
    <s v="19-May-2010"/>
    <n v="34"/>
    <n v="365.77"/>
    <n v="7.0000000000000007E-2"/>
    <s v="Regular Air"/>
    <n v="155.69"/>
    <n v="10.67"/>
    <n v="1.39"/>
    <s v="Dorothy Wardle"/>
    <s v="Northwest Territories"/>
    <x v="1"/>
    <s v="Corporate"/>
    <s v="Office Supplies"/>
    <x v="15"/>
    <x v="4"/>
    <d v="2010-05-20T00:00:00"/>
    <s v="20-May-2010"/>
  </r>
  <r>
    <n v="35847"/>
    <d v="2009-01-30T00:00:00"/>
    <s v="Critical"/>
    <s v="30-Jan-2009"/>
    <n v="23"/>
    <n v="361.65"/>
    <n v="0.08"/>
    <s v="Express Air"/>
    <n v="-144.27000000000001"/>
    <n v="15.98"/>
    <n v="8.99"/>
    <s v="Eugene Barchas"/>
    <s v="Northwest Territories"/>
    <x v="1"/>
    <s v="Corporate"/>
    <s v="Technology"/>
    <x v="11"/>
    <x v="28"/>
    <d v="2009-01-30T00:00:00"/>
    <s v="30-Jan-2009"/>
  </r>
  <r>
    <n v="40132"/>
    <d v="2012-02-23T00:00:00"/>
    <s v="Low"/>
    <s v="23-Feb-2012"/>
    <n v="16"/>
    <n v="347.47"/>
    <n v="0.09"/>
    <s v="Regular Air"/>
    <n v="-86.2"/>
    <n v="22.38"/>
    <n v="15.1"/>
    <s v="Hunter Glantz"/>
    <s v="Northwest Territories"/>
    <x v="1"/>
    <s v="Corporate"/>
    <s v="Office Supplies"/>
    <x v="1"/>
    <x v="1"/>
    <d v="2012-03-02T00:00:00"/>
    <s v="02-Mar-2012"/>
  </r>
  <r>
    <n v="30947"/>
    <d v="2010-07-14T00:00:00"/>
    <s v="Low"/>
    <s v="14-Jul-2010"/>
    <n v="45"/>
    <n v="345.2"/>
    <n v="0.01"/>
    <s v="Regular Air"/>
    <n v="183.53"/>
    <n v="7.31"/>
    <n v="0.49"/>
    <s v="Charles McCrossin"/>
    <s v="Northwest Territories"/>
    <x v="1"/>
    <s v="Corporate"/>
    <s v="Office Supplies"/>
    <x v="9"/>
    <x v="1"/>
    <d v="2010-07-18T00:00:00"/>
    <s v="18-Jul-2010"/>
  </r>
  <r>
    <n v="11202"/>
    <d v="2012-03-17T00:00:00"/>
    <s v="Medium"/>
    <s v="17-Mar-2012"/>
    <n v="8"/>
    <n v="339.81"/>
    <n v="0.05"/>
    <s v="Regular Air"/>
    <n v="79.59"/>
    <n v="43.41"/>
    <n v="2.99"/>
    <s v="Barry Weirich"/>
    <s v="Northwest Territories"/>
    <x v="1"/>
    <s v="Corporate"/>
    <s v="Office Supplies"/>
    <x v="1"/>
    <x v="4"/>
    <d v="2012-03-18T00:00:00"/>
    <s v="18-Mar-2012"/>
  </r>
  <r>
    <n v="26567"/>
    <d v="2009-09-04T00:00:00"/>
    <s v="Critical"/>
    <s v="04-Sep-2009"/>
    <n v="22"/>
    <n v="338.52"/>
    <n v="0.21"/>
    <s v="Regular Air"/>
    <n v="-17.75"/>
    <n v="14.98"/>
    <n v="8.99"/>
    <s v="Sylvia Foulston"/>
    <s v="Northwest Territories"/>
    <x v="1"/>
    <s v="Corporate"/>
    <s v="Furniture"/>
    <x v="7"/>
    <x v="4"/>
    <d v="2009-09-05T00:00:00"/>
    <s v="05-Sep-2009"/>
  </r>
  <r>
    <n v="33377"/>
    <d v="2011-07-31T00:00:00"/>
    <s v="High"/>
    <s v="31-Jul-2011"/>
    <n v="19"/>
    <n v="327.14999999999998"/>
    <n v="0.04"/>
    <s v="Regular Air"/>
    <n v="47.3"/>
    <n v="17.239999999999998"/>
    <n v="3.26"/>
    <s v="Beth Thompson"/>
    <s v="Northwest Territories"/>
    <x v="1"/>
    <s v="Corporate"/>
    <s v="Office Supplies"/>
    <x v="14"/>
    <x v="0"/>
    <d v="2011-08-01T00:00:00"/>
    <s v="01-Aug-2011"/>
  </r>
  <r>
    <n v="42209"/>
    <d v="2010-03-29T00:00:00"/>
    <s v="High"/>
    <s v="29-Mar-2010"/>
    <n v="5"/>
    <n v="324.55"/>
    <n v="0.08"/>
    <s v="Regular Air"/>
    <n v="-12.82"/>
    <n v="67.84"/>
    <n v="0.99"/>
    <s v="Alan Barnes"/>
    <s v="Northwest Territories"/>
    <x v="1"/>
    <s v="Corporate"/>
    <s v="Office Supplies"/>
    <x v="5"/>
    <x v="15"/>
    <d v="2010-03-29T00:00:00"/>
    <s v="29-Mar-2010"/>
  </r>
  <r>
    <n v="15937"/>
    <d v="2012-11-06T00:00:00"/>
    <s v="Low"/>
    <s v="06-Nov-2012"/>
    <n v="32"/>
    <n v="311.44"/>
    <n v="0.04"/>
    <s v="Regular Air"/>
    <n v="74.069999999999993"/>
    <n v="9.7799999999999994"/>
    <n v="1.99"/>
    <s v="Monica Federle"/>
    <s v="Northwest Territories"/>
    <x v="1"/>
    <s v="Corporate"/>
    <s v="Technology"/>
    <x v="11"/>
    <x v="21"/>
    <d v="2012-11-10T00:00:00"/>
    <s v="10-Nov-2012"/>
  </r>
  <r>
    <n v="10789"/>
    <d v="2010-08-23T00:00:00"/>
    <s v="Not Specified"/>
    <s v="23-Aug-2010"/>
    <n v="15"/>
    <n v="308.54000000000002"/>
    <n v="0"/>
    <s v="Express Air"/>
    <n v="76.42"/>
    <n v="19.84"/>
    <n v="4.0999999999999996"/>
    <s v="Jamie Kunitz"/>
    <s v="Northwest Territories"/>
    <x v="1"/>
    <s v="Corporate"/>
    <s v="Office Supplies"/>
    <x v="13"/>
    <x v="47"/>
    <d v="2010-08-24T00:00:00"/>
    <s v="24-Aug-2010"/>
  </r>
  <r>
    <n v="21285"/>
    <d v="2010-07-03T00:00:00"/>
    <s v="Medium"/>
    <s v="03-Jul-2010"/>
    <n v="47"/>
    <n v="304.83"/>
    <n v="0.1"/>
    <s v="Regular Air"/>
    <n v="23.82"/>
    <n v="7.08"/>
    <n v="2.35"/>
    <s v="Adrian Hane"/>
    <s v="Northwest Territories"/>
    <x v="1"/>
    <s v="Corporate"/>
    <s v="Office Supplies"/>
    <x v="13"/>
    <x v="26"/>
    <d v="2010-07-05T00:00:00"/>
    <s v="05-Jul-2010"/>
  </r>
  <r>
    <n v="47620"/>
    <d v="2012-06-26T00:00:00"/>
    <s v="Low"/>
    <s v="26-Jun-2012"/>
    <n v="27"/>
    <n v="302.2"/>
    <n v="0.04"/>
    <s v="Regular Air"/>
    <n v="20.27"/>
    <n v="10.98"/>
    <n v="3.37"/>
    <s v="Charles McCrossin"/>
    <s v="Northwest Territories"/>
    <x v="1"/>
    <s v="Corporate"/>
    <s v="Office Supplies"/>
    <x v="14"/>
    <x v="6"/>
    <d v="2012-07-05T00:00:00"/>
    <s v="05-Jul-2012"/>
  </r>
  <r>
    <n v="16193"/>
    <d v="2012-04-09T00:00:00"/>
    <s v="Not Specified"/>
    <s v="09-Apr-2012"/>
    <n v="8"/>
    <n v="300.2"/>
    <n v="0"/>
    <s v="Regular Air"/>
    <n v="6.41"/>
    <n v="34.76"/>
    <n v="8.2200000000000006"/>
    <s v="Frank Price"/>
    <s v="Northwest Territories"/>
    <x v="1"/>
    <s v="Corporate"/>
    <s v="Office Supplies"/>
    <x v="4"/>
    <x v="6"/>
    <d v="2012-04-11T00:00:00"/>
    <s v="11-Apr-2012"/>
  </r>
  <r>
    <n v="43109"/>
    <d v="2012-12-21T00:00:00"/>
    <s v="Critical"/>
    <s v="21-Dec-2012"/>
    <n v="19"/>
    <n v="281.83999999999997"/>
    <n v="0.06"/>
    <s v="Regular Air"/>
    <n v="-21.85"/>
    <n v="15.01"/>
    <n v="8.4"/>
    <s v="Dorothy Wardle"/>
    <s v="Northwest Territories"/>
    <x v="1"/>
    <s v="Corporate"/>
    <s v="Office Supplies"/>
    <x v="1"/>
    <x v="4"/>
    <d v="2012-12-22T00:00:00"/>
    <s v="22-Dec-2012"/>
  </r>
  <r>
    <n v="22469"/>
    <d v="2010-10-11T00:00:00"/>
    <s v="High"/>
    <s v="11-Oct-2010"/>
    <n v="44"/>
    <n v="275.91000000000003"/>
    <n v="0.1"/>
    <s v="Regular Air"/>
    <n v="-162.37"/>
    <n v="7.99"/>
    <n v="5.03"/>
    <s v="Jack Lebron"/>
    <s v="Northwest Territories"/>
    <x v="1"/>
    <s v="Corporate"/>
    <s v="Technology"/>
    <x v="10"/>
    <x v="18"/>
    <d v="2010-10-13T00:00:00"/>
    <s v="13-Oct-2010"/>
  </r>
  <r>
    <n v="24128"/>
    <d v="2010-11-23T00:00:00"/>
    <s v="High"/>
    <s v="23-Nov-2010"/>
    <n v="13"/>
    <n v="270.63"/>
    <n v="0.1"/>
    <s v="Regular Air"/>
    <n v="7.07"/>
    <n v="21.98"/>
    <n v="8.32"/>
    <s v="Eugene Barchas"/>
    <s v="Northwest Territories"/>
    <x v="1"/>
    <s v="Corporate"/>
    <s v="Office Supplies"/>
    <x v="12"/>
    <x v="4"/>
    <d v="2010-11-25T00:00:00"/>
    <s v="25-Nov-2010"/>
  </r>
  <r>
    <n v="13346"/>
    <d v="2012-11-15T00:00:00"/>
    <s v="Low"/>
    <s v="15-Nov-2012"/>
    <n v="44"/>
    <n v="268.33999999999997"/>
    <n v="0.09"/>
    <s v="Regular Air"/>
    <n v="-240.83"/>
    <n v="6.48"/>
    <n v="8.8800000000000008"/>
    <s v="Doug Bickford"/>
    <s v="Northwest Territories"/>
    <x v="1"/>
    <s v="Corporate"/>
    <s v="Office Supplies"/>
    <x v="12"/>
    <x v="7"/>
    <d v="2012-11-20T00:00:00"/>
    <s v="20-Nov-2012"/>
  </r>
  <r>
    <n v="25767"/>
    <d v="2012-03-03T00:00:00"/>
    <s v="High"/>
    <s v="03-Mar-2012"/>
    <n v="7"/>
    <n v="261.88"/>
    <n v="0.08"/>
    <s v="Regular Air"/>
    <n v="-59.2"/>
    <n v="39.479999999999997"/>
    <n v="1.99"/>
    <s v="Ann Chong"/>
    <s v="Northwest Territories"/>
    <x v="1"/>
    <s v="Corporate"/>
    <s v="Technology"/>
    <x v="11"/>
    <x v="41"/>
    <d v="2012-03-03T00:00:00"/>
    <s v="03-Mar-2012"/>
  </r>
  <r>
    <n v="19078"/>
    <d v="2009-07-27T00:00:00"/>
    <s v="Critical"/>
    <s v="27-Jul-2009"/>
    <n v="21"/>
    <n v="256.12"/>
    <n v="0.03"/>
    <s v="Regular Air"/>
    <n v="-18.190000000000001"/>
    <n v="11.97"/>
    <n v="4.9800000000000004"/>
    <s v="Brendan Dodson"/>
    <s v="Northwest Territories"/>
    <x v="1"/>
    <s v="Corporate"/>
    <s v="Office Supplies"/>
    <x v="5"/>
    <x v="15"/>
    <d v="2009-07-28T00:00:00"/>
    <s v="28-Jul-2009"/>
  </r>
  <r>
    <n v="16451"/>
    <d v="2009-07-22T00:00:00"/>
    <s v="Not Specified"/>
    <s v="22-Jul-2009"/>
    <n v="9"/>
    <n v="252.79"/>
    <n v="0.09"/>
    <s v="Regular Air"/>
    <n v="58.23"/>
    <n v="30.56"/>
    <n v="2.99"/>
    <s v="Don Jones"/>
    <s v="Northwest Territories"/>
    <x v="1"/>
    <s v="Corporate"/>
    <s v="Office Supplies"/>
    <x v="1"/>
    <x v="2"/>
    <d v="2009-07-23T00:00:00"/>
    <s v="23-Jul-2009"/>
  </r>
  <r>
    <n v="31781"/>
    <d v="2009-01-16T00:00:00"/>
    <s v="Medium"/>
    <s v="16-Jan-2009"/>
    <n v="46"/>
    <n v="249.02"/>
    <n v="0.1"/>
    <s v="Regular Air"/>
    <n v="-282.61"/>
    <n v="5.81"/>
    <n v="8.49"/>
    <s v="Sylvia Foulston"/>
    <s v="Northwest Territories"/>
    <x v="1"/>
    <s v="Corporate"/>
    <s v="Office Supplies"/>
    <x v="1"/>
    <x v="4"/>
    <d v="2009-01-17T00:00:00"/>
    <s v="17-Jan-2009"/>
  </r>
  <r>
    <n v="33703"/>
    <d v="2010-02-06T00:00:00"/>
    <s v="Not Specified"/>
    <s v="06-Feb-2010"/>
    <n v="4"/>
    <n v="242.36"/>
    <n v="0.08"/>
    <s v="Regular Air"/>
    <n v="-131.47999999999999"/>
    <n v="60.98"/>
    <n v="1.99"/>
    <s v="Carl Ludwig"/>
    <s v="Northwest Territories"/>
    <x v="1"/>
    <s v="Corporate"/>
    <s v="Technology"/>
    <x v="11"/>
    <x v="31"/>
    <d v="2010-02-07T00:00:00"/>
    <s v="07-Feb-2010"/>
  </r>
  <r>
    <n v="18144"/>
    <d v="2011-06-07T00:00:00"/>
    <s v="Critical"/>
    <s v="07-Jun-2011"/>
    <n v="8"/>
    <n v="234.28"/>
    <n v="0.09"/>
    <s v="Regular Air"/>
    <n v="-65.42"/>
    <n v="28.28"/>
    <n v="13.99"/>
    <s v="Dorothy Wardle"/>
    <s v="Northwest Territories"/>
    <x v="1"/>
    <s v="Corporate"/>
    <s v="Office Supplies"/>
    <x v="4"/>
    <x v="15"/>
    <d v="2011-06-09T00:00:00"/>
    <s v="09-Jun-2011"/>
  </r>
  <r>
    <n v="27778"/>
    <d v="2011-09-02T00:00:00"/>
    <s v="Critical"/>
    <s v="02-Sep-2011"/>
    <n v="1"/>
    <n v="232.67"/>
    <n v="0.02"/>
    <s v="Regular Air"/>
    <n v="-105.14"/>
    <n v="223.98"/>
    <n v="15.01"/>
    <s v="Roy Skaria"/>
    <s v="Northwest Territories"/>
    <x v="1"/>
    <s v="Corporate"/>
    <s v="Office Supplies"/>
    <x v="1"/>
    <x v="1"/>
    <d v="2011-09-04T00:00:00"/>
    <s v="04-Sep-2011"/>
  </r>
  <r>
    <n v="33894"/>
    <d v="2010-06-14T00:00:00"/>
    <s v="Critical"/>
    <s v="14-Jun-2010"/>
    <n v="48"/>
    <n v="226.5"/>
    <n v="0.09"/>
    <s v="Regular Air"/>
    <n v="-173.15"/>
    <n v="4.9800000000000004"/>
    <n v="4.62"/>
    <s v="Doug Bickford"/>
    <s v="Northwest Territories"/>
    <x v="1"/>
    <s v="Corporate"/>
    <s v="Technology"/>
    <x v="11"/>
    <x v="28"/>
    <d v="2010-06-16T00:00:00"/>
    <s v="16-Jun-2010"/>
  </r>
  <r>
    <n v="44519"/>
    <d v="2010-05-19T00:00:00"/>
    <s v="High"/>
    <s v="19-May-2010"/>
    <n v="48"/>
    <n v="224.58"/>
    <n v="0.03"/>
    <s v="Regular Air"/>
    <n v="-144.76"/>
    <n v="4.57"/>
    <n v="5.42"/>
    <s v="Dorothy Wardle"/>
    <s v="Northwest Territories"/>
    <x v="1"/>
    <s v="Corporate"/>
    <s v="Office Supplies"/>
    <x v="1"/>
    <x v="7"/>
    <d v="2010-05-20T00:00:00"/>
    <s v="20-May-2010"/>
  </r>
  <r>
    <n v="37793"/>
    <d v="2009-11-08T00:00:00"/>
    <s v="Not Specified"/>
    <s v="08-Nov-2009"/>
    <n v="16"/>
    <n v="224.47"/>
    <n v="0.08"/>
    <s v="Regular Air"/>
    <n v="-49.31"/>
    <n v="13.9"/>
    <n v="7.59"/>
    <s v="Dorothy Wardle"/>
    <s v="Northwest Territories"/>
    <x v="1"/>
    <s v="Corporate"/>
    <s v="Office Supplies"/>
    <x v="14"/>
    <x v="0"/>
    <d v="2009-11-09T00:00:00"/>
    <s v="09-Nov-2009"/>
  </r>
  <r>
    <n v="31111"/>
    <d v="2009-08-24T00:00:00"/>
    <s v="Not Specified"/>
    <s v="24-Aug-2009"/>
    <n v="27"/>
    <n v="217.93"/>
    <n v="0.03"/>
    <s v="Regular Air"/>
    <n v="-29.02"/>
    <n v="7.64"/>
    <n v="5.83"/>
    <s v="Monica Federle"/>
    <s v="Northwest Territories"/>
    <x v="1"/>
    <s v="Corporate"/>
    <s v="Office Supplies"/>
    <x v="12"/>
    <x v="10"/>
    <d v="2009-08-26T00:00:00"/>
    <s v="26-Aug-2009"/>
  </r>
  <r>
    <n v="35266"/>
    <d v="2011-01-10T00:00:00"/>
    <s v="Not Specified"/>
    <s v="10-Jan-2011"/>
    <n v="39"/>
    <n v="217.25"/>
    <n v="7.0000000000000007E-2"/>
    <s v="Regular Air"/>
    <n v="33.5"/>
    <n v="5.84"/>
    <n v="1.2"/>
    <s v="Beth Thompson"/>
    <s v="Northwest Territories"/>
    <x v="1"/>
    <s v="Corporate"/>
    <s v="Office Supplies"/>
    <x v="13"/>
    <x v="20"/>
    <d v="2011-01-10T00:00:00"/>
    <s v="10-Jan-2011"/>
  </r>
  <r>
    <n v="46980"/>
    <d v="2011-01-17T00:00:00"/>
    <s v="Critical"/>
    <s v="17-Jan-2011"/>
    <n v="34"/>
    <n v="216.3"/>
    <n v="0.01"/>
    <s v="Regular Air"/>
    <n v="103.16"/>
    <n v="6.3"/>
    <n v="0.5"/>
    <s v="Monica Federle"/>
    <s v="Northwest Territories"/>
    <x v="1"/>
    <s v="Corporate"/>
    <s v="Office Supplies"/>
    <x v="9"/>
    <x v="4"/>
    <d v="2011-01-17T00:00:00"/>
    <s v="17-Jan-2011"/>
  </r>
  <r>
    <n v="15937"/>
    <d v="2012-11-06T00:00:00"/>
    <s v="Low"/>
    <s v="06-Nov-2012"/>
    <n v="17"/>
    <n v="215.65"/>
    <n v="0.01"/>
    <s v="Express Air"/>
    <n v="77.38"/>
    <n v="12.22"/>
    <n v="2.85"/>
    <s v="Monica Federle"/>
    <s v="Northwest Territories"/>
    <x v="1"/>
    <s v="Corporate"/>
    <s v="Furniture"/>
    <x v="7"/>
    <x v="20"/>
    <d v="2012-11-15T00:00:00"/>
    <s v="15-Nov-2012"/>
  </r>
  <r>
    <n v="18144"/>
    <d v="2011-06-07T00:00:00"/>
    <s v="Critical"/>
    <s v="07-Jun-2011"/>
    <n v="48"/>
    <n v="207.08"/>
    <n v="0.09"/>
    <s v="Regular Air"/>
    <n v="-131.82"/>
    <n v="4.28"/>
    <n v="5.17"/>
    <s v="Dorothy Wardle"/>
    <s v="Northwest Territories"/>
    <x v="1"/>
    <s v="Corporate"/>
    <s v="Office Supplies"/>
    <x v="12"/>
    <x v="27"/>
    <d v="2011-06-09T00:00:00"/>
    <s v="09-Jun-2011"/>
  </r>
  <r>
    <n v="43236"/>
    <d v="2010-07-03T00:00:00"/>
    <s v="Not Specified"/>
    <s v="03-Jul-2010"/>
    <n v="20"/>
    <n v="205.33"/>
    <n v="0"/>
    <s v="Regular Air"/>
    <n v="10.68"/>
    <n v="9.77"/>
    <n v="6.02"/>
    <s v="Jamie Kunitz"/>
    <s v="Northwest Territories"/>
    <x v="1"/>
    <s v="Corporate"/>
    <s v="Furniture"/>
    <x v="7"/>
    <x v="23"/>
    <d v="2010-07-05T00:00:00"/>
    <s v="05-Jul-2010"/>
  </r>
  <r>
    <n v="29030"/>
    <d v="2012-01-02T00:00:00"/>
    <s v="Medium"/>
    <s v="02-Jan-2012"/>
    <n v="10"/>
    <n v="192.58"/>
    <n v="0.05"/>
    <s v="Regular Air"/>
    <n v="24.6"/>
    <n v="19.84"/>
    <n v="4.0999999999999996"/>
    <s v="Roy Skaria"/>
    <s v="Northwest Territories"/>
    <x v="1"/>
    <s v="Corporate"/>
    <s v="Office Supplies"/>
    <x v="13"/>
    <x v="47"/>
    <d v="2012-01-03T00:00:00"/>
    <s v="03-Jan-2012"/>
  </r>
  <r>
    <n v="53156"/>
    <d v="2012-03-10T00:00:00"/>
    <s v="Not Specified"/>
    <s v="10-Mar-2012"/>
    <n v="47"/>
    <n v="186.93"/>
    <n v="7.0000000000000007E-2"/>
    <s v="Regular Air"/>
    <n v="56.44"/>
    <n v="4.13"/>
    <n v="0.99"/>
    <s v="Bryan Davis"/>
    <s v="Northwest Territories"/>
    <x v="1"/>
    <s v="Corporate"/>
    <s v="Office Supplies"/>
    <x v="9"/>
    <x v="4"/>
    <d v="2012-03-11T00:00:00"/>
    <s v="11-Mar-2012"/>
  </r>
  <r>
    <n v="9763"/>
    <d v="2011-08-13T00:00:00"/>
    <s v="Medium"/>
    <s v="13-Aug-2011"/>
    <n v="44"/>
    <n v="176.26"/>
    <n v="7.0000000000000007E-2"/>
    <s v="Regular Air"/>
    <n v="75.13"/>
    <n v="4.13"/>
    <n v="0.5"/>
    <s v="Alan Barnes"/>
    <s v="Northwest Territories"/>
    <x v="1"/>
    <s v="Corporate"/>
    <s v="Office Supplies"/>
    <x v="9"/>
    <x v="4"/>
    <d v="2011-08-16T00:00:00"/>
    <s v="16-Aug-2011"/>
  </r>
  <r>
    <n v="18887"/>
    <d v="2010-12-05T00:00:00"/>
    <s v="Not Specified"/>
    <s v="05-Dec-2010"/>
    <n v="9"/>
    <n v="173.417"/>
    <n v="0"/>
    <s v="Regular Air"/>
    <n v="18.23"/>
    <n v="20.99"/>
    <n v="0.99"/>
    <s v="Clay Rozendal"/>
    <s v="Northwest Territories"/>
    <x v="1"/>
    <s v="Corporate"/>
    <s v="Technology"/>
    <x v="10"/>
    <x v="7"/>
    <d v="2010-12-07T00:00:00"/>
    <s v="07-Dec-2010"/>
  </r>
  <r>
    <n v="34177"/>
    <d v="2009-08-15T00:00:00"/>
    <s v="High"/>
    <s v="15-Aug-2009"/>
    <n v="26"/>
    <n v="172.76"/>
    <n v="0.1"/>
    <s v="Regular Air"/>
    <n v="73.180000000000007"/>
    <n v="7.31"/>
    <n v="0.49"/>
    <s v="Toby Braunhardt"/>
    <s v="Northwest Territories"/>
    <x v="1"/>
    <s v="Corporate"/>
    <s v="Office Supplies"/>
    <x v="9"/>
    <x v="1"/>
    <d v="2009-08-16T00:00:00"/>
    <s v="16-Aug-2009"/>
  </r>
  <r>
    <n v="55715"/>
    <d v="2011-04-02T00:00:00"/>
    <s v="Critical"/>
    <s v="02-Apr-2011"/>
    <n v="28"/>
    <n v="168.57"/>
    <n v="0.02"/>
    <s v="Express Air"/>
    <n v="16.649999999999999"/>
    <n v="5.28"/>
    <n v="2.99"/>
    <s v="Eugene Barchas"/>
    <s v="Northwest Territories"/>
    <x v="1"/>
    <s v="Corporate"/>
    <s v="Office Supplies"/>
    <x v="1"/>
    <x v="7"/>
    <d v="2011-04-04T00:00:00"/>
    <s v="04-Apr-2011"/>
  </r>
  <r>
    <n v="28289"/>
    <d v="2010-01-14T00:00:00"/>
    <s v="High"/>
    <s v="14-Jan-2010"/>
    <n v="31"/>
    <n v="166.76"/>
    <n v="0.01"/>
    <s v="Regular Air"/>
    <n v="-46.03"/>
    <n v="4.9800000000000004"/>
    <n v="4.75"/>
    <s v="Carl Ludwig"/>
    <s v="Northwest Territories"/>
    <x v="1"/>
    <s v="Corporate"/>
    <s v="Office Supplies"/>
    <x v="12"/>
    <x v="10"/>
    <d v="2010-01-15T00:00:00"/>
    <s v="15-Jan-2010"/>
  </r>
  <r>
    <n v="31270"/>
    <d v="2012-11-23T00:00:00"/>
    <s v="Medium"/>
    <s v="23-Nov-2012"/>
    <n v="5"/>
    <n v="165.04"/>
    <n v="0.03"/>
    <s v="Regular Air"/>
    <n v="-112.44"/>
    <n v="30.42"/>
    <n v="8.65"/>
    <s v="Michelle Lonsdale"/>
    <s v="Northwest Territories"/>
    <x v="1"/>
    <s v="Corporate"/>
    <s v="Technology"/>
    <x v="11"/>
    <x v="37"/>
    <d v="2012-11-25T00:00:00"/>
    <s v="25-Nov-2012"/>
  </r>
  <r>
    <n v="28003"/>
    <d v="2011-03-19T00:00:00"/>
    <s v="Critical"/>
    <s v="19-Mar-2011"/>
    <n v="31"/>
    <n v="157.79"/>
    <n v="0.09"/>
    <s v="Regular Air"/>
    <n v="-95.92"/>
    <n v="4.9800000000000004"/>
    <n v="6.07"/>
    <s v="Charles McCrossin"/>
    <s v="Northwest Territories"/>
    <x v="1"/>
    <s v="Corporate"/>
    <s v="Office Supplies"/>
    <x v="12"/>
    <x v="10"/>
    <d v="2011-03-21T00:00:00"/>
    <s v="21-Mar-2011"/>
  </r>
  <r>
    <n v="47462"/>
    <d v="2011-06-09T00:00:00"/>
    <s v="High"/>
    <s v="09-Jun-2011"/>
    <n v="43"/>
    <n v="154.18"/>
    <n v="0.08"/>
    <s v="Regular Air"/>
    <n v="-166.92"/>
    <n v="3.58"/>
    <n v="5.47"/>
    <s v="Susan Vittorini"/>
    <s v="Northwest Territories"/>
    <x v="1"/>
    <s v="Corporate"/>
    <s v="Office Supplies"/>
    <x v="1"/>
    <x v="7"/>
    <d v="2011-06-11T00:00:00"/>
    <s v="11-Jun-2011"/>
  </r>
  <r>
    <n v="19686"/>
    <d v="2010-08-15T00:00:00"/>
    <s v="Medium"/>
    <s v="15-Aug-2010"/>
    <n v="11"/>
    <n v="152.66999999999999"/>
    <n v="0.04"/>
    <s v="Regular Air"/>
    <n v="12.76"/>
    <n v="12.95"/>
    <n v="4.9800000000000004"/>
    <s v="Alan Barnes"/>
    <s v="Northwest Territories"/>
    <x v="1"/>
    <s v="Corporate"/>
    <s v="Office Supplies"/>
    <x v="1"/>
    <x v="27"/>
    <d v="2010-08-17T00:00:00"/>
    <s v="17-Aug-2010"/>
  </r>
  <r>
    <n v="24871"/>
    <d v="2011-03-23T00:00:00"/>
    <s v="Medium"/>
    <s v="23-Mar-2011"/>
    <n v="6"/>
    <n v="143.78"/>
    <n v="0.04"/>
    <s v="Regular Air"/>
    <n v="75.3"/>
    <n v="22.72"/>
    <n v="8.99"/>
    <s v="Carl Ludwig"/>
    <s v="Northwest Territories"/>
    <x v="1"/>
    <s v="Corporate"/>
    <s v="Furniture"/>
    <x v="7"/>
    <x v="47"/>
    <d v="2011-03-24T00:00:00"/>
    <s v="24-Mar-2011"/>
  </r>
  <r>
    <n v="33894"/>
    <d v="2010-06-14T00:00:00"/>
    <s v="Critical"/>
    <s v="14-Jun-2010"/>
    <n v="14"/>
    <n v="140.66"/>
    <n v="0"/>
    <s v="Regular Air"/>
    <n v="11.34"/>
    <n v="9.27"/>
    <n v="4.3899999999999997"/>
    <s v="Doug Bickford"/>
    <s v="Northwest Territories"/>
    <x v="1"/>
    <s v="Corporate"/>
    <s v="Office Supplies"/>
    <x v="12"/>
    <x v="1"/>
    <d v="2010-06-17T00:00:00"/>
    <s v="17-Jun-2010"/>
  </r>
  <r>
    <n v="47462"/>
    <d v="2011-06-09T00:00:00"/>
    <s v="High"/>
    <s v="09-Jun-2011"/>
    <n v="41"/>
    <n v="137.51"/>
    <n v="0.02"/>
    <s v="Regular Air"/>
    <n v="21.62"/>
    <n v="3.29"/>
    <n v="1.35"/>
    <s v="Susan Vittorini"/>
    <s v="Northwest Territories"/>
    <x v="1"/>
    <s v="Corporate"/>
    <s v="Office Supplies"/>
    <x v="16"/>
    <x v="27"/>
    <d v="2011-06-11T00:00:00"/>
    <s v="11-Jun-2011"/>
  </r>
  <r>
    <n v="52193"/>
    <d v="2010-03-05T00:00:00"/>
    <s v="Not Specified"/>
    <s v="05-Mar-2010"/>
    <n v="47"/>
    <n v="137.18"/>
    <n v="7.0000000000000007E-2"/>
    <s v="Regular Air"/>
    <n v="6.04"/>
    <n v="2.94"/>
    <n v="0.96"/>
    <s v="Mike Pelletier"/>
    <s v="Northwest Territories"/>
    <x v="1"/>
    <s v="Corporate"/>
    <s v="Office Supplies"/>
    <x v="13"/>
    <x v="15"/>
    <d v="2010-03-07T00:00:00"/>
    <s v="07-Mar-2010"/>
  </r>
  <r>
    <n v="16423"/>
    <d v="2012-08-05T00:00:00"/>
    <s v="Medium"/>
    <s v="05-Aug-2012"/>
    <n v="19"/>
    <n v="128.21"/>
    <n v="0.05"/>
    <s v="Regular Air"/>
    <n v="-55.13"/>
    <n v="6.48"/>
    <n v="6.57"/>
    <s v="Bryan Davis"/>
    <s v="Northwest Territories"/>
    <x v="1"/>
    <s v="Corporate"/>
    <s v="Office Supplies"/>
    <x v="12"/>
    <x v="7"/>
    <d v="2012-08-07T00:00:00"/>
    <s v="07-Aug-2012"/>
  </r>
  <r>
    <n v="33444"/>
    <d v="2012-10-06T00:00:00"/>
    <s v="Medium"/>
    <s v="06-Oct-2012"/>
    <n v="8"/>
    <n v="127.8"/>
    <n v="7.0000000000000007E-2"/>
    <s v="Regular Air"/>
    <n v="-30.48"/>
    <n v="14.97"/>
    <n v="7.51"/>
    <s v="Alan Barnes"/>
    <s v="Northwest Territories"/>
    <x v="1"/>
    <s v="Corporate"/>
    <s v="Office Supplies"/>
    <x v="4"/>
    <x v="6"/>
    <d v="2012-10-08T00:00:00"/>
    <s v="08-Oct-2012"/>
  </r>
  <r>
    <n v="39683"/>
    <d v="2011-08-10T00:00:00"/>
    <s v="High"/>
    <s v="10-Aug-2011"/>
    <n v="6"/>
    <n v="126.02"/>
    <n v="0.09"/>
    <s v="Regular Air"/>
    <n v="66.97"/>
    <n v="20.239999999999998"/>
    <n v="6.67"/>
    <s v="Jeremy Lonsdale"/>
    <s v="Northwest Territories"/>
    <x v="1"/>
    <s v="Corporate"/>
    <s v="Furniture"/>
    <x v="7"/>
    <x v="19"/>
    <d v="2011-08-11T00:00:00"/>
    <s v="11-Aug-2011"/>
  </r>
  <r>
    <n v="26023"/>
    <d v="2010-08-20T00:00:00"/>
    <s v="High"/>
    <s v="20-Aug-2010"/>
    <n v="49"/>
    <n v="120.77"/>
    <n v="0.03"/>
    <s v="Regular Air"/>
    <n v="19.86"/>
    <n v="2.4700000000000002"/>
    <n v="1.02"/>
    <s v="Charles McCrossin"/>
    <s v="Northwest Territories"/>
    <x v="1"/>
    <s v="Corporate"/>
    <s v="Office Supplies"/>
    <x v="16"/>
    <x v="1"/>
    <d v="2010-08-21T00:00:00"/>
    <s v="21-Aug-2010"/>
  </r>
  <r>
    <n v="18308"/>
    <d v="2009-10-09T00:00:00"/>
    <s v="Not Specified"/>
    <s v="09-Oct-2009"/>
    <n v="30"/>
    <n v="114.12"/>
    <n v="0.05"/>
    <s v="Regular Air"/>
    <n v="15.73"/>
    <n v="3.8"/>
    <n v="1.49"/>
    <s v="Ann Chong"/>
    <s v="Northwest Territories"/>
    <x v="1"/>
    <s v="Corporate"/>
    <s v="Office Supplies"/>
    <x v="1"/>
    <x v="1"/>
    <d v="2009-10-11T00:00:00"/>
    <s v="11-Oct-2009"/>
  </r>
  <r>
    <n v="44071"/>
    <d v="2012-04-15T00:00:00"/>
    <s v="Not Specified"/>
    <s v="15-Apr-2012"/>
    <n v="19"/>
    <n v="110.67"/>
    <n v="0.08"/>
    <s v="Regular Air"/>
    <n v="-43.75"/>
    <n v="5.99"/>
    <n v="4.92"/>
    <s v="Frank Price"/>
    <s v="Northwest Territories"/>
    <x v="1"/>
    <s v="Corporate"/>
    <s v="Office Supplies"/>
    <x v="1"/>
    <x v="1"/>
    <d v="2012-04-16T00:00:00"/>
    <s v="16-Apr-2012"/>
  </r>
  <r>
    <n v="31393"/>
    <d v="2012-05-11T00:00:00"/>
    <s v="Critical"/>
    <s v="11-May-2012"/>
    <n v="31"/>
    <n v="110.32"/>
    <n v="0.09"/>
    <s v="Regular Air"/>
    <n v="-32.65"/>
    <n v="3.68"/>
    <n v="1.32"/>
    <s v="Cindy Schnelling"/>
    <s v="Northwest Territories"/>
    <x v="1"/>
    <s v="Corporate"/>
    <s v="Office Supplies"/>
    <x v="14"/>
    <x v="34"/>
    <d v="2012-05-13T00:00:00"/>
    <s v="13-May-2012"/>
  </r>
  <r>
    <n v="47462"/>
    <d v="2011-06-09T00:00:00"/>
    <s v="High"/>
    <s v="09-Jun-2011"/>
    <n v="18"/>
    <n v="110.31"/>
    <n v="0.05"/>
    <s v="Regular Air"/>
    <n v="-1.22"/>
    <n v="5.85"/>
    <n v="2.27"/>
    <s v="Susan Vittorini"/>
    <s v="Northwest Territories"/>
    <x v="1"/>
    <s v="Corporate"/>
    <s v="Office Supplies"/>
    <x v="13"/>
    <x v="0"/>
    <d v="2011-06-11T00:00:00"/>
    <s v="11-Jun-2011"/>
  </r>
  <r>
    <n v="23264"/>
    <d v="2010-12-07T00:00:00"/>
    <s v="Critical"/>
    <s v="07-Dec-2010"/>
    <n v="16"/>
    <n v="108.42"/>
    <n v="0.02"/>
    <s v="Regular Air"/>
    <n v="-50.82"/>
    <n v="6.48"/>
    <n v="6.81"/>
    <s v="Clay Rozendal"/>
    <s v="Northwest Territories"/>
    <x v="1"/>
    <s v="Corporate"/>
    <s v="Office Supplies"/>
    <x v="12"/>
    <x v="10"/>
    <d v="2010-12-09T00:00:00"/>
    <s v="09-Dec-2010"/>
  </r>
  <r>
    <n v="37860"/>
    <d v="2010-08-27T00:00:00"/>
    <s v="Medium"/>
    <s v="27-Aug-2010"/>
    <n v="1"/>
    <n v="104.85"/>
    <n v="7.0000000000000007E-2"/>
    <s v="Regular Air"/>
    <n v="-98.31"/>
    <n v="55.5"/>
    <n v="52.2"/>
    <s v="Mike Pelletier"/>
    <s v="Northwest Territories"/>
    <x v="1"/>
    <s v="Corporate"/>
    <s v="Furniture"/>
    <x v="7"/>
    <x v="13"/>
    <d v="2010-08-29T00:00:00"/>
    <s v="29-Aug-2010"/>
  </r>
  <r>
    <n v="24038"/>
    <d v="2011-06-20T00:00:00"/>
    <s v="High"/>
    <s v="20-Jun-2011"/>
    <n v="38"/>
    <n v="103.07"/>
    <n v="0.1"/>
    <s v="Regular Air"/>
    <n v="-0.95"/>
    <n v="2.78"/>
    <n v="1.34"/>
    <s v="Jack Lebron"/>
    <s v="Northwest Territories"/>
    <x v="1"/>
    <s v="Corporate"/>
    <s v="Office Supplies"/>
    <x v="13"/>
    <x v="45"/>
    <d v="2011-06-22T00:00:00"/>
    <s v="22-Jun-2011"/>
  </r>
  <r>
    <n v="33377"/>
    <d v="2011-07-31T00:00:00"/>
    <s v="High"/>
    <s v="31-Jul-2011"/>
    <n v="20"/>
    <n v="100.4"/>
    <n v="0.06"/>
    <s v="Regular Air"/>
    <n v="11.94"/>
    <n v="5.18"/>
    <n v="2.04"/>
    <s v="Beth Thompson"/>
    <s v="Northwest Territories"/>
    <x v="1"/>
    <s v="Corporate"/>
    <s v="Office Supplies"/>
    <x v="12"/>
    <x v="10"/>
    <d v="2011-08-02T00:00:00"/>
    <s v="02-Aug-2011"/>
  </r>
  <r>
    <n v="31393"/>
    <d v="2012-05-11T00:00:00"/>
    <s v="Critical"/>
    <s v="11-May-2012"/>
    <n v="4"/>
    <n v="97.57"/>
    <n v="0.04"/>
    <s v="Regular Air"/>
    <n v="-27.31"/>
    <n v="19.940000000000001"/>
    <n v="14.87"/>
    <s v="Cindy Schnelling"/>
    <s v="Northwest Territories"/>
    <x v="1"/>
    <s v="Corporate"/>
    <s v="Furniture"/>
    <x v="7"/>
    <x v="6"/>
    <d v="2012-05-12T00:00:00"/>
    <s v="12-May-2012"/>
  </r>
  <r>
    <n v="48839"/>
    <d v="2010-07-10T00:00:00"/>
    <s v="Critical"/>
    <s v="10-Jul-2010"/>
    <n v="1"/>
    <n v="97.13"/>
    <n v="0.05"/>
    <s v="Regular Air"/>
    <n v="-37.06"/>
    <n v="98.31"/>
    <n v="0.49"/>
    <s v="Carlos Daly"/>
    <s v="Northwest Territories"/>
    <x v="1"/>
    <s v="Corporate"/>
    <s v="Office Supplies"/>
    <x v="9"/>
    <x v="10"/>
    <d v="2010-07-12T00:00:00"/>
    <s v="12-Jul-2010"/>
  </r>
  <r>
    <n v="43109"/>
    <d v="2012-12-21T00:00:00"/>
    <s v="Critical"/>
    <s v="21-Dec-2012"/>
    <n v="10"/>
    <n v="97.02"/>
    <n v="0.06"/>
    <s v="Regular Air"/>
    <n v="-3.96"/>
    <n v="10.01"/>
    <n v="1.99"/>
    <s v="Dorothy Wardle"/>
    <s v="Northwest Territories"/>
    <x v="1"/>
    <s v="Corporate"/>
    <s v="Technology"/>
    <x v="11"/>
    <x v="25"/>
    <d v="2012-12-22T00:00:00"/>
    <s v="22-Dec-2012"/>
  </r>
  <r>
    <n v="12929"/>
    <d v="2010-08-30T00:00:00"/>
    <s v="Critical"/>
    <s v="30-Aug-2010"/>
    <n v="20"/>
    <n v="95.3"/>
    <n v="0"/>
    <s v="Regular Air"/>
    <n v="29.68"/>
    <n v="4.4800000000000004"/>
    <n v="1.22"/>
    <s v="Jim Radford"/>
    <s v="Northwest Territories"/>
    <x v="1"/>
    <s v="Corporate"/>
    <s v="Office Supplies"/>
    <x v="12"/>
    <x v="10"/>
    <d v="2010-08-31T00:00:00"/>
    <s v="31-Aug-2010"/>
  </r>
  <r>
    <n v="26567"/>
    <d v="2009-09-04T00:00:00"/>
    <s v="Critical"/>
    <s v="04-Sep-2009"/>
    <n v="10"/>
    <n v="90.06"/>
    <n v="0.09"/>
    <s v="Express Air"/>
    <n v="-100.51"/>
    <n v="8.4600000000000009"/>
    <n v="8.99"/>
    <s v="Sylvia Foulston"/>
    <s v="Northwest Territories"/>
    <x v="1"/>
    <s v="Corporate"/>
    <s v="Technology"/>
    <x v="11"/>
    <x v="11"/>
    <d v="2009-09-07T00:00:00"/>
    <s v="07-Sep-2009"/>
  </r>
  <r>
    <n v="31684"/>
    <d v="2012-09-16T00:00:00"/>
    <s v="Critical"/>
    <s v="16-Sep-2012"/>
    <n v="15"/>
    <n v="89.97"/>
    <n v="0.02"/>
    <s v="Regular Air"/>
    <n v="23.48"/>
    <n v="5.68"/>
    <n v="1.46"/>
    <s v="Susan Vittorini"/>
    <s v="Northwest Territories"/>
    <x v="1"/>
    <s v="Corporate"/>
    <s v="Office Supplies"/>
    <x v="12"/>
    <x v="4"/>
    <d v="2012-09-19T00:00:00"/>
    <s v="19-Sep-2012"/>
  </r>
  <r>
    <n v="10535"/>
    <d v="2011-05-27T00:00:00"/>
    <s v="Low"/>
    <s v="27-May-2011"/>
    <n v="46"/>
    <n v="80.27"/>
    <n v="0.09"/>
    <s v="Regular Air"/>
    <n v="-0.79"/>
    <n v="1.76"/>
    <n v="0.7"/>
    <s v="Doug Bickford"/>
    <s v="Northwest Territories"/>
    <x v="1"/>
    <s v="Corporate"/>
    <s v="Office Supplies"/>
    <x v="13"/>
    <x v="0"/>
    <d v="2011-06-03T00:00:00"/>
    <s v="03-Jun-2011"/>
  </r>
  <r>
    <n v="31781"/>
    <d v="2009-01-16T00:00:00"/>
    <s v="Medium"/>
    <s v="16-Jan-2009"/>
    <n v="41"/>
    <n v="78.489999999999995"/>
    <n v="0.03"/>
    <s v="Regular Air"/>
    <n v="5.53"/>
    <n v="1.81"/>
    <n v="0.75"/>
    <s v="Sylvia Foulston"/>
    <s v="Northwest Territories"/>
    <x v="1"/>
    <s v="Corporate"/>
    <s v="Office Supplies"/>
    <x v="16"/>
    <x v="24"/>
    <d v="2009-01-17T00:00:00"/>
    <s v="17-Jan-2009"/>
  </r>
  <r>
    <n v="23264"/>
    <d v="2010-12-07T00:00:00"/>
    <s v="Critical"/>
    <s v="07-Dec-2010"/>
    <n v="27"/>
    <n v="78.47"/>
    <n v="0.06"/>
    <s v="Regular Air"/>
    <n v="17.989999999999998"/>
    <n v="2.88"/>
    <n v="0.99"/>
    <s v="Clay Rozendal"/>
    <s v="Northwest Territories"/>
    <x v="1"/>
    <s v="Corporate"/>
    <s v="Office Supplies"/>
    <x v="9"/>
    <x v="10"/>
    <d v="2010-12-09T00:00:00"/>
    <s v="09-Dec-2010"/>
  </r>
  <r>
    <n v="12544"/>
    <d v="2009-03-03T00:00:00"/>
    <s v="Low"/>
    <s v="03-Mar-2009"/>
    <n v="34"/>
    <n v="74.3"/>
    <n v="0.08"/>
    <s v="Regular Air"/>
    <n v="-129.01"/>
    <n v="2.08"/>
    <n v="5.33"/>
    <s v="Jim Radford"/>
    <s v="Northwest Territories"/>
    <x v="1"/>
    <s v="Corporate"/>
    <s v="Furniture"/>
    <x v="7"/>
    <x v="21"/>
    <d v="2009-03-10T00:00:00"/>
    <s v="10-Mar-2009"/>
  </r>
  <r>
    <n v="11941"/>
    <d v="2010-06-24T00:00:00"/>
    <s v="Critical"/>
    <s v="24-Jun-2010"/>
    <n v="4"/>
    <n v="73.069999999999993"/>
    <n v="0.08"/>
    <s v="Regular Air"/>
    <n v="-41.01"/>
    <n v="15.7"/>
    <n v="11.25"/>
    <s v="Jamie Kunitz"/>
    <s v="Northwest Territories"/>
    <x v="1"/>
    <s v="Corporate"/>
    <s v="Office Supplies"/>
    <x v="4"/>
    <x v="18"/>
    <d v="2010-06-25T00:00:00"/>
    <s v="25-Jun-2010"/>
  </r>
  <r>
    <n v="39846"/>
    <d v="2009-02-27T00:00:00"/>
    <s v="Low"/>
    <s v="27-Feb-2009"/>
    <n v="14"/>
    <n v="71.47"/>
    <n v="0.06"/>
    <s v="Regular Air"/>
    <n v="-62.73"/>
    <n v="4.9800000000000004"/>
    <n v="4.62"/>
    <s v="Cindy Schnelling"/>
    <s v="Northwest Territories"/>
    <x v="1"/>
    <s v="Corporate"/>
    <s v="Technology"/>
    <x v="11"/>
    <x v="28"/>
    <d v="2009-03-06T00:00:00"/>
    <s v="06-Mar-2009"/>
  </r>
  <r>
    <n v="39683"/>
    <d v="2011-08-10T00:00:00"/>
    <s v="High"/>
    <s v="10-Aug-2011"/>
    <n v="30"/>
    <n v="68.14"/>
    <n v="0"/>
    <s v="Regular Air"/>
    <n v="6.37"/>
    <n v="2.1800000000000002"/>
    <n v="0.78"/>
    <s v="Jeremy Lonsdale"/>
    <s v="Northwest Territories"/>
    <x v="1"/>
    <s v="Corporate"/>
    <s v="Office Supplies"/>
    <x v="16"/>
    <x v="24"/>
    <d v="2011-08-12T00:00:00"/>
    <s v="12-Aug-2011"/>
  </r>
  <r>
    <n v="33703"/>
    <d v="2010-02-06T00:00:00"/>
    <s v="Not Specified"/>
    <s v="06-Feb-2010"/>
    <n v="4"/>
    <n v="63.52"/>
    <n v="0.08"/>
    <s v="Express Air"/>
    <n v="-8.4700000000000006"/>
    <n v="12.21"/>
    <n v="4.8099999999999996"/>
    <s v="Carl Ludwig"/>
    <s v="Northwest Territories"/>
    <x v="1"/>
    <s v="Corporate"/>
    <s v="Office Supplies"/>
    <x v="4"/>
    <x v="15"/>
    <d v="2010-02-08T00:00:00"/>
    <s v="08-Feb-2010"/>
  </r>
  <r>
    <n v="27909"/>
    <d v="2012-02-07T00:00:00"/>
    <s v="Critical"/>
    <s v="07-Feb-2012"/>
    <n v="1"/>
    <n v="62.26"/>
    <n v="0.09"/>
    <s v="Regular Air"/>
    <n v="-23.24"/>
    <n v="54.96"/>
    <n v="10.75"/>
    <s v="Monica Federle"/>
    <s v="Northwest Territories"/>
    <x v="1"/>
    <s v="Corporate"/>
    <s v="Office Supplies"/>
    <x v="12"/>
    <x v="10"/>
    <d v="2012-02-09T00:00:00"/>
    <s v="09-Feb-2012"/>
  </r>
  <r>
    <n v="27909"/>
    <d v="2012-02-07T00:00:00"/>
    <s v="Critical"/>
    <s v="07-Feb-2012"/>
    <n v="47"/>
    <n v="58.53"/>
    <n v="7.0000000000000007E-2"/>
    <s v="Regular Air"/>
    <n v="-24.86"/>
    <n v="1.26"/>
    <n v="0.7"/>
    <s v="Monica Federle"/>
    <s v="Northwest Territories"/>
    <x v="1"/>
    <s v="Corporate"/>
    <s v="Office Supplies"/>
    <x v="16"/>
    <x v="43"/>
    <d v="2012-02-10T00:00:00"/>
    <s v="10-Feb-2012"/>
  </r>
  <r>
    <n v="33159"/>
    <d v="2012-04-27T00:00:00"/>
    <s v="Medium"/>
    <s v="27-Apr-2012"/>
    <n v="3"/>
    <n v="56.695"/>
    <n v="0.01"/>
    <s v="Regular Air"/>
    <n v="-70.97"/>
    <n v="20.99"/>
    <n v="0.99"/>
    <s v="Cindy Schnelling"/>
    <s v="Northwest Territories"/>
    <x v="1"/>
    <s v="Corporate"/>
    <s v="Technology"/>
    <x v="10"/>
    <x v="7"/>
    <d v="2012-04-29T00:00:00"/>
    <s v="29-Apr-2012"/>
  </r>
  <r>
    <n v="21285"/>
    <d v="2010-07-03T00:00:00"/>
    <s v="Medium"/>
    <s v="03-Jul-2010"/>
    <n v="32"/>
    <n v="54.78"/>
    <n v="0.02"/>
    <s v="Regular Air"/>
    <n v="-30.54"/>
    <n v="1.68"/>
    <n v="1.57"/>
    <s v="Adrian Hane"/>
    <s v="Northwest Territories"/>
    <x v="1"/>
    <s v="Corporate"/>
    <s v="Office Supplies"/>
    <x v="13"/>
    <x v="14"/>
    <d v="2010-07-04T00:00:00"/>
    <s v="04-Jul-2010"/>
  </r>
  <r>
    <n v="44772"/>
    <d v="2009-03-31T00:00:00"/>
    <s v="Not Specified"/>
    <s v="31-Mar-2009"/>
    <n v="1"/>
    <n v="54.076999999999998"/>
    <n v="7.0000000000000007E-2"/>
    <s v="Express Air"/>
    <n v="-232.99"/>
    <n v="55.99"/>
    <n v="5"/>
    <s v="Dorothy Wardle"/>
    <s v="Northwest Territories"/>
    <x v="1"/>
    <s v="Corporate"/>
    <s v="Technology"/>
    <x v="10"/>
    <x v="34"/>
    <d v="2009-04-02T00:00:00"/>
    <s v="02-Apr-2009"/>
  </r>
  <r>
    <n v="47873"/>
    <d v="2010-11-13T00:00:00"/>
    <s v="Critical"/>
    <s v="13-Nov-2010"/>
    <n v="8"/>
    <n v="52.39"/>
    <n v="0.08"/>
    <s v="Regular Air"/>
    <n v="-17.38"/>
    <n v="5.89"/>
    <n v="5.57"/>
    <s v="Doug Bickford"/>
    <s v="Northwest Territories"/>
    <x v="1"/>
    <s v="Corporate"/>
    <s v="Furniture"/>
    <x v="7"/>
    <x v="25"/>
    <d v="2010-11-15T00:00:00"/>
    <s v="15-Nov-2010"/>
  </r>
  <r>
    <n v="50278"/>
    <d v="2010-05-25T00:00:00"/>
    <s v="High"/>
    <s v="25-May-2010"/>
    <n v="2"/>
    <n v="51.21"/>
    <n v="0"/>
    <s v="Regular Air"/>
    <n v="-27.53"/>
    <n v="20.98"/>
    <n v="8.83"/>
    <s v="Beth Thompson"/>
    <s v="Northwest Territories"/>
    <x v="1"/>
    <s v="Corporate"/>
    <s v="Office Supplies"/>
    <x v="1"/>
    <x v="7"/>
    <d v="2010-05-25T00:00:00"/>
    <s v="25-May-2010"/>
  </r>
  <r>
    <n v="26567"/>
    <d v="2009-09-04T00:00:00"/>
    <s v="Critical"/>
    <s v="04-Sep-2009"/>
    <n v="8"/>
    <n v="50.7"/>
    <n v="0.08"/>
    <s v="Regular Air"/>
    <n v="-44.07"/>
    <n v="5.4"/>
    <n v="7.78"/>
    <s v="Sylvia Foulston"/>
    <s v="Northwest Territories"/>
    <x v="1"/>
    <s v="Corporate"/>
    <s v="Office Supplies"/>
    <x v="1"/>
    <x v="7"/>
    <d v="2009-09-04T00:00:00"/>
    <s v="04-Sep-2009"/>
  </r>
  <r>
    <n v="33894"/>
    <d v="2010-06-14T00:00:00"/>
    <s v="Critical"/>
    <s v="14-Jun-2010"/>
    <n v="5"/>
    <n v="42.89"/>
    <n v="0.02"/>
    <s v="Regular Air"/>
    <n v="-32.479999999999997"/>
    <n v="6.84"/>
    <n v="8.3699999999999992"/>
    <s v="Doug Bickford"/>
    <s v="Northwest Territories"/>
    <x v="1"/>
    <s v="Corporate"/>
    <s v="Office Supplies"/>
    <x v="14"/>
    <x v="15"/>
    <d v="2010-06-15T00:00:00"/>
    <s v="15-Jun-2010"/>
  </r>
  <r>
    <n v="19686"/>
    <d v="2010-08-15T00:00:00"/>
    <s v="Medium"/>
    <s v="15-Aug-2010"/>
    <n v="2"/>
    <n v="42.31"/>
    <n v="0.06"/>
    <s v="Regular Air"/>
    <n v="-53.08"/>
    <n v="17.98"/>
    <n v="8.51"/>
    <s v="Alan Barnes"/>
    <s v="Northwest Territories"/>
    <x v="1"/>
    <s v="Corporate"/>
    <s v="Technology"/>
    <x v="0"/>
    <x v="27"/>
    <d v="2010-08-15T00:00:00"/>
    <s v="15-Aug-2010"/>
  </r>
  <r>
    <n v="12352"/>
    <d v="2012-03-23T00:00:00"/>
    <s v="Medium"/>
    <s v="23-Mar-2012"/>
    <n v="5"/>
    <n v="36.86"/>
    <n v="7.0000000000000007E-2"/>
    <s v="Regular Air"/>
    <n v="-32.82"/>
    <n v="5.81"/>
    <n v="8.49"/>
    <s v="Hunter Glantz"/>
    <s v="Northwest Territories"/>
    <x v="1"/>
    <s v="Corporate"/>
    <s v="Office Supplies"/>
    <x v="1"/>
    <x v="4"/>
    <d v="2012-03-24T00:00:00"/>
    <s v="24-Mar-2012"/>
  </r>
  <r>
    <n v="34177"/>
    <d v="2009-08-15T00:00:00"/>
    <s v="High"/>
    <s v="15-Aug-2009"/>
    <n v="13"/>
    <n v="34.42"/>
    <n v="0.02"/>
    <s v="Regular Air"/>
    <n v="9.4700000000000006"/>
    <n v="2.61"/>
    <n v="0.5"/>
    <s v="Toby Braunhardt"/>
    <s v="Northwest Territories"/>
    <x v="1"/>
    <s v="Corporate"/>
    <s v="Office Supplies"/>
    <x v="9"/>
    <x v="4"/>
    <d v="2009-08-18T00:00:00"/>
    <s v="18-Aug-2009"/>
  </r>
  <r>
    <n v="26499"/>
    <d v="2010-02-21T00:00:00"/>
    <s v="Medium"/>
    <s v="21-Feb-2010"/>
    <n v="11"/>
    <n v="32.4"/>
    <n v="0.05"/>
    <s v="Regular Air"/>
    <n v="8.7799999999999994"/>
    <n v="2.88"/>
    <n v="0.5"/>
    <s v="Sylvia Foulston"/>
    <s v="Northwest Territories"/>
    <x v="1"/>
    <s v="Corporate"/>
    <s v="Office Supplies"/>
    <x v="9"/>
    <x v="4"/>
    <d v="2010-02-22T00:00:00"/>
    <s v="22-Feb-2010"/>
  </r>
  <r>
    <n v="47460"/>
    <d v="2010-10-10T00:00:00"/>
    <s v="Critical"/>
    <s v="10-Oct-2010"/>
    <n v="12"/>
    <n v="31.6"/>
    <n v="0.1"/>
    <s v="Regular Air"/>
    <n v="-3.64"/>
    <n v="2.84"/>
    <n v="0.93"/>
    <s v="Jamie Kunitz"/>
    <s v="Northwest Territories"/>
    <x v="1"/>
    <s v="Corporate"/>
    <s v="Office Supplies"/>
    <x v="13"/>
    <x v="41"/>
    <d v="2010-10-12T00:00:00"/>
    <s v="12-Oct-2010"/>
  </r>
  <r>
    <n v="22501"/>
    <d v="2010-05-18T00:00:00"/>
    <s v="High"/>
    <s v="18-May-2010"/>
    <n v="2"/>
    <n v="30.83"/>
    <n v="0.04"/>
    <s v="Express Air"/>
    <n v="7.27"/>
    <n v="7.64"/>
    <n v="1.39"/>
    <s v="Alan Barnes"/>
    <s v="Northwest Territories"/>
    <x v="1"/>
    <s v="Corporate"/>
    <s v="Office Supplies"/>
    <x v="15"/>
    <x v="10"/>
    <d v="2010-05-19T00:00:00"/>
    <s v="19-May-2010"/>
  </r>
  <r>
    <n v="33444"/>
    <d v="2012-10-06T00:00:00"/>
    <s v="Medium"/>
    <s v="06-Oct-2012"/>
    <n v="11"/>
    <n v="30.51"/>
    <n v="0.09"/>
    <s v="Regular Air"/>
    <n v="-17.68"/>
    <n v="2.6"/>
    <n v="2.4"/>
    <s v="Alan Barnes"/>
    <s v="Northwest Territories"/>
    <x v="1"/>
    <s v="Corporate"/>
    <s v="Office Supplies"/>
    <x v="13"/>
    <x v="15"/>
    <d v="2012-10-07T00:00:00"/>
    <s v="07-Oct-2012"/>
  </r>
  <r>
    <n v="32229"/>
    <d v="2010-08-30T00:00:00"/>
    <s v="High"/>
    <s v="30-Aug-2010"/>
    <n v="15"/>
    <n v="28.68"/>
    <n v="0"/>
    <s v="Regular Air"/>
    <n v="-0.12"/>
    <n v="1.76"/>
    <n v="0.7"/>
    <s v="Carlos Daly"/>
    <s v="Northwest Territories"/>
    <x v="1"/>
    <s v="Corporate"/>
    <s v="Office Supplies"/>
    <x v="13"/>
    <x v="0"/>
    <d v="2010-08-31T00:00:00"/>
    <s v="31-Aug-2010"/>
  </r>
  <r>
    <n v="28165"/>
    <d v="2012-07-09T00:00:00"/>
    <s v="Not Specified"/>
    <s v="09-Jul-2012"/>
    <n v="2"/>
    <n v="24.96"/>
    <n v="0.05"/>
    <s v="Regular Air"/>
    <n v="-12.8"/>
    <n v="10.91"/>
    <n v="2.99"/>
    <s v="Grant Carroll"/>
    <s v="Northwest Territories"/>
    <x v="1"/>
    <s v="Corporate"/>
    <s v="Office Supplies"/>
    <x v="1"/>
    <x v="1"/>
    <d v="2012-07-11T00:00:00"/>
    <s v="11-Jul-2012"/>
  </r>
  <r>
    <n v="34631"/>
    <d v="2009-10-23T00:00:00"/>
    <s v="Not Specified"/>
    <s v="23-Oct-2009"/>
    <n v="5"/>
    <n v="22.06"/>
    <n v="0.06"/>
    <s v="Regular Air"/>
    <n v="-22.28"/>
    <n v="3.36"/>
    <n v="6.27"/>
    <s v="Brendan Dodson"/>
    <s v="Northwest Territories"/>
    <x v="1"/>
    <s v="Corporate"/>
    <s v="Office Supplies"/>
    <x v="1"/>
    <x v="27"/>
    <d v="2009-10-24T00:00:00"/>
    <s v="24-Oct-2009"/>
  </r>
  <r>
    <n v="41409"/>
    <d v="2011-07-21T00:00:00"/>
    <s v="Not Specified"/>
    <s v="21-Jul-2011"/>
    <n v="1"/>
    <n v="18.920000000000002"/>
    <n v="0"/>
    <s v="Regular Air"/>
    <n v="-18.25"/>
    <n v="11.5"/>
    <n v="7.19"/>
    <s v="Beth Thompson"/>
    <s v="Northwest Territories"/>
    <x v="1"/>
    <s v="Corporate"/>
    <s v="Office Supplies"/>
    <x v="1"/>
    <x v="27"/>
    <d v="2011-07-23T00:00:00"/>
    <s v="23-Jul-2011"/>
  </r>
  <r>
    <n v="16706"/>
    <d v="2012-06-27T00:00:00"/>
    <s v="High"/>
    <s v="27-Jun-2012"/>
    <n v="6"/>
    <n v="18.37"/>
    <n v="0.01"/>
    <s v="Regular Air"/>
    <n v="-4.0599999999999996"/>
    <n v="2.78"/>
    <n v="1.2"/>
    <s v="Beth Thompson"/>
    <s v="Northwest Territories"/>
    <x v="1"/>
    <s v="Corporate"/>
    <s v="Office Supplies"/>
    <x v="13"/>
    <x v="15"/>
    <d v="2012-06-28T00:00:00"/>
    <s v="28-Jun-2012"/>
  </r>
  <r>
    <n v="52193"/>
    <d v="2010-03-05T00:00:00"/>
    <s v="Not Specified"/>
    <s v="05-Mar-2010"/>
    <n v="1"/>
    <n v="17.89"/>
    <n v="0.04"/>
    <s v="Express Air"/>
    <n v="10.51"/>
    <n v="2.88"/>
    <n v="0.5"/>
    <s v="Mike Pelletier"/>
    <s v="Northwest Territories"/>
    <x v="1"/>
    <s v="Corporate"/>
    <s v="Office Supplies"/>
    <x v="9"/>
    <x v="4"/>
    <d v="2010-03-07T00:00:00"/>
    <s v="07-Mar-2010"/>
  </r>
  <r>
    <n v="1761"/>
    <d v="2010-12-23T00:00:00"/>
    <s v="High"/>
    <s v="23-Dec-2010"/>
    <n v="25"/>
    <n v="12028.23"/>
    <n v="0.01"/>
    <s v="Delivery Truck"/>
    <n v="-547.61"/>
    <n v="449.99"/>
    <n v="49"/>
    <s v="Carl Ludwig"/>
    <s v="Nunavut"/>
    <x v="2"/>
    <s v="Corporate"/>
    <s v="Technology"/>
    <x v="6"/>
    <x v="1"/>
    <d v="2010-12-25T00:00:00"/>
    <s v="25-Dec-2010"/>
  </r>
  <r>
    <n v="6116"/>
    <d v="2009-03-20T00:00:00"/>
    <s v="Medium"/>
    <s v="20-Mar-2009"/>
    <n v="6"/>
    <n v="9620.82"/>
    <n v="0.04"/>
    <s v="Regular Air"/>
    <n v="-1759.58"/>
    <n v="1637.53"/>
    <n v="24.49"/>
    <s v="Barry Weirich"/>
    <s v="Nunavut"/>
    <x v="2"/>
    <s v="Corporate"/>
    <s v="Office Supplies"/>
    <x v="14"/>
    <x v="43"/>
    <d v="2009-03-22T00:00:00"/>
    <s v="22-Mar-2009"/>
  </r>
  <r>
    <n v="7110"/>
    <d v="2011-08-07T00:00:00"/>
    <s v="Low"/>
    <s v="07-Aug-2011"/>
    <n v="22"/>
    <n v="6396.2"/>
    <n v="0.02"/>
    <s v="Regular Air"/>
    <n v="1902.24"/>
    <n v="276.2"/>
    <n v="24.49"/>
    <s v="Grant Carroll"/>
    <s v="Nunavut"/>
    <x v="2"/>
    <s v="Corporate"/>
    <s v="Furniture"/>
    <x v="2"/>
    <x v="49"/>
    <d v="2011-08-11T00:00:00"/>
    <s v="11-Aug-2011"/>
  </r>
  <r>
    <n v="2791"/>
    <d v="2009-10-09T00:00:00"/>
    <s v="High"/>
    <s v="09-Oct-2009"/>
    <n v="49"/>
    <n v="5586.33"/>
    <n v="0.09"/>
    <s v="Delivery Truck"/>
    <n v="80.44"/>
    <n v="120.98"/>
    <n v="30"/>
    <s v="Eugene Barchas"/>
    <s v="Nunavut"/>
    <x v="2"/>
    <s v="Corporate"/>
    <s v="Furniture"/>
    <x v="2"/>
    <x v="28"/>
    <d v="2009-10-11T00:00:00"/>
    <s v="11-Oct-2009"/>
  </r>
  <r>
    <n v="483"/>
    <d v="2011-07-10T00:00:00"/>
    <s v="High"/>
    <s v="10-Jul-2011"/>
    <n v="30"/>
    <n v="4965.7595000000001"/>
    <n v="0.08"/>
    <s v="Regular Air"/>
    <n v="1198.97"/>
    <n v="195.99"/>
    <n v="3.99"/>
    <s v="Clay Rozendal"/>
    <s v="Nunavut"/>
    <x v="2"/>
    <s v="Corporate"/>
    <s v="Technology"/>
    <x v="10"/>
    <x v="15"/>
    <d v="2011-07-12T00:00:00"/>
    <s v="12-Jul-2011"/>
  </r>
  <r>
    <n v="2757"/>
    <d v="2011-07-19T00:00:00"/>
    <s v="Critical"/>
    <s v="19-Jul-2011"/>
    <n v="39"/>
    <n v="3554.46"/>
    <n v="7.0000000000000007E-2"/>
    <s v="Delivery Truck"/>
    <n v="-1766.01"/>
    <n v="95.95"/>
    <n v="74.349999999999994"/>
    <s v="Julia West"/>
    <s v="Nunavut"/>
    <x v="2"/>
    <s v="Corporate"/>
    <s v="Furniture"/>
    <x v="2"/>
    <x v="6"/>
    <d v="2011-07-19T00:00:00"/>
    <s v="19-Jul-2011"/>
  </r>
  <r>
    <n v="643"/>
    <d v="2011-03-24T00:00:00"/>
    <s v="High"/>
    <s v="24-Mar-2011"/>
    <n v="21"/>
    <n v="2781.82"/>
    <n v="7.0000000000000007E-2"/>
    <s v="Express Air"/>
    <n v="-695.26"/>
    <n v="138.13999999999999"/>
    <n v="35"/>
    <s v="Monica Federle"/>
    <s v="Nunavut"/>
    <x v="2"/>
    <s v="Corporate"/>
    <s v="Office Supplies"/>
    <x v="4"/>
    <x v="49"/>
    <d v="2011-03-25T00:00:00"/>
    <s v="25-Mar-2011"/>
  </r>
  <r>
    <n v="1344"/>
    <d v="2012-04-15T00:00:00"/>
    <s v="Low"/>
    <s v="15-Apr-2012"/>
    <n v="18"/>
    <n v="2480.9205000000002"/>
    <n v="0.01"/>
    <s v="Regular Air"/>
    <n v="313.58"/>
    <n v="155.99"/>
    <n v="8.99"/>
    <s v="Jim Radford"/>
    <s v="Nunavut"/>
    <x v="2"/>
    <s v="Corporate"/>
    <s v="Technology"/>
    <x v="10"/>
    <x v="15"/>
    <d v="2012-04-19T00:00:00"/>
    <s v="19-Apr-2012"/>
  </r>
  <r>
    <n v="6982"/>
    <d v="2011-11-16T00:00:00"/>
    <s v="Not Specified"/>
    <s v="16-Nov-2011"/>
    <n v="32"/>
    <n v="1311.25"/>
    <n v="0"/>
    <s v="Express Air"/>
    <n v="407.44"/>
    <n v="39.479999999999997"/>
    <n v="1.99"/>
    <s v="Dorothy Wardle"/>
    <s v="Nunavut"/>
    <x v="2"/>
    <s v="Corporate"/>
    <s v="Technology"/>
    <x v="11"/>
    <x v="41"/>
    <d v="2011-11-18T00:00:00"/>
    <s v="18-Nov-2011"/>
  </r>
  <r>
    <n v="5316"/>
    <d v="2009-01-30T00:00:00"/>
    <s v="Critical"/>
    <s v="30-Jan-2009"/>
    <n v="42"/>
    <n v="1285.3699999999999"/>
    <n v="0.1"/>
    <s v="Regular Air"/>
    <n v="514.07000000000005"/>
    <n v="31.78"/>
    <n v="1.99"/>
    <s v="Clay Rozendal"/>
    <s v="Nunavut"/>
    <x v="2"/>
    <s v="Corporate"/>
    <s v="Technology"/>
    <x v="11"/>
    <x v="22"/>
    <d v="2009-02-01T00:00:00"/>
    <s v="01-Feb-2009"/>
  </r>
  <r>
    <n v="8391"/>
    <d v="2011-08-28T00:00:00"/>
    <s v="High"/>
    <s v="28-Aug-2011"/>
    <n v="4"/>
    <n v="1266.72"/>
    <n v="0.04"/>
    <s v="Delivery Truck"/>
    <n v="-268.36"/>
    <n v="300.98"/>
    <n v="64.73"/>
    <s v="Sylvia Foulston"/>
    <s v="Nunavut"/>
    <x v="2"/>
    <s v="Corporate"/>
    <s v="Furniture"/>
    <x v="2"/>
    <x v="0"/>
    <d v="2011-08-29T00:00:00"/>
    <s v="29-Aug-2011"/>
  </r>
  <r>
    <n v="2631"/>
    <d v="2010-09-23T00:00:00"/>
    <s v="Low"/>
    <s v="23-Sep-2010"/>
    <n v="27"/>
    <n v="1078.49"/>
    <n v="0.08"/>
    <s v="Regular Air"/>
    <n v="252.66"/>
    <n v="40.96"/>
    <n v="1.99"/>
    <s v="Jack Garza"/>
    <s v="Nunavut"/>
    <x v="2"/>
    <s v="Corporate"/>
    <s v="Technology"/>
    <x v="11"/>
    <x v="20"/>
    <d v="2010-09-25T00:00:00"/>
    <s v="25-Sep-2010"/>
  </r>
  <r>
    <n v="613"/>
    <d v="2011-06-17T00:00:00"/>
    <s v="High"/>
    <s v="17-Jun-2011"/>
    <n v="22"/>
    <n v="905.08"/>
    <n v="0.09"/>
    <s v="Regular Air"/>
    <n v="127.7"/>
    <n v="42.76"/>
    <n v="6.22"/>
    <s v="Carl Jackson"/>
    <s v="Nunavut"/>
    <x v="2"/>
    <s v="Corporate"/>
    <s v="Office Supplies"/>
    <x v="4"/>
    <x v="49"/>
    <d v="2011-06-18T00:00:00"/>
    <s v="18-Jun-2011"/>
  </r>
  <r>
    <n v="6982"/>
    <d v="2011-11-16T00:00:00"/>
    <s v="Not Specified"/>
    <s v="16-Nov-2011"/>
    <n v="41"/>
    <n v="844.09"/>
    <n v="0.04"/>
    <s v="Regular Air"/>
    <n v="52.56"/>
    <n v="19.98"/>
    <n v="10.49"/>
    <s v="Dorothy Wardle"/>
    <s v="Nunavut"/>
    <x v="2"/>
    <s v="Corporate"/>
    <s v="Furniture"/>
    <x v="7"/>
    <x v="19"/>
    <d v="2011-11-18T00:00:00"/>
    <s v="18-Nov-2011"/>
  </r>
  <r>
    <n v="1344"/>
    <d v="2012-04-15T00:00:00"/>
    <s v="Low"/>
    <s v="15-Apr-2012"/>
    <n v="15"/>
    <n v="834.904"/>
    <n v="0.06"/>
    <s v="Regular Air"/>
    <n v="-11.68"/>
    <n v="65.989999999999995"/>
    <n v="5.26"/>
    <s v="Jim Radford"/>
    <s v="Nunavut"/>
    <x v="2"/>
    <s v="Corporate"/>
    <s v="Technology"/>
    <x v="10"/>
    <x v="14"/>
    <d v="2012-04-22T00:00:00"/>
    <s v="22-Apr-2012"/>
  </r>
  <r>
    <n v="3908"/>
    <d v="2010-03-08T00:00:00"/>
    <s v="Medium"/>
    <s v="08-Mar-2010"/>
    <n v="8"/>
    <n v="820.28399999999999"/>
    <n v="0"/>
    <s v="Regular Air"/>
    <n v="-180.2"/>
    <n v="115.99"/>
    <n v="2.5"/>
    <s v="Dorothy Wardle"/>
    <s v="Nunavut"/>
    <x v="2"/>
    <s v="Corporate"/>
    <s v="Technology"/>
    <x v="10"/>
    <x v="6"/>
    <d v="2010-03-08T00:00:00"/>
    <s v="08-Mar-2010"/>
  </r>
  <r>
    <n v="7430"/>
    <d v="2010-06-08T00:00:00"/>
    <s v="Medium"/>
    <s v="08-Jun-2010"/>
    <n v="50"/>
    <n v="751.77"/>
    <n v="0.05"/>
    <s v="Regular Air"/>
    <n v="353.2"/>
    <n v="15.67"/>
    <n v="1.39"/>
    <s v="Barry Weirich"/>
    <s v="Nunavut"/>
    <x v="2"/>
    <s v="Corporate"/>
    <s v="Office Supplies"/>
    <x v="15"/>
    <x v="1"/>
    <d v="2010-06-09T00:00:00"/>
    <s v="09-Jun-2010"/>
  </r>
  <r>
    <n v="6982"/>
    <d v="2011-11-16T00:00:00"/>
    <s v="Not Specified"/>
    <s v="16-Nov-2011"/>
    <n v="5"/>
    <n v="544.41"/>
    <n v="0.09"/>
    <s v="Delivery Truck"/>
    <n v="-338.27"/>
    <n v="100.98"/>
    <n v="57.38"/>
    <s v="Dorothy Wardle"/>
    <s v="Nunavut"/>
    <x v="2"/>
    <s v="Corporate"/>
    <s v="Furniture"/>
    <x v="8"/>
    <x v="8"/>
    <d v="2011-11-18T00:00:00"/>
    <s v="18-Nov-2011"/>
  </r>
  <r>
    <n v="1539"/>
    <d v="2011-03-09T00:00:00"/>
    <s v="Low"/>
    <s v="09-Mar-2011"/>
    <n v="33"/>
    <n v="511.83"/>
    <n v="0.1"/>
    <s v="Regular Air"/>
    <n v="-172.88"/>
    <n v="15.99"/>
    <n v="13.18"/>
    <s v="Carl Ludwig"/>
    <s v="Nunavut"/>
    <x v="2"/>
    <s v="Corporate"/>
    <s v="Office Supplies"/>
    <x v="1"/>
    <x v="7"/>
    <d v="2011-03-11T00:00:00"/>
    <s v="11-Mar-2011"/>
  </r>
  <r>
    <n v="2791"/>
    <d v="2009-10-09T00:00:00"/>
    <s v="High"/>
    <s v="09-Oct-2009"/>
    <n v="18"/>
    <n v="507.64"/>
    <n v="0.1"/>
    <s v="Regular Air"/>
    <n v="118.94"/>
    <n v="30.98"/>
    <n v="5.76"/>
    <s v="Eugene Barchas"/>
    <s v="Nunavut"/>
    <x v="2"/>
    <s v="Corporate"/>
    <s v="Office Supplies"/>
    <x v="12"/>
    <x v="27"/>
    <d v="2009-10-10T00:00:00"/>
    <s v="10-Oct-2009"/>
  </r>
  <r>
    <n v="2532"/>
    <d v="2011-10-10T00:00:00"/>
    <s v="High"/>
    <s v="10-Oct-2011"/>
    <n v="24"/>
    <n v="426.03699999999998"/>
    <n v="0.01"/>
    <s v="Regular Air"/>
    <n v="-78.959999999999994"/>
    <n v="20.99"/>
    <n v="2.5"/>
    <s v="Alan Barnes"/>
    <s v="Nunavut"/>
    <x v="2"/>
    <s v="Corporate"/>
    <s v="Technology"/>
    <x v="10"/>
    <x v="43"/>
    <d v="2011-10-11T00:00:00"/>
    <s v="11-Oct-2011"/>
  </r>
  <r>
    <n v="5894"/>
    <d v="2009-08-12T00:00:00"/>
    <s v="High"/>
    <s v="12-Aug-2009"/>
    <n v="7"/>
    <n v="384.33"/>
    <n v="0.1"/>
    <s v="Regular Air"/>
    <n v="87.68"/>
    <n v="58.1"/>
    <n v="1.49"/>
    <s v="Ann Chong"/>
    <s v="Nunavut"/>
    <x v="2"/>
    <s v="Corporate"/>
    <s v="Office Supplies"/>
    <x v="1"/>
    <x v="1"/>
    <d v="2009-08-13T00:00:00"/>
    <s v="13-Aug-2009"/>
  </r>
  <r>
    <n v="6535"/>
    <d v="2012-06-12T00:00:00"/>
    <s v="Critical"/>
    <s v="12-Jun-2012"/>
    <n v="11"/>
    <n v="312.36"/>
    <n v="7.0000000000000007E-2"/>
    <s v="Express Air"/>
    <n v="-19.329999999999998"/>
    <n v="28.15"/>
    <n v="8.99"/>
    <s v="Adrian Hane"/>
    <s v="Nunavut"/>
    <x v="2"/>
    <s v="Corporate"/>
    <s v="Office Supplies"/>
    <x v="13"/>
    <x v="6"/>
    <d v="2012-06-15T00:00:00"/>
    <s v="15-Jun-2012"/>
  </r>
  <r>
    <n v="2532"/>
    <d v="2011-10-10T00:00:00"/>
    <s v="High"/>
    <s v="10-Oct-2011"/>
    <n v="39"/>
    <n v="282.07"/>
    <n v="0.03"/>
    <s v="Regular Air"/>
    <n v="140.01"/>
    <n v="7.31"/>
    <n v="0.49"/>
    <s v="Alan Barnes"/>
    <s v="Nunavut"/>
    <x v="2"/>
    <s v="Corporate"/>
    <s v="Office Supplies"/>
    <x v="9"/>
    <x v="1"/>
    <d v="2011-10-11T00:00:00"/>
    <s v="11-Oct-2011"/>
  </r>
  <r>
    <n v="6182"/>
    <d v="2012-07-21T00:00:00"/>
    <s v="Low"/>
    <s v="21-Jul-2012"/>
    <n v="40"/>
    <n v="255.48"/>
    <n v="0.04"/>
    <s v="Regular Air"/>
    <n v="-116.79"/>
    <n v="6.48"/>
    <n v="6.65"/>
    <s v="Grant Carroll"/>
    <s v="Nunavut"/>
    <x v="2"/>
    <s v="Corporate"/>
    <s v="Office Supplies"/>
    <x v="12"/>
    <x v="10"/>
    <d v="2012-07-28T00:00:00"/>
    <s v="28-Jul-2012"/>
  </r>
  <r>
    <n v="5894"/>
    <d v="2009-08-12T00:00:00"/>
    <s v="High"/>
    <s v="12-Aug-2009"/>
    <n v="3"/>
    <n v="239.03"/>
    <n v="0.01"/>
    <s v="Regular Air"/>
    <n v="-68.22"/>
    <n v="80.48"/>
    <n v="4.5"/>
    <s v="Ann Chong"/>
    <s v="Nunavut"/>
    <x v="2"/>
    <s v="Corporate"/>
    <s v="Office Supplies"/>
    <x v="5"/>
    <x v="20"/>
    <d v="2009-08-15T00:00:00"/>
    <s v="15-Aug-2009"/>
  </r>
  <r>
    <n v="2791"/>
    <d v="2009-10-09T00:00:00"/>
    <s v="High"/>
    <s v="09-Oct-2009"/>
    <n v="47"/>
    <n v="191.67"/>
    <n v="0"/>
    <s v="Regular Air"/>
    <n v="-236.27"/>
    <n v="3.89"/>
    <n v="7.01"/>
    <s v="Eugene Barchas"/>
    <s v="Nunavut"/>
    <x v="2"/>
    <s v="Corporate"/>
    <s v="Office Supplies"/>
    <x v="1"/>
    <x v="7"/>
    <d v="2009-10-09T00:00:00"/>
    <s v="09-Oct-2009"/>
  </r>
  <r>
    <n v="1539"/>
    <d v="2011-03-09T00:00:00"/>
    <s v="Low"/>
    <s v="09-Mar-2011"/>
    <n v="38"/>
    <n v="184.99"/>
    <n v="0.05"/>
    <s v="Regular Air"/>
    <n v="-144.55000000000001"/>
    <n v="4.8899999999999997"/>
    <n v="4.93"/>
    <s v="Carl Ludwig"/>
    <s v="Nunavut"/>
    <x v="2"/>
    <s v="Corporate"/>
    <s v="Technology"/>
    <x v="11"/>
    <x v="32"/>
    <d v="2011-03-14T00:00:00"/>
    <s v="14-Mar-2011"/>
  </r>
  <r>
    <n v="6182"/>
    <d v="2012-07-21T00:00:00"/>
    <s v="Low"/>
    <s v="21-Jul-2012"/>
    <n v="18"/>
    <n v="130.32"/>
    <n v="0.04"/>
    <s v="Express Air"/>
    <n v="-67.28"/>
    <n v="6.48"/>
    <n v="7.86"/>
    <s v="Grant Carroll"/>
    <s v="Nunavut"/>
    <x v="2"/>
    <s v="Corporate"/>
    <s v="Office Supplies"/>
    <x v="12"/>
    <x v="7"/>
    <d v="2012-07-25T00:00:00"/>
    <s v="25-Jul-2012"/>
  </r>
  <r>
    <n v="5506"/>
    <d v="2010-11-07T00:00:00"/>
    <s v="Critical"/>
    <s v="07-Nov-2010"/>
    <n v="22"/>
    <n v="129.62"/>
    <n v="0.05"/>
    <s v="Regular Air"/>
    <n v="4.41"/>
    <n v="5.88"/>
    <n v="3.04"/>
    <s v="Beth Thompson"/>
    <s v="Nunavut"/>
    <x v="2"/>
    <s v="Corporate"/>
    <s v="Office Supplies"/>
    <x v="12"/>
    <x v="10"/>
    <d v="2010-11-08T00:00:00"/>
    <s v="08-Nov-2010"/>
  </r>
  <r>
    <n v="5569"/>
    <d v="2010-04-29T00:00:00"/>
    <s v="Not Specified"/>
    <s v="29-Apr-2010"/>
    <n v="12"/>
    <n v="118.97"/>
    <n v="0.09"/>
    <s v="Regular Air"/>
    <n v="-0.06"/>
    <n v="9.65"/>
    <n v="6.22"/>
    <s v="Frank Price"/>
    <s v="Nunavut"/>
    <x v="2"/>
    <s v="Corporate"/>
    <s v="Furniture"/>
    <x v="7"/>
    <x v="20"/>
    <d v="2010-05-01T00:00:00"/>
    <s v="01-May-2010"/>
  </r>
  <r>
    <n v="613"/>
    <d v="2011-06-17T00:00:00"/>
    <s v="High"/>
    <s v="17-Jun-2011"/>
    <n v="12"/>
    <n v="93.54"/>
    <n v="0.03"/>
    <s v="Regular Air"/>
    <n v="-54.04"/>
    <n v="7.3"/>
    <n v="7.72"/>
    <s v="Carl Jackson"/>
    <s v="Nunavut"/>
    <x v="2"/>
    <s v="Corporate"/>
    <s v="Office Supplies"/>
    <x v="1"/>
    <x v="1"/>
    <d v="2011-06-17T00:00:00"/>
    <s v="17-Jun-2011"/>
  </r>
  <r>
    <n v="4612"/>
    <d v="2010-09-19T00:00:00"/>
    <s v="Medium"/>
    <s v="19-Sep-2010"/>
    <n v="9"/>
    <n v="89.55"/>
    <n v="0.06"/>
    <s v="Regular Air"/>
    <n v="-375.64"/>
    <n v="4.4800000000000004"/>
    <n v="49"/>
    <s v="Jim Radford"/>
    <s v="Nunavut"/>
    <x v="2"/>
    <s v="Corporate"/>
    <s v="Office Supplies"/>
    <x v="5"/>
    <x v="18"/>
    <d v="2010-09-21T00:00:00"/>
    <s v="21-Sep-2010"/>
  </r>
  <r>
    <n v="5409"/>
    <d v="2012-01-08T00:00:00"/>
    <s v="Low"/>
    <s v="08-Jan-2012"/>
    <n v="11"/>
    <n v="48.91"/>
    <n v="0.01"/>
    <s v="Regular Air"/>
    <n v="-7.04"/>
    <n v="3.98"/>
    <n v="2.97"/>
    <s v="Don Jones"/>
    <s v="Nunavut"/>
    <x v="2"/>
    <s v="Corporate"/>
    <s v="Office Supplies"/>
    <x v="12"/>
    <x v="2"/>
    <d v="2012-01-13T00:00:00"/>
    <s v="13-Jan-2012"/>
  </r>
  <r>
    <n v="4132"/>
    <d v="2011-05-28T00:00:00"/>
    <s v="Not Specified"/>
    <s v="28-May-2011"/>
    <n v="5"/>
    <n v="14.76"/>
    <n v="0.01"/>
    <s v="Regular Air"/>
    <n v="1.32"/>
    <n v="2.88"/>
    <n v="0.5"/>
    <s v="Aaron Bergman"/>
    <s v="Nunavut"/>
    <x v="2"/>
    <s v="Corporate"/>
    <s v="Office Supplies"/>
    <x v="9"/>
    <x v="10"/>
    <d v="2011-05-30T00:00:00"/>
    <s v="30-May-2011"/>
  </r>
  <r>
    <n v="45347"/>
    <d v="2010-09-29T00:00:00"/>
    <s v="Medium"/>
    <s v="29-Sep-2010"/>
    <n v="41"/>
    <n v="24051.49"/>
    <n v="7.0000000000000007E-2"/>
    <s v="Express Air"/>
    <n v="9791.0400000000009"/>
    <n v="599.99"/>
    <n v="24.49"/>
    <s v="Ritsa Hightower"/>
    <s v="Ontario"/>
    <x v="3"/>
    <s v="Corporate"/>
    <s v="Technology"/>
    <x v="6"/>
    <x v="7"/>
    <d v="2010-10-01T00:00:00"/>
    <s v="01-Oct-2010"/>
  </r>
  <r>
    <n v="41728"/>
    <d v="2009-09-30T00:00:00"/>
    <s v="High"/>
    <s v="30-Sep-2009"/>
    <n v="28"/>
    <n v="23106.46"/>
    <n v="0.08"/>
    <s v="Regular Air"/>
    <n v="9527.4699999999993"/>
    <n v="896.99"/>
    <n v="19.989999999999998"/>
    <s v="Alejandro Grove"/>
    <s v="Ontario"/>
    <x v="3"/>
    <s v="Corporate"/>
    <s v="Office Supplies"/>
    <x v="1"/>
    <x v="1"/>
    <d v="2009-10-02T00:00:00"/>
    <s v="02-Oct-2009"/>
  </r>
  <r>
    <n v="26565"/>
    <d v="2009-10-21T00:00:00"/>
    <s v="Medium"/>
    <s v="21-Oct-2009"/>
    <n v="49"/>
    <n v="21337.27"/>
    <n v="0.02"/>
    <s v="Regular Air"/>
    <n v="7606"/>
    <n v="419.19"/>
    <n v="19.989999999999998"/>
    <s v="Cathy Prescott"/>
    <s v="Ontario"/>
    <x v="3"/>
    <s v="Corporate"/>
    <s v="Office Supplies"/>
    <x v="4"/>
    <x v="15"/>
    <d v="2009-10-22T00:00:00"/>
    <s v="22-Oct-2009"/>
  </r>
  <r>
    <n v="51361"/>
    <d v="2011-03-18T00:00:00"/>
    <s v="Critical"/>
    <s v="18-Mar-2011"/>
    <n v="50"/>
    <n v="18056.68"/>
    <n v="0"/>
    <s v="Delivery Truck"/>
    <n v="-6474.65"/>
    <n v="349.45"/>
    <n v="60"/>
    <s v="Meg O'Connel"/>
    <s v="Ontario"/>
    <x v="3"/>
    <s v="Corporate"/>
    <s v="Furniture"/>
    <x v="3"/>
    <x v="49"/>
    <d v="2011-03-22T00:00:00"/>
    <s v="22-Mar-2011"/>
  </r>
  <r>
    <n v="41059"/>
    <d v="2010-09-14T00:00:00"/>
    <s v="Medium"/>
    <s v="14-Sep-2010"/>
    <n v="45"/>
    <n v="17884.53"/>
    <n v="0.04"/>
    <s v="Delivery Truck"/>
    <n v="2357.86"/>
    <n v="400.98"/>
    <n v="42.52"/>
    <s v="Lycoris Saunders"/>
    <s v="Ontario"/>
    <x v="3"/>
    <s v="Corporate"/>
    <s v="Furniture"/>
    <x v="3"/>
    <x v="35"/>
    <d v="2010-09-15T00:00:00"/>
    <s v="15-Sep-2010"/>
  </r>
  <r>
    <n v="20674"/>
    <d v="2010-12-08T00:00:00"/>
    <s v="High"/>
    <s v="08-Dec-2010"/>
    <n v="37"/>
    <n v="17717.34"/>
    <n v="0"/>
    <s v="Delivery Truck"/>
    <n v="8291.08"/>
    <n v="500.97"/>
    <n v="69.3"/>
    <s v="Philip Brown"/>
    <s v="Ontario"/>
    <x v="3"/>
    <s v="Corporate"/>
    <s v="Technology"/>
    <x v="0"/>
    <x v="7"/>
    <d v="2010-12-09T00:00:00"/>
    <s v="09-Dec-2010"/>
  </r>
  <r>
    <n v="44768"/>
    <d v="2012-05-26T00:00:00"/>
    <s v="Not Specified"/>
    <s v="26-May-2012"/>
    <n v="45"/>
    <n v="16699.560000000001"/>
    <n v="0.02"/>
    <s v="Delivery Truck"/>
    <n v="3083.98"/>
    <n v="355.98"/>
    <n v="58.92"/>
    <s v="Mark Cousins"/>
    <s v="Ontario"/>
    <x v="3"/>
    <s v="Corporate"/>
    <s v="Furniture"/>
    <x v="2"/>
    <x v="28"/>
    <d v="2012-05-27T00:00:00"/>
    <s v="27-May-2012"/>
  </r>
  <r>
    <n v="2912"/>
    <d v="2012-03-11T00:00:00"/>
    <s v="Low"/>
    <s v="11-Mar-2012"/>
    <n v="7"/>
    <n v="16587.13"/>
    <n v="0.08"/>
    <s v="Delivery Truck"/>
    <n v="-3476.86"/>
    <n v="2550.14"/>
    <n v="29.7"/>
    <s v="Tamara Dahlen"/>
    <s v="Ontario"/>
    <x v="3"/>
    <s v="Corporate"/>
    <s v="Technology"/>
    <x v="0"/>
    <x v="6"/>
    <d v="2012-03-13T00:00:00"/>
    <s v="13-Mar-2012"/>
  </r>
  <r>
    <n v="34785"/>
    <d v="2010-01-25T00:00:00"/>
    <s v="Critical"/>
    <s v="25-Jan-2010"/>
    <n v="45"/>
    <n v="15468.216"/>
    <n v="0.01"/>
    <s v="Delivery Truck"/>
    <n v="-969.05"/>
    <n v="400.98"/>
    <n v="42.52"/>
    <s v="Jim Sink"/>
    <s v="Ontario"/>
    <x v="3"/>
    <s v="Corporate"/>
    <s v="Furniture"/>
    <x v="3"/>
    <x v="35"/>
    <d v="2010-01-28T00:00:00"/>
    <s v="28-Jan-2010"/>
  </r>
  <r>
    <n v="29411"/>
    <d v="2012-04-06T00:00:00"/>
    <s v="High"/>
    <s v="06-Apr-2012"/>
    <n v="38"/>
    <n v="15174.95"/>
    <n v="0.02"/>
    <s v="Delivery Truck"/>
    <n v="7251.92"/>
    <n v="400.97"/>
    <n v="48.26"/>
    <s v="Naresj Patel"/>
    <s v="Ontario"/>
    <x v="3"/>
    <s v="Corporate"/>
    <s v="Technology"/>
    <x v="0"/>
    <x v="10"/>
    <d v="2012-04-06T00:00:00"/>
    <s v="06-Apr-2012"/>
  </r>
  <r>
    <n v="16260"/>
    <d v="2011-11-13T00:00:00"/>
    <s v="High"/>
    <s v="13-Nov-2011"/>
    <n v="47"/>
    <n v="14960.096"/>
    <n v="0.01"/>
    <s v="Delivery Truck"/>
    <n v="-969.05"/>
    <n v="400.98"/>
    <n v="42.52"/>
    <s v="Cari MacIntyre"/>
    <s v="Ontario"/>
    <x v="3"/>
    <s v="Corporate"/>
    <s v="Furniture"/>
    <x v="3"/>
    <x v="35"/>
    <d v="2011-11-14T00:00:00"/>
    <s v="14-Nov-2011"/>
  </r>
  <r>
    <n v="19584"/>
    <d v="2009-04-16T00:00:00"/>
    <s v="Critical"/>
    <s v="16-Apr-2009"/>
    <n v="6"/>
    <n v="14535.8"/>
    <n v="0.05"/>
    <s v="Delivery Truck"/>
    <n v="-3971.06"/>
    <n v="2550.14"/>
    <n v="29.7"/>
    <s v="Maria Zettner"/>
    <s v="Ontario"/>
    <x v="3"/>
    <s v="Corporate"/>
    <s v="Technology"/>
    <x v="0"/>
    <x v="6"/>
    <d v="2009-04-17T00:00:00"/>
    <s v="17-Apr-2009"/>
  </r>
  <r>
    <n v="36999"/>
    <d v="2009-12-12T00:00:00"/>
    <s v="Medium"/>
    <s v="12-Dec-2009"/>
    <n v="28"/>
    <n v="14475.74"/>
    <n v="0.06"/>
    <s v="Delivery Truck"/>
    <n v="4963.8900000000003"/>
    <n v="549.99"/>
    <n v="49"/>
    <s v="Cari MacIntyre"/>
    <s v="Ontario"/>
    <x v="3"/>
    <s v="Corporate"/>
    <s v="Technology"/>
    <x v="6"/>
    <x v="2"/>
    <d v="2009-12-13T00:00:00"/>
    <s v="13-Dec-2009"/>
  </r>
  <r>
    <n v="1991"/>
    <d v="2012-09-06T00:00:00"/>
    <s v="Not Specified"/>
    <s v="06-Sep-2012"/>
    <n v="37"/>
    <n v="14383.83"/>
    <n v="0.01"/>
    <s v="Delivery Truck"/>
    <n v="5050.1000000000004"/>
    <n v="399.98"/>
    <n v="12.06"/>
    <s v="Barry Franz"/>
    <s v="Ontario"/>
    <x v="3"/>
    <s v="Corporate"/>
    <s v="Technology"/>
    <x v="0"/>
    <x v="0"/>
    <d v="2012-09-07T00:00:00"/>
    <s v="07-Sep-2012"/>
  </r>
  <r>
    <n v="53281"/>
    <d v="2009-04-02T00:00:00"/>
    <s v="Critical"/>
    <s v="02-Apr-2009"/>
    <n v="40"/>
    <n v="14075.99"/>
    <n v="0.08"/>
    <s v="Delivery Truck"/>
    <n v="1894.14"/>
    <n v="355.98"/>
    <n v="58.92"/>
    <s v="Philip Brown"/>
    <s v="Ontario"/>
    <x v="3"/>
    <s v="Corporate"/>
    <s v="Furniture"/>
    <x v="2"/>
    <x v="28"/>
    <d v="2009-04-04T00:00:00"/>
    <s v="04-Apr-2009"/>
  </r>
  <r>
    <n v="35110"/>
    <d v="2011-10-18T00:00:00"/>
    <s v="High"/>
    <s v="18-Oct-2011"/>
    <n v="14"/>
    <n v="12805.25"/>
    <n v="0.01"/>
    <s v="Regular Air"/>
    <n v="5065.51"/>
    <n v="896.99"/>
    <n v="19.989999999999998"/>
    <s v="Mike Caudle"/>
    <s v="Ontario"/>
    <x v="3"/>
    <s v="Corporate"/>
    <s v="Office Supplies"/>
    <x v="1"/>
    <x v="1"/>
    <d v="2011-10-19T00:00:00"/>
    <s v="19-Oct-2011"/>
  </r>
  <r>
    <n v="41059"/>
    <d v="2010-09-14T00:00:00"/>
    <s v="Medium"/>
    <s v="14-Sep-2010"/>
    <n v="45"/>
    <n v="12571.63"/>
    <n v="0.09"/>
    <s v="Regular Air"/>
    <n v="5455.96"/>
    <n v="300.98"/>
    <n v="13.99"/>
    <s v="Lycoris Saunders"/>
    <s v="Ontario"/>
    <x v="3"/>
    <s v="Corporate"/>
    <s v="Technology"/>
    <x v="0"/>
    <x v="4"/>
    <d v="2010-09-15T00:00:00"/>
    <s v="15-Sep-2010"/>
  </r>
  <r>
    <n v="11396"/>
    <d v="2012-07-21T00:00:00"/>
    <s v="Critical"/>
    <s v="21-Jul-2012"/>
    <n v="42"/>
    <n v="12270.3"/>
    <n v="7.0000000000000007E-2"/>
    <s v="Regular Air"/>
    <n v="4842.37"/>
    <n v="304.99"/>
    <n v="19.989999999999998"/>
    <s v="Matt Connell"/>
    <s v="Ontario"/>
    <x v="3"/>
    <s v="Corporate"/>
    <s v="Office Supplies"/>
    <x v="1"/>
    <x v="27"/>
    <d v="2012-07-22T00:00:00"/>
    <s v="22-Jul-2012"/>
  </r>
  <r>
    <n v="51937"/>
    <d v="2009-02-27T00:00:00"/>
    <s v="High"/>
    <s v="27-Feb-2009"/>
    <n v="39"/>
    <n v="11613.13"/>
    <n v="0.05"/>
    <s v="Delivery Truck"/>
    <n v="2816.21"/>
    <n v="294.62"/>
    <n v="42.52"/>
    <s v="James Lanier"/>
    <s v="Ontario"/>
    <x v="3"/>
    <s v="Corporate"/>
    <s v="Office Supplies"/>
    <x v="5"/>
    <x v="6"/>
    <d v="2009-02-27T00:00:00"/>
    <s v="27-Feb-2009"/>
  </r>
  <r>
    <n v="35555"/>
    <d v="2011-03-04T00:00:00"/>
    <s v="Medium"/>
    <s v="04-Mar-2011"/>
    <n v="50"/>
    <n v="11266.4"/>
    <n v="0.08"/>
    <s v="Delivery Truck"/>
    <n v="1902.99"/>
    <n v="243.98"/>
    <n v="43.32"/>
    <s v="James Lanier"/>
    <s v="Ontario"/>
    <x v="3"/>
    <s v="Corporate"/>
    <s v="Furniture"/>
    <x v="2"/>
    <x v="20"/>
    <d v="2011-03-05T00:00:00"/>
    <s v="05-Mar-2011"/>
  </r>
  <r>
    <n v="965"/>
    <d v="2011-05-14T00:00:00"/>
    <s v="Low"/>
    <s v="14-May-2011"/>
    <n v="42"/>
    <n v="11230.25"/>
    <n v="7.0000000000000007E-2"/>
    <s v="Delivery Truck"/>
    <n v="-679.04"/>
    <n v="280.98"/>
    <n v="35.67"/>
    <s v="Jas O'Carroll"/>
    <s v="Ontario"/>
    <x v="3"/>
    <s v="Corporate"/>
    <s v="Furniture"/>
    <x v="3"/>
    <x v="32"/>
    <d v="2011-05-21T00:00:00"/>
    <s v="21-May-2011"/>
  </r>
  <r>
    <n v="53349"/>
    <d v="2010-04-10T00:00:00"/>
    <s v="Low"/>
    <s v="10-Apr-2010"/>
    <n v="46"/>
    <n v="11002.66"/>
    <n v="7.0000000000000007E-2"/>
    <s v="Delivery Truck"/>
    <n v="2349.29"/>
    <n v="243.98"/>
    <n v="43.32"/>
    <s v="Alejandro Grove"/>
    <s v="Ontario"/>
    <x v="3"/>
    <s v="Corporate"/>
    <s v="Furniture"/>
    <x v="2"/>
    <x v="20"/>
    <d v="2010-04-19T00:00:00"/>
    <s v="19-Apr-2010"/>
  </r>
  <r>
    <n v="12160"/>
    <d v="2010-12-12T00:00:00"/>
    <s v="Low"/>
    <s v="12-Dec-2010"/>
    <n v="48"/>
    <n v="10341.469999999999"/>
    <n v="0.03"/>
    <s v="Delivery Truck"/>
    <n v="865.02"/>
    <n v="208.16"/>
    <n v="68.02"/>
    <s v="Darren Budd"/>
    <s v="Ontario"/>
    <x v="3"/>
    <s v="Corporate"/>
    <s v="Furniture"/>
    <x v="2"/>
    <x v="6"/>
    <d v="2010-12-17T00:00:00"/>
    <s v="17-Dec-2010"/>
  </r>
  <r>
    <n v="37121"/>
    <d v="2011-03-15T00:00:00"/>
    <s v="Not Specified"/>
    <s v="15-Mar-2011"/>
    <n v="44"/>
    <n v="9499.2999999999993"/>
    <n v="0.01"/>
    <s v="Delivery Truck"/>
    <n v="618.36"/>
    <n v="216.6"/>
    <n v="64.2"/>
    <s v="Bill Donatelli"/>
    <s v="Ontario"/>
    <x v="3"/>
    <s v="Corporate"/>
    <s v="Furniture"/>
    <x v="2"/>
    <x v="14"/>
    <d v="2011-03-16T00:00:00"/>
    <s v="16-Mar-2011"/>
  </r>
  <r>
    <n v="54407"/>
    <d v="2010-06-16T00:00:00"/>
    <s v="Medium"/>
    <s v="16-Jun-2010"/>
    <n v="24"/>
    <n v="9396.27"/>
    <n v="7.0000000000000007E-2"/>
    <s v="Regular Air"/>
    <n v="3857.57"/>
    <n v="420.98"/>
    <n v="19.989999999999998"/>
    <s v="Maureen Fritzler"/>
    <s v="Ontario"/>
    <x v="3"/>
    <s v="Corporate"/>
    <s v="Office Supplies"/>
    <x v="1"/>
    <x v="2"/>
    <d v="2010-06-17T00:00:00"/>
    <s v="17-Jun-2010"/>
  </r>
  <r>
    <n v="20451"/>
    <d v="2012-05-25T00:00:00"/>
    <s v="Critical"/>
    <s v="25-May-2012"/>
    <n v="17"/>
    <n v="9150.09"/>
    <n v="0.1"/>
    <s v="Delivery Truck"/>
    <n v="-1331.55"/>
    <n v="550.98"/>
    <n v="45.7"/>
    <s v="Bill Overfelt"/>
    <s v="Ontario"/>
    <x v="3"/>
    <s v="Corporate"/>
    <s v="Furniture"/>
    <x v="3"/>
    <x v="35"/>
    <d v="2012-05-27T00:00:00"/>
    <s v="27-May-2012"/>
  </r>
  <r>
    <n v="52416"/>
    <d v="2009-01-31T00:00:00"/>
    <s v="Not Specified"/>
    <s v="31-Jan-2009"/>
    <n v="40"/>
    <n v="9141.64"/>
    <n v="0.04"/>
    <s v="Delivery Truck"/>
    <n v="-528.65"/>
    <n v="218.75"/>
    <n v="69.64"/>
    <s v="Dave Brooks"/>
    <s v="Ontario"/>
    <x v="3"/>
    <s v="Corporate"/>
    <s v="Furniture"/>
    <x v="3"/>
    <x v="13"/>
    <d v="2009-02-01T00:00:00"/>
    <s v="01-Feb-2009"/>
  </r>
  <r>
    <n v="37669"/>
    <d v="2010-10-29T00:00:00"/>
    <s v="Not Specified"/>
    <s v="29-Oct-2010"/>
    <n v="39"/>
    <n v="9081.98"/>
    <n v="0.02"/>
    <s v="Express Air"/>
    <n v="2485.54"/>
    <n v="232.58"/>
    <n v="19.989999999999998"/>
    <s v="Alejandro Grove"/>
    <s v="Ontario"/>
    <x v="3"/>
    <s v="Corporate"/>
    <s v="Office Supplies"/>
    <x v="5"/>
    <x v="14"/>
    <d v="2010-10-31T00:00:00"/>
    <s v="31-Oct-2010"/>
  </r>
  <r>
    <n v="21922"/>
    <d v="2009-11-11T00:00:00"/>
    <s v="High"/>
    <s v="11-Nov-2009"/>
    <n v="17"/>
    <n v="8937.3799999999992"/>
    <n v="0.01"/>
    <s v="Delivery Truck"/>
    <n v="2383.42"/>
    <n v="500.98"/>
    <n v="26"/>
    <s v="Jason Fortune"/>
    <s v="Ontario"/>
    <x v="3"/>
    <s v="Corporate"/>
    <s v="Furniture"/>
    <x v="2"/>
    <x v="18"/>
    <d v="2009-11-12T00:00:00"/>
    <s v="12-Nov-2009"/>
  </r>
  <r>
    <n v="58784"/>
    <d v="2009-01-18T00:00:00"/>
    <s v="Medium"/>
    <s v="18-Jan-2009"/>
    <n v="25"/>
    <n v="8875.17"/>
    <n v="0.05"/>
    <s v="Delivery Truck"/>
    <n v="2372.08"/>
    <n v="350.99"/>
    <n v="39"/>
    <s v="Kristen Hastings"/>
    <s v="Ontario"/>
    <x v="3"/>
    <s v="Corporate"/>
    <s v="Furniture"/>
    <x v="2"/>
    <x v="20"/>
    <d v="2009-01-20T00:00:00"/>
    <s v="20-Jan-2009"/>
  </r>
  <r>
    <n v="45347"/>
    <d v="2010-09-29T00:00:00"/>
    <s v="Medium"/>
    <s v="29-Sep-2010"/>
    <n v="10"/>
    <n v="8704.08"/>
    <n v="0.05"/>
    <s v="Delivery Truck"/>
    <n v="1034.54"/>
    <n v="880.98"/>
    <n v="44.55"/>
    <s v="Ritsa Hightower"/>
    <s v="Ontario"/>
    <x v="3"/>
    <s v="Corporate"/>
    <s v="Furniture"/>
    <x v="8"/>
    <x v="44"/>
    <d v="2010-09-30T00:00:00"/>
    <s v="30-Sep-2010"/>
  </r>
  <r>
    <n v="18085"/>
    <d v="2011-09-25T00:00:00"/>
    <s v="High"/>
    <s v="25-Sep-2011"/>
    <n v="23"/>
    <n v="8127.51"/>
    <n v="0.01"/>
    <s v="Delivery Truck"/>
    <n v="1541.25"/>
    <n v="348.21"/>
    <n v="40.19"/>
    <s v="Lisa DeCherney"/>
    <s v="Ontario"/>
    <x v="3"/>
    <s v="Corporate"/>
    <s v="Furniture"/>
    <x v="3"/>
    <x v="44"/>
    <d v="2011-09-27T00:00:00"/>
    <s v="27-Sep-2011"/>
  </r>
  <r>
    <n v="28033"/>
    <d v="2010-09-14T00:00:00"/>
    <s v="High"/>
    <s v="14-Sep-2010"/>
    <n v="37"/>
    <n v="7834.77"/>
    <n v="0.04"/>
    <s v="Delivery Truck"/>
    <n v="297.79000000000002"/>
    <n v="216.6"/>
    <n v="64.2"/>
    <s v="Dan Lawera"/>
    <s v="Ontario"/>
    <x v="3"/>
    <s v="Corporate"/>
    <s v="Furniture"/>
    <x v="2"/>
    <x v="14"/>
    <d v="2010-09-16T00:00:00"/>
    <s v="16-Sep-2010"/>
  </r>
  <r>
    <n v="44706"/>
    <d v="2010-03-30T00:00:00"/>
    <s v="Low"/>
    <s v="30-Mar-2010"/>
    <n v="18"/>
    <n v="7556.61"/>
    <n v="0.08"/>
    <s v="Delivery Truck"/>
    <n v="-352.24"/>
    <n v="424.21"/>
    <n v="110.2"/>
    <s v="Ritsa Hightower"/>
    <s v="Ontario"/>
    <x v="3"/>
    <s v="Corporate"/>
    <s v="Furniture"/>
    <x v="3"/>
    <x v="46"/>
    <d v="2010-04-01T00:00:00"/>
    <s v="01-Apr-2010"/>
  </r>
  <r>
    <n v="41543"/>
    <d v="2009-02-06T00:00:00"/>
    <s v="Low"/>
    <s v="06-Feb-2009"/>
    <n v="45"/>
    <n v="7548.65"/>
    <n v="0.03"/>
    <s v="Delivery Truck"/>
    <n v="1385.35"/>
    <n v="160.97999999999999"/>
    <n v="30"/>
    <s v="Bill Donatelli"/>
    <s v="Ontario"/>
    <x v="3"/>
    <s v="Corporate"/>
    <s v="Furniture"/>
    <x v="2"/>
    <x v="44"/>
    <d v="2009-02-10T00:00:00"/>
    <s v="10-Feb-2009"/>
  </r>
  <r>
    <n v="31238"/>
    <d v="2010-08-22T00:00:00"/>
    <s v="Medium"/>
    <s v="22-Aug-2010"/>
    <n v="21"/>
    <n v="7512.03"/>
    <n v="0.09"/>
    <s v="Express Air"/>
    <n v="2017.64"/>
    <n v="363.25"/>
    <n v="19.989999999999998"/>
    <s v="Joseph Airdo"/>
    <s v="Ontario"/>
    <x v="3"/>
    <s v="Corporate"/>
    <s v="Office Supplies"/>
    <x v="5"/>
    <x v="6"/>
    <d v="2010-08-24T00:00:00"/>
    <s v="24-Aug-2010"/>
  </r>
  <r>
    <n v="33250"/>
    <d v="2009-06-25T00:00:00"/>
    <s v="Not Specified"/>
    <s v="25-Jun-2009"/>
    <n v="40"/>
    <n v="7381.19"/>
    <n v="0.04"/>
    <s v="Regular Air"/>
    <n v="2998.88"/>
    <n v="177.98"/>
    <n v="0.99"/>
    <s v="Guy Thornton"/>
    <s v="Ontario"/>
    <x v="3"/>
    <s v="Corporate"/>
    <s v="Office Supplies"/>
    <x v="5"/>
    <x v="0"/>
    <d v="2009-06-27T00:00:00"/>
    <s v="27-Jun-2009"/>
  </r>
  <r>
    <n v="1952"/>
    <d v="2009-03-15T00:00:00"/>
    <s v="High"/>
    <s v="15-Mar-2009"/>
    <n v="24"/>
    <n v="7287.55"/>
    <n v="0.04"/>
    <s v="Delivery Truck"/>
    <n v="-715.78"/>
    <n v="296.18"/>
    <n v="54.12"/>
    <s v="Alejandro Grove"/>
    <s v="Ontario"/>
    <x v="3"/>
    <s v="Corporate"/>
    <s v="Furniture"/>
    <x v="3"/>
    <x v="40"/>
    <d v="2009-03-15T00:00:00"/>
    <s v="15-Mar-2009"/>
  </r>
  <r>
    <n v="40965"/>
    <d v="2009-11-20T00:00:00"/>
    <s v="Medium"/>
    <s v="20-Nov-2009"/>
    <n v="48"/>
    <n v="7227.42"/>
    <n v="0.09"/>
    <s v="Delivery Truck"/>
    <n v="-385"/>
    <n v="159.31"/>
    <n v="60"/>
    <s v="Mark Cousins"/>
    <s v="Ontario"/>
    <x v="3"/>
    <s v="Corporate"/>
    <s v="Furniture"/>
    <x v="3"/>
    <x v="20"/>
    <d v="2009-11-22T00:00:00"/>
    <s v="22-Nov-2009"/>
  </r>
  <r>
    <n v="44992"/>
    <d v="2012-12-24T00:00:00"/>
    <s v="Critical"/>
    <s v="24-Dec-2012"/>
    <n v="32"/>
    <n v="7110.24"/>
    <n v="0.06"/>
    <s v="Delivery Truck"/>
    <n v="-536.16999999999996"/>
    <n v="218.75"/>
    <n v="69.64"/>
    <s v="Anthony Witt"/>
    <s v="Ontario"/>
    <x v="3"/>
    <s v="Corporate"/>
    <s v="Furniture"/>
    <x v="3"/>
    <x v="13"/>
    <d v="2012-12-26T00:00:00"/>
    <s v="26-Dec-2012"/>
  </r>
  <r>
    <n v="16065"/>
    <d v="2010-07-20T00:00:00"/>
    <s v="High"/>
    <s v="20-Jul-2010"/>
    <n v="15"/>
    <n v="6933.45"/>
    <n v="0.04"/>
    <s v="Delivery Truck"/>
    <n v="1200.21"/>
    <n v="449.99"/>
    <n v="49"/>
    <s v="Ruben Ausman"/>
    <s v="Ontario"/>
    <x v="3"/>
    <s v="Corporate"/>
    <s v="Technology"/>
    <x v="6"/>
    <x v="1"/>
    <d v="2010-07-20T00:00:00"/>
    <s v="20-Jul-2010"/>
  </r>
  <r>
    <n v="17668"/>
    <d v="2009-11-25T00:00:00"/>
    <s v="Medium"/>
    <s v="25-Nov-2009"/>
    <n v="24"/>
    <n v="6930.97"/>
    <n v="0.05"/>
    <s v="Regular Air"/>
    <n v="2574.12"/>
    <n v="300.98"/>
    <n v="13.99"/>
    <s v="Erin Creighton"/>
    <s v="Ontario"/>
    <x v="3"/>
    <s v="Corporate"/>
    <s v="Technology"/>
    <x v="0"/>
    <x v="4"/>
    <d v="2009-11-26T00:00:00"/>
    <s v="26-Nov-2009"/>
  </r>
  <r>
    <n v="50883"/>
    <d v="2012-06-01T00:00:00"/>
    <s v="Low"/>
    <s v="01-Jun-2012"/>
    <n v="35"/>
    <n v="6739.92"/>
    <n v="0.01"/>
    <s v="Delivery Truck"/>
    <n v="957.29"/>
    <n v="180.98"/>
    <n v="30"/>
    <s v="Pauline Chand"/>
    <s v="Ontario"/>
    <x v="3"/>
    <s v="Corporate"/>
    <s v="Furniture"/>
    <x v="2"/>
    <x v="39"/>
    <d v="2012-06-01T00:00:00"/>
    <s v="01-Jun-2012"/>
  </r>
  <r>
    <n v="31266"/>
    <d v="2012-10-03T00:00:00"/>
    <s v="High"/>
    <s v="03-Oct-2012"/>
    <n v="16"/>
    <n v="6573.75"/>
    <n v="0.04"/>
    <s v="Delivery Truck"/>
    <n v="1197.05"/>
    <n v="399.98"/>
    <n v="12.06"/>
    <s v="Rob Haberlin"/>
    <s v="Ontario"/>
    <x v="3"/>
    <s v="Corporate"/>
    <s v="Technology"/>
    <x v="0"/>
    <x v="0"/>
    <d v="2012-10-04T00:00:00"/>
    <s v="04-Oct-2012"/>
  </r>
  <r>
    <n v="3109"/>
    <d v="2010-07-23T00:00:00"/>
    <s v="Low"/>
    <s v="23-Jul-2010"/>
    <n v="37"/>
    <n v="6477.7394999999997"/>
    <n v="0.01"/>
    <s v="Regular Air"/>
    <n v="1653.97"/>
    <n v="205.99"/>
    <n v="8.99"/>
    <s v="Liz MacKendrick"/>
    <s v="Ontario"/>
    <x v="3"/>
    <s v="Corporate"/>
    <s v="Technology"/>
    <x v="10"/>
    <x v="15"/>
    <d v="2010-07-30T00:00:00"/>
    <s v="30-Jul-2010"/>
  </r>
  <r>
    <n v="29410"/>
    <d v="2009-09-17T00:00:00"/>
    <s v="Critical"/>
    <s v="17-Sep-2009"/>
    <n v="36"/>
    <n v="6057.27"/>
    <n v="0"/>
    <s v="Regular Air"/>
    <n v="1585.5"/>
    <n v="195.99"/>
    <n v="4.2"/>
    <s v="Linda Cazamias"/>
    <s v="Ontario"/>
    <x v="3"/>
    <s v="Corporate"/>
    <s v="Technology"/>
    <x v="10"/>
    <x v="18"/>
    <d v="2009-09-19T00:00:00"/>
    <s v="19-Sep-2009"/>
  </r>
  <r>
    <n v="50854"/>
    <d v="2011-12-17T00:00:00"/>
    <s v="Critical"/>
    <s v="17-Dec-2011"/>
    <n v="12"/>
    <n v="5744.24"/>
    <n v="0.09"/>
    <s v="Delivery Truck"/>
    <n v="1118.17"/>
    <n v="500.98"/>
    <n v="28.14"/>
    <s v="Dan Lawera"/>
    <s v="Ontario"/>
    <x v="3"/>
    <s v="Corporate"/>
    <s v="Technology"/>
    <x v="0"/>
    <x v="1"/>
    <d v="2011-12-19T00:00:00"/>
    <s v="19-Dec-2011"/>
  </r>
  <r>
    <n v="55713"/>
    <d v="2009-02-02T00:00:00"/>
    <s v="High"/>
    <s v="02-Feb-2009"/>
    <n v="49"/>
    <n v="5718.85"/>
    <n v="0.09"/>
    <s v="Delivery Truck"/>
    <n v="-2426.5500000000002"/>
    <n v="122.99"/>
    <n v="70.2"/>
    <s v="Alan Schoenberger"/>
    <s v="Ontario"/>
    <x v="3"/>
    <s v="Corporate"/>
    <s v="Furniture"/>
    <x v="2"/>
    <x v="37"/>
    <d v="2009-02-04T00:00:00"/>
    <s v="04-Feb-2009"/>
  </r>
  <r>
    <n v="50981"/>
    <d v="2009-08-04T00:00:00"/>
    <s v="Critical"/>
    <s v="04-Aug-2009"/>
    <n v="42"/>
    <n v="5678.5524999999998"/>
    <n v="0.01"/>
    <s v="Regular Air"/>
    <n v="1550.88"/>
    <n v="155.99"/>
    <n v="8.99"/>
    <s v="Sean O'Donnell"/>
    <s v="Ontario"/>
    <x v="3"/>
    <s v="Corporate"/>
    <s v="Technology"/>
    <x v="10"/>
    <x v="15"/>
    <d v="2009-08-04T00:00:00"/>
    <s v="04-Aug-2009"/>
  </r>
  <r>
    <n v="38503"/>
    <d v="2009-05-05T00:00:00"/>
    <s v="Low"/>
    <s v="05-May-2009"/>
    <n v="47"/>
    <n v="5567.79"/>
    <n v="0.04"/>
    <s v="Regular Air"/>
    <n v="1726.66"/>
    <n v="120.98"/>
    <n v="3.99"/>
    <s v="Melanie Page"/>
    <s v="Ontario"/>
    <x v="3"/>
    <s v="Corporate"/>
    <s v="Office Supplies"/>
    <x v="5"/>
    <x v="18"/>
    <d v="2009-05-05T00:00:00"/>
    <s v="05-May-2009"/>
  </r>
  <r>
    <n v="18753"/>
    <d v="2009-07-31T00:00:00"/>
    <s v="Medium"/>
    <s v="31-Jul-2009"/>
    <n v="33"/>
    <n v="5394.4"/>
    <n v="0.01"/>
    <s v="Delivery Truck"/>
    <n v="788.79"/>
    <n v="160.97999999999999"/>
    <n v="30"/>
    <s v="Erin Creighton"/>
    <s v="Ontario"/>
    <x v="3"/>
    <s v="Corporate"/>
    <s v="Furniture"/>
    <x v="2"/>
    <x v="44"/>
    <d v="2009-08-02T00:00:00"/>
    <s v="02-Aug-2009"/>
  </r>
  <r>
    <n v="18085"/>
    <d v="2011-09-25T00:00:00"/>
    <s v="High"/>
    <s v="25-Sep-2011"/>
    <n v="33"/>
    <n v="5352.9345000000003"/>
    <n v="0.09"/>
    <s v="Regular Air"/>
    <n v="1343.21"/>
    <n v="195.99"/>
    <n v="4.2"/>
    <s v="Lisa DeCherney"/>
    <s v="Ontario"/>
    <x v="3"/>
    <s v="Corporate"/>
    <s v="Technology"/>
    <x v="10"/>
    <x v="6"/>
    <d v="2011-09-26T00:00:00"/>
    <s v="26-Sep-2011"/>
  </r>
  <r>
    <n v="56101"/>
    <d v="2010-07-19T00:00:00"/>
    <s v="Not Specified"/>
    <s v="19-Jul-2010"/>
    <n v="44"/>
    <n v="5347.13"/>
    <n v="0.08"/>
    <s v="Regular Air"/>
    <n v="1886.41"/>
    <n v="122.99"/>
    <n v="19.989999999999998"/>
    <s v="Bill Donatelli"/>
    <s v="Ontario"/>
    <x v="3"/>
    <s v="Corporate"/>
    <s v="Office Supplies"/>
    <x v="1"/>
    <x v="7"/>
    <d v="2010-07-22T00:00:00"/>
    <s v="22-Jul-2010"/>
  </r>
  <r>
    <n v="39015"/>
    <d v="2009-12-06T00:00:00"/>
    <s v="Medium"/>
    <s v="06-Dec-2009"/>
    <n v="13"/>
    <n v="5236.1400000000003"/>
    <n v="0.05"/>
    <s v="Delivery Truck"/>
    <n v="567.59"/>
    <n v="399.98"/>
    <n v="12.06"/>
    <s v="Lycoris Saunders"/>
    <s v="Ontario"/>
    <x v="3"/>
    <s v="Corporate"/>
    <s v="Technology"/>
    <x v="0"/>
    <x v="0"/>
    <d v="2009-12-06T00:00:00"/>
    <s v="06-Dec-2009"/>
  </r>
  <r>
    <n v="52325"/>
    <d v="2012-07-14T00:00:00"/>
    <s v="Not Specified"/>
    <s v="14-Jul-2012"/>
    <n v="23"/>
    <n v="5126.3"/>
    <n v="7.0000000000000007E-2"/>
    <s v="Regular Air"/>
    <n v="2019.19"/>
    <n v="223.98"/>
    <n v="15.01"/>
    <s v="Paul MacIntyre"/>
    <s v="Ontario"/>
    <x v="3"/>
    <s v="Corporate"/>
    <s v="Office Supplies"/>
    <x v="1"/>
    <x v="1"/>
    <d v="2012-07-14T00:00:00"/>
    <s v="14-Jul-2012"/>
  </r>
  <r>
    <n v="27201"/>
    <d v="2012-07-25T00:00:00"/>
    <s v="High"/>
    <s v="25-Jul-2012"/>
    <n v="10"/>
    <n v="5056.8900000000003"/>
    <n v="0.02"/>
    <s v="Delivery Truck"/>
    <n v="789.05"/>
    <n v="500.98"/>
    <n v="26"/>
    <s v="Scot Coram"/>
    <s v="Ontario"/>
    <x v="3"/>
    <s v="Corporate"/>
    <s v="Furniture"/>
    <x v="2"/>
    <x v="18"/>
    <d v="2012-07-25T00:00:00"/>
    <s v="25-Jul-2012"/>
  </r>
  <r>
    <n v="52516"/>
    <d v="2012-01-05T00:00:00"/>
    <s v="High"/>
    <s v="05-Jan-2012"/>
    <n v="50"/>
    <n v="4962.05"/>
    <n v="0.08"/>
    <s v="Delivery Truck"/>
    <n v="335.29"/>
    <n v="119.99"/>
    <n v="56.14"/>
    <s v="Scot Coram"/>
    <s v="Ontario"/>
    <x v="3"/>
    <s v="Corporate"/>
    <s v="Technology"/>
    <x v="0"/>
    <x v="4"/>
    <d v="2012-01-05T00:00:00"/>
    <s v="05-Jan-2012"/>
  </r>
  <r>
    <n v="13121"/>
    <d v="2010-03-07T00:00:00"/>
    <s v="High"/>
    <s v="07-Mar-2010"/>
    <n v="28"/>
    <n v="4924.1350000000002"/>
    <n v="7.0000000000000007E-2"/>
    <s v="Regular Air"/>
    <n v="1049.54"/>
    <n v="205.99"/>
    <n v="8.99"/>
    <s v="Xylona Price"/>
    <s v="Ontario"/>
    <x v="3"/>
    <s v="Corporate"/>
    <s v="Technology"/>
    <x v="10"/>
    <x v="15"/>
    <d v="2010-03-10T00:00:00"/>
    <s v="10-Mar-2010"/>
  </r>
  <r>
    <n v="55776"/>
    <d v="2009-03-22T00:00:00"/>
    <s v="Not Specified"/>
    <s v="22-Mar-2009"/>
    <n v="32"/>
    <n v="4856.1000000000004"/>
    <n v="0.01"/>
    <s v="Delivery Truck"/>
    <n v="1096.6400000000001"/>
    <n v="145.44999999999999"/>
    <n v="17.850000000000001"/>
    <s v="Dean Braden"/>
    <s v="Ontario"/>
    <x v="3"/>
    <s v="Corporate"/>
    <s v="Technology"/>
    <x v="0"/>
    <x v="0"/>
    <d v="2009-03-23T00:00:00"/>
    <s v="23-Mar-2009"/>
  </r>
  <r>
    <n v="50949"/>
    <d v="2011-02-04T00:00:00"/>
    <s v="Medium"/>
    <s v="04-Feb-2011"/>
    <n v="46"/>
    <n v="4804.0384999999997"/>
    <n v="0.08"/>
    <s v="Regular Air"/>
    <n v="1077.92"/>
    <n v="125.99"/>
    <n v="8.8000000000000007"/>
    <s v="Guy Thornton"/>
    <s v="Ontario"/>
    <x v="3"/>
    <s v="Corporate"/>
    <s v="Technology"/>
    <x v="10"/>
    <x v="14"/>
    <d v="2011-02-06T00:00:00"/>
    <s v="06-Feb-2011"/>
  </r>
  <r>
    <n v="53382"/>
    <d v="2009-12-27T00:00:00"/>
    <s v="Not Specified"/>
    <s v="27-Dec-2009"/>
    <n v="15"/>
    <n v="4760.0200000000004"/>
    <n v="0"/>
    <s v="Delivery Truck"/>
    <n v="658.88"/>
    <n v="300.98"/>
    <n v="64.73"/>
    <s v="Paul MacIntyre"/>
    <s v="Ontario"/>
    <x v="3"/>
    <s v="Corporate"/>
    <s v="Furniture"/>
    <x v="2"/>
    <x v="0"/>
    <d v="2009-12-28T00:00:00"/>
    <s v="28-Dec-2009"/>
  </r>
  <r>
    <n v="19493"/>
    <d v="2009-02-02T00:00:00"/>
    <s v="Critical"/>
    <s v="02-Feb-2009"/>
    <n v="31"/>
    <n v="4713.25"/>
    <n v="0.1"/>
    <s v="Regular Air"/>
    <n v="-372.49"/>
    <n v="154.13"/>
    <n v="69"/>
    <s v="Bill Overfelt"/>
    <s v="Ontario"/>
    <x v="3"/>
    <s v="Corporate"/>
    <s v="Furniture"/>
    <x v="3"/>
    <x v="48"/>
    <d v="2009-02-03T00:00:00"/>
    <s v="03-Feb-2009"/>
  </r>
  <r>
    <n v="2978"/>
    <d v="2011-05-02T00:00:00"/>
    <s v="Critical"/>
    <s v="02-May-2011"/>
    <n v="28"/>
    <n v="4671.1495000000004"/>
    <n v="7.0000000000000007E-2"/>
    <s v="Regular Air"/>
    <n v="947.31"/>
    <n v="200.99"/>
    <n v="4.2"/>
    <s v="Alan Schoenberger"/>
    <s v="Ontario"/>
    <x v="3"/>
    <s v="Corporate"/>
    <s v="Technology"/>
    <x v="10"/>
    <x v="14"/>
    <d v="2011-05-03T00:00:00"/>
    <s v="03-May-2011"/>
  </r>
  <r>
    <n v="37152"/>
    <d v="2011-05-22T00:00:00"/>
    <s v="Medium"/>
    <s v="22-May-2011"/>
    <n v="39"/>
    <n v="4647.6899999999996"/>
    <n v="0.02"/>
    <s v="Delivery Truck"/>
    <n v="182.53"/>
    <n v="113.98"/>
    <n v="30"/>
    <s v="Thomas Boland"/>
    <s v="Ontario"/>
    <x v="3"/>
    <s v="Corporate"/>
    <s v="Furniture"/>
    <x v="2"/>
    <x v="39"/>
    <d v="2011-05-24T00:00:00"/>
    <s v="24-May-2011"/>
  </r>
  <r>
    <n v="18182"/>
    <d v="2011-04-10T00:00:00"/>
    <s v="Medium"/>
    <s v="10-Apr-2011"/>
    <n v="45"/>
    <n v="4598.7299999999996"/>
    <n v="0.04"/>
    <s v="Regular Air"/>
    <n v="1049.45"/>
    <n v="99.99"/>
    <n v="19.989999999999998"/>
    <s v="Anna Haberlin"/>
    <s v="Ontario"/>
    <x v="3"/>
    <s v="Corporate"/>
    <s v="Technology"/>
    <x v="11"/>
    <x v="31"/>
    <d v="2011-04-12T00:00:00"/>
    <s v="12-Apr-2011"/>
  </r>
  <r>
    <n v="23649"/>
    <d v="2012-09-05T00:00:00"/>
    <s v="Not Specified"/>
    <s v="05-Sep-2012"/>
    <n v="30"/>
    <n v="4587.9260000000004"/>
    <n v="0.1"/>
    <s v="Regular Air"/>
    <n v="687.41"/>
    <n v="195.99"/>
    <n v="4.2"/>
    <s v="Arthur Wiediger"/>
    <s v="Ontario"/>
    <x v="3"/>
    <s v="Corporate"/>
    <s v="Technology"/>
    <x v="10"/>
    <x v="18"/>
    <d v="2012-09-08T00:00:00"/>
    <s v="08-Sep-2012"/>
  </r>
  <r>
    <n v="23649"/>
    <d v="2012-09-05T00:00:00"/>
    <s v="Not Specified"/>
    <s v="05-Sep-2012"/>
    <n v="42"/>
    <n v="4541.924"/>
    <n v="0.01"/>
    <s v="Regular Air"/>
    <n v="1222.1400000000001"/>
    <n v="125.99"/>
    <n v="8.08"/>
    <s v="Arthur Wiediger"/>
    <s v="Ontario"/>
    <x v="3"/>
    <s v="Corporate"/>
    <s v="Technology"/>
    <x v="10"/>
    <x v="6"/>
    <d v="2012-09-06T00:00:00"/>
    <s v="06-Sep-2012"/>
  </r>
  <r>
    <n v="38021"/>
    <d v="2009-01-21T00:00:00"/>
    <s v="Medium"/>
    <s v="21-Jan-2009"/>
    <n v="16"/>
    <n v="4407.03"/>
    <n v="0.04"/>
    <s v="Delivery Truck"/>
    <n v="834.96"/>
    <n v="279.81"/>
    <n v="23.19"/>
    <s v="Rob Haberlin"/>
    <s v="Ontario"/>
    <x v="3"/>
    <s v="Corporate"/>
    <s v="Office Supplies"/>
    <x v="5"/>
    <x v="14"/>
    <d v="2009-01-22T00:00:00"/>
    <s v="22-Jan-2009"/>
  </r>
  <r>
    <n v="39844"/>
    <d v="2009-12-01T00:00:00"/>
    <s v="Not Specified"/>
    <s v="01-Dec-2009"/>
    <n v="47"/>
    <n v="4387.24"/>
    <n v="0.09"/>
    <s v="Regular Air"/>
    <n v="-286.47000000000003"/>
    <n v="95.43"/>
    <n v="19.989999999999998"/>
    <s v="Jim Sink"/>
    <s v="Ontario"/>
    <x v="3"/>
    <s v="Corporate"/>
    <s v="Office Supplies"/>
    <x v="4"/>
    <x v="11"/>
    <d v="2009-12-02T00:00:00"/>
    <s v="02-Dec-2009"/>
  </r>
  <r>
    <n v="22849"/>
    <d v="2011-02-14T00:00:00"/>
    <s v="Not Specified"/>
    <s v="14-Feb-2011"/>
    <n v="25"/>
    <n v="4366.348"/>
    <n v="0.05"/>
    <s v="Regular Air"/>
    <n v="940.57"/>
    <n v="205.99"/>
    <n v="3"/>
    <s v="Erin Creighton"/>
    <s v="Ontario"/>
    <x v="3"/>
    <s v="Corporate"/>
    <s v="Technology"/>
    <x v="10"/>
    <x v="15"/>
    <d v="2011-02-16T00:00:00"/>
    <s v="16-Feb-2011"/>
  </r>
  <r>
    <n v="7744"/>
    <d v="2009-11-17T00:00:00"/>
    <s v="Low"/>
    <s v="17-Nov-2009"/>
    <n v="26"/>
    <n v="4286.55"/>
    <n v="7.0000000000000007E-2"/>
    <s v="Regular Air"/>
    <n v="1416.7"/>
    <n v="172.99"/>
    <n v="19.989999999999998"/>
    <s v="Kean Nguyen"/>
    <s v="Ontario"/>
    <x v="3"/>
    <s v="Corporate"/>
    <s v="Office Supplies"/>
    <x v="1"/>
    <x v="4"/>
    <d v="2009-11-17T00:00:00"/>
    <s v="17-Nov-2009"/>
  </r>
  <r>
    <n v="59108"/>
    <d v="2011-10-07T00:00:00"/>
    <s v="Low"/>
    <s v="07-Oct-2011"/>
    <n v="39"/>
    <n v="4215.83"/>
    <n v="0.02"/>
    <s v="Regular Air"/>
    <n v="972.19"/>
    <n v="125.99"/>
    <n v="8.99"/>
    <s v="Edward Becker"/>
    <s v="Ontario"/>
    <x v="3"/>
    <s v="Corporate"/>
    <s v="Technology"/>
    <x v="10"/>
    <x v="14"/>
    <d v="2011-10-16T00:00:00"/>
    <s v="16-Oct-2011"/>
  </r>
  <r>
    <n v="29410"/>
    <d v="2009-09-17T00:00:00"/>
    <s v="Critical"/>
    <s v="17-Sep-2009"/>
    <n v="35"/>
    <n v="4186.53"/>
    <n v="0.04"/>
    <s v="Regular Air"/>
    <n v="1929.58"/>
    <n v="120.97"/>
    <n v="7.11"/>
    <s v="Linda Cazamias"/>
    <s v="Ontario"/>
    <x v="3"/>
    <s v="Corporate"/>
    <s v="Technology"/>
    <x v="0"/>
    <x v="10"/>
    <d v="2009-09-17T00:00:00"/>
    <s v="17-Sep-2009"/>
  </r>
  <r>
    <n v="54791"/>
    <d v="2012-12-20T00:00:00"/>
    <s v="High"/>
    <s v="20-Dec-2012"/>
    <n v="45"/>
    <n v="4165.04"/>
    <n v="0"/>
    <s v="Delivery Truck"/>
    <n v="135.68"/>
    <n v="90.98"/>
    <n v="30"/>
    <s v="Lisa DeCherney"/>
    <s v="Ontario"/>
    <x v="3"/>
    <s v="Corporate"/>
    <s v="Furniture"/>
    <x v="2"/>
    <x v="9"/>
    <d v="2012-12-22T00:00:00"/>
    <s v="22-Dec-2012"/>
  </r>
  <r>
    <n v="45542"/>
    <d v="2010-02-07T00:00:00"/>
    <s v="High"/>
    <s v="07-Feb-2010"/>
    <n v="40"/>
    <n v="4064.2719999999999"/>
    <n v="0.01"/>
    <s v="Delivery Truck"/>
    <n v="-300.85000000000002"/>
    <n v="124.49"/>
    <n v="51.94"/>
    <s v="Robert Marley"/>
    <s v="Ontario"/>
    <x v="3"/>
    <s v="Corporate"/>
    <s v="Furniture"/>
    <x v="3"/>
    <x v="50"/>
    <d v="2010-02-08T00:00:00"/>
    <s v="08-Feb-2010"/>
  </r>
  <r>
    <n v="43269"/>
    <d v="2009-04-10T00:00:00"/>
    <s v="Critical"/>
    <s v="10-Apr-2009"/>
    <n v="24"/>
    <n v="3978.02"/>
    <n v="0.08"/>
    <s v="Regular Air"/>
    <n v="1336.96"/>
    <n v="165.98"/>
    <n v="19.989999999999998"/>
    <s v="James Lanier"/>
    <s v="Ontario"/>
    <x v="3"/>
    <s v="Corporate"/>
    <s v="Office Supplies"/>
    <x v="1"/>
    <x v="27"/>
    <d v="2009-04-12T00:00:00"/>
    <s v="12-Apr-2009"/>
  </r>
  <r>
    <n v="18753"/>
    <d v="2009-07-31T00:00:00"/>
    <s v="Medium"/>
    <s v="31-Jul-2009"/>
    <n v="31"/>
    <n v="3945.95"/>
    <n v="0.03"/>
    <s v="Regular Air"/>
    <n v="1031.32"/>
    <n v="128.24"/>
    <n v="12.65"/>
    <s v="Erin Creighton"/>
    <s v="Ontario"/>
    <x v="3"/>
    <s v="Corporate"/>
    <s v="Furniture"/>
    <x v="2"/>
    <x v="49"/>
    <d v="2009-08-02T00:00:00"/>
    <s v="02-Aug-2009"/>
  </r>
  <r>
    <n v="31046"/>
    <d v="2011-02-07T00:00:00"/>
    <s v="Critical"/>
    <s v="07-Feb-2011"/>
    <n v="42"/>
    <n v="3900.5309999999999"/>
    <n v="0.08"/>
    <s v="Regular Air"/>
    <n v="1144.6300000000001"/>
    <n v="110.99"/>
    <n v="2.5"/>
    <s v="Erin Creighton"/>
    <s v="Ontario"/>
    <x v="3"/>
    <s v="Corporate"/>
    <s v="Technology"/>
    <x v="10"/>
    <x v="6"/>
    <d v="2011-02-08T00:00:00"/>
    <s v="08-Feb-2011"/>
  </r>
  <r>
    <n v="56002"/>
    <d v="2009-07-04T00:00:00"/>
    <s v="Low"/>
    <s v="04-Jul-2009"/>
    <n v="14"/>
    <n v="3857.56"/>
    <n v="7.0000000000000007E-2"/>
    <s v="Regular Air"/>
    <n v="-377.81"/>
    <n v="290.98"/>
    <n v="69"/>
    <s v="Dave Hallsten"/>
    <s v="Ontario"/>
    <x v="3"/>
    <s v="Corporate"/>
    <s v="Furniture"/>
    <x v="3"/>
    <x v="46"/>
    <d v="2009-07-06T00:00:00"/>
    <s v="06-Jul-2009"/>
  </r>
  <r>
    <n v="5251"/>
    <d v="2011-04-11T00:00:00"/>
    <s v="Medium"/>
    <s v="11-Apr-2011"/>
    <n v="38"/>
    <n v="3821.0390000000002"/>
    <n v="0.05"/>
    <s v="Express Air"/>
    <n v="1057.8900000000001"/>
    <n v="115.99"/>
    <n v="5.99"/>
    <s v="Tamara Dahlen"/>
    <s v="Ontario"/>
    <x v="3"/>
    <s v="Corporate"/>
    <s v="Technology"/>
    <x v="10"/>
    <x v="6"/>
    <d v="2011-04-13T00:00:00"/>
    <s v="13-Apr-2011"/>
  </r>
  <r>
    <n v="65"/>
    <d v="2011-03-17T00:00:00"/>
    <s v="Critical"/>
    <s v="17-Mar-2011"/>
    <n v="32"/>
    <n v="3812.73"/>
    <n v="0.02"/>
    <s v="Regular Air"/>
    <n v="1470.3"/>
    <n v="115.79"/>
    <n v="1.99"/>
    <s v="Tamara Dahlen"/>
    <s v="Ontario"/>
    <x v="3"/>
    <s v="Corporate"/>
    <s v="Technology"/>
    <x v="11"/>
    <x v="19"/>
    <d v="2011-03-18T00:00:00"/>
    <s v="18-Mar-2011"/>
  </r>
  <r>
    <n v="9568"/>
    <d v="2010-03-07T00:00:00"/>
    <s v="Not Specified"/>
    <s v="07-Mar-2010"/>
    <n v="46"/>
    <n v="3725.53"/>
    <n v="0"/>
    <s v="Regular Air"/>
    <n v="748.67"/>
    <n v="76.72"/>
    <n v="19.95"/>
    <s v="John Lucas"/>
    <s v="Ontario"/>
    <x v="3"/>
    <s v="Corporate"/>
    <s v="Office Supplies"/>
    <x v="5"/>
    <x v="41"/>
    <d v="2010-03-09T00:00:00"/>
    <s v="09-Mar-2010"/>
  </r>
  <r>
    <n v="55431"/>
    <d v="2012-06-08T00:00:00"/>
    <s v="Not Specified"/>
    <s v="08-Jun-2012"/>
    <n v="13"/>
    <n v="3723.99"/>
    <n v="0.03"/>
    <s v="Regular Air"/>
    <n v="777.28"/>
    <n v="289.52999999999997"/>
    <n v="19.989999999999998"/>
    <s v="Kean Thornton"/>
    <s v="Ontario"/>
    <x v="3"/>
    <s v="Corporate"/>
    <s v="Office Supplies"/>
    <x v="5"/>
    <x v="0"/>
    <d v="2012-06-09T00:00:00"/>
    <s v="09-Jun-2012"/>
  </r>
  <r>
    <n v="41474"/>
    <d v="2009-04-20T00:00:00"/>
    <s v="Not Specified"/>
    <s v="20-Apr-2009"/>
    <n v="35"/>
    <n v="3640.83"/>
    <n v="0"/>
    <s v="Delivery Truck"/>
    <n v="-6.8"/>
    <n v="100.98"/>
    <n v="35.840000000000003"/>
    <s v="Matt Connell"/>
    <s v="Ontario"/>
    <x v="3"/>
    <s v="Corporate"/>
    <s v="Furniture"/>
    <x v="8"/>
    <x v="44"/>
    <d v="2009-04-22T00:00:00"/>
    <s v="22-Apr-2009"/>
  </r>
  <r>
    <n v="20614"/>
    <d v="2009-05-18T00:00:00"/>
    <s v="Not Specified"/>
    <s v="18-May-2009"/>
    <n v="47"/>
    <n v="3596.36"/>
    <n v="0"/>
    <s v="Express Air"/>
    <n v="326.25"/>
    <n v="73.98"/>
    <n v="12.14"/>
    <s v="Arthur Wiediger"/>
    <s v="Ontario"/>
    <x v="3"/>
    <s v="Corporate"/>
    <s v="Technology"/>
    <x v="11"/>
    <x v="46"/>
    <d v="2009-05-20T00:00:00"/>
    <s v="20-May-2009"/>
  </r>
  <r>
    <n v="36896"/>
    <d v="2009-11-03T00:00:00"/>
    <s v="Critical"/>
    <s v="03-Nov-2009"/>
    <n v="21"/>
    <n v="3508.33"/>
    <n v="0.04"/>
    <s v="Regular Air"/>
    <n v="-546.98"/>
    <n v="167.27"/>
    <n v="35"/>
    <s v="Xylona Price"/>
    <s v="Ontario"/>
    <x v="3"/>
    <s v="Corporate"/>
    <s v="Office Supplies"/>
    <x v="4"/>
    <x v="42"/>
    <d v="2009-11-03T00:00:00"/>
    <s v="03-Nov-2009"/>
  </r>
  <r>
    <n v="27201"/>
    <d v="2012-07-25T00:00:00"/>
    <s v="High"/>
    <s v="25-Jul-2012"/>
    <n v="45"/>
    <n v="3500.1"/>
    <n v="0.01"/>
    <s v="Delivery Truck"/>
    <n v="-2661.32"/>
    <n v="70.89"/>
    <n v="89.3"/>
    <s v="Scot Coram"/>
    <s v="Ontario"/>
    <x v="3"/>
    <s v="Corporate"/>
    <s v="Furniture"/>
    <x v="3"/>
    <x v="13"/>
    <d v="2012-07-25T00:00:00"/>
    <s v="25-Jul-2012"/>
  </r>
  <r>
    <n v="1991"/>
    <d v="2012-09-06T00:00:00"/>
    <s v="Not Specified"/>
    <s v="06-Sep-2012"/>
    <n v="27"/>
    <n v="3491.06"/>
    <n v="0.09"/>
    <s v="Regular Air"/>
    <n v="921.7"/>
    <n v="136.97999999999999"/>
    <n v="24.49"/>
    <s v="Barry Franz"/>
    <s v="Ontario"/>
    <x v="3"/>
    <s v="Corporate"/>
    <s v="Furniture"/>
    <x v="7"/>
    <x v="14"/>
    <d v="2012-09-06T00:00:00"/>
    <s v="06-Sep-2012"/>
  </r>
  <r>
    <n v="29318"/>
    <d v="2011-06-30T00:00:00"/>
    <s v="Not Specified"/>
    <s v="30-Jun-2011"/>
    <n v="34"/>
    <n v="3375.3074999999999"/>
    <n v="0.1"/>
    <s v="Regular Air"/>
    <n v="562.13"/>
    <n v="125.99"/>
    <n v="8.08"/>
    <s v="Bobby Odegard"/>
    <s v="Ontario"/>
    <x v="3"/>
    <s v="Corporate"/>
    <s v="Technology"/>
    <x v="10"/>
    <x v="6"/>
    <d v="2011-07-01T00:00:00"/>
    <s v="01-Jul-2011"/>
  </r>
  <r>
    <n v="2691"/>
    <d v="2012-04-29T00:00:00"/>
    <s v="Low"/>
    <s v="29-Apr-2012"/>
    <n v="14"/>
    <n v="3363.14"/>
    <n v="0.1"/>
    <s v="Delivery Truck"/>
    <n v="98.75"/>
    <n v="260.98"/>
    <n v="41.91"/>
    <s v="Ted Trevino"/>
    <s v="Ontario"/>
    <x v="3"/>
    <s v="Corporate"/>
    <s v="Furniture"/>
    <x v="8"/>
    <x v="14"/>
    <d v="2012-05-08T00:00:00"/>
    <s v="08-May-2012"/>
  </r>
  <r>
    <n v="48195"/>
    <d v="2010-11-27T00:00:00"/>
    <s v="Not Specified"/>
    <s v="27-Nov-2010"/>
    <n v="35"/>
    <n v="3337.5165000000002"/>
    <n v="7.0000000000000007E-2"/>
    <s v="Regular Air"/>
    <n v="850.54"/>
    <n v="115.99"/>
    <n v="2.5"/>
    <s v="Ruben Ausman"/>
    <s v="Ontario"/>
    <x v="3"/>
    <s v="Corporate"/>
    <s v="Technology"/>
    <x v="10"/>
    <x v="6"/>
    <d v="2010-11-28T00:00:00"/>
    <s v="28-Nov-2010"/>
  </r>
  <r>
    <n v="13351"/>
    <d v="2010-05-06T00:00:00"/>
    <s v="Medium"/>
    <s v="06-May-2010"/>
    <n v="20"/>
    <n v="3331.81"/>
    <n v="0.08"/>
    <s v="Regular Air"/>
    <n v="484.15"/>
    <n v="179.99"/>
    <n v="19.989999999999998"/>
    <s v="Karl Brown"/>
    <s v="Ontario"/>
    <x v="3"/>
    <s v="Corporate"/>
    <s v="Technology"/>
    <x v="11"/>
    <x v="23"/>
    <d v="2010-05-07T00:00:00"/>
    <s v="07-May-2010"/>
  </r>
  <r>
    <n v="41702"/>
    <d v="2010-12-22T00:00:00"/>
    <s v="Not Specified"/>
    <s v="22-Dec-2010"/>
    <n v="21"/>
    <n v="3323.44"/>
    <n v="0.03"/>
    <s v="Regular Air"/>
    <n v="99.88"/>
    <n v="152.47999999999999"/>
    <n v="4"/>
    <s v="Corinna Mitchell"/>
    <s v="Ontario"/>
    <x v="3"/>
    <s v="Corporate"/>
    <s v="Technology"/>
    <x v="11"/>
    <x v="11"/>
    <d v="2010-12-23T00:00:00"/>
    <s v="23-Dec-2010"/>
  </r>
  <r>
    <n v="38498"/>
    <d v="2012-04-27T00:00:00"/>
    <s v="Critical"/>
    <s v="27-Apr-2012"/>
    <n v="30"/>
    <n v="3295.15"/>
    <n v="7.0000000000000007E-2"/>
    <s v="Regular Air"/>
    <n v="1070.18"/>
    <n v="115.79"/>
    <n v="1.99"/>
    <s v="Grant Carroll"/>
    <s v="Ontario"/>
    <x v="3"/>
    <s v="Corporate"/>
    <s v="Technology"/>
    <x v="11"/>
    <x v="19"/>
    <d v="2012-04-29T00:00:00"/>
    <s v="29-Apr-2012"/>
  </r>
  <r>
    <n v="40962"/>
    <d v="2011-02-20T00:00:00"/>
    <s v="Critical"/>
    <s v="20-Feb-2011"/>
    <n v="30"/>
    <n v="3276.9965000000002"/>
    <n v="0"/>
    <s v="Regular Air"/>
    <n v="653.05999999999995"/>
    <n v="125.99"/>
    <n v="8.99"/>
    <s v="Mary Zewe"/>
    <s v="Ontario"/>
    <x v="3"/>
    <s v="Corporate"/>
    <s v="Technology"/>
    <x v="10"/>
    <x v="14"/>
    <d v="2011-02-21T00:00:00"/>
    <s v="21-Feb-2011"/>
  </r>
  <r>
    <n v="19777"/>
    <d v="2012-10-19T00:00:00"/>
    <s v="Not Specified"/>
    <s v="19-Oct-2012"/>
    <n v="24"/>
    <n v="3268.7514999999999"/>
    <n v="0.04"/>
    <s v="Regular Air"/>
    <n v="562.91"/>
    <n v="155.99"/>
    <n v="8.08"/>
    <s v="Pauline Chand"/>
    <s v="Ontario"/>
    <x v="3"/>
    <s v="Corporate"/>
    <s v="Technology"/>
    <x v="10"/>
    <x v="18"/>
    <d v="2012-10-21T00:00:00"/>
    <s v="21-Oct-2012"/>
  </r>
  <r>
    <n v="40193"/>
    <d v="2012-09-02T00:00:00"/>
    <s v="High"/>
    <s v="02-Sep-2012"/>
    <n v="34"/>
    <n v="3130.2015000000001"/>
    <n v="7.0000000000000007E-2"/>
    <s v="Express Air"/>
    <n v="692.78"/>
    <n v="115.99"/>
    <n v="2.5"/>
    <s v="Maria Zettner"/>
    <s v="Ontario"/>
    <x v="3"/>
    <s v="Corporate"/>
    <s v="Technology"/>
    <x v="10"/>
    <x v="6"/>
    <d v="2012-09-02T00:00:00"/>
    <s v="02-Sep-2012"/>
  </r>
  <r>
    <n v="53766"/>
    <d v="2009-10-13T00:00:00"/>
    <s v="Not Specified"/>
    <s v="13-Oct-2009"/>
    <n v="22"/>
    <n v="3122.55"/>
    <n v="7.0000000000000007E-2"/>
    <s v="Delivery Truck"/>
    <n v="-574.55999999999995"/>
    <n v="145.97999999999999"/>
    <n v="46.2"/>
    <s v="Laura Armstrong"/>
    <s v="Ontario"/>
    <x v="3"/>
    <s v="Corporate"/>
    <s v="Furniture"/>
    <x v="3"/>
    <x v="39"/>
    <d v="2009-10-14T00:00:00"/>
    <s v="14-Oct-2009"/>
  </r>
  <r>
    <n v="34087"/>
    <d v="2009-07-24T00:00:00"/>
    <s v="Low"/>
    <s v="24-Jul-2009"/>
    <n v="31"/>
    <n v="3077.7310000000002"/>
    <n v="0.05"/>
    <s v="Regular Air"/>
    <n v="745.48"/>
    <n v="115.99"/>
    <n v="5.26"/>
    <s v="Jim Sink"/>
    <s v="Ontario"/>
    <x v="3"/>
    <s v="Corporate"/>
    <s v="Technology"/>
    <x v="10"/>
    <x v="6"/>
    <d v="2009-07-28T00:00:00"/>
    <s v="28-Jul-2009"/>
  </r>
  <r>
    <n v="42246"/>
    <d v="2012-04-26T00:00:00"/>
    <s v="Not Specified"/>
    <s v="26-Apr-2012"/>
    <n v="40"/>
    <n v="3060.37"/>
    <n v="7.0000000000000007E-2"/>
    <s v="Regular Air"/>
    <n v="234.03"/>
    <n v="77.510000000000005"/>
    <n v="4"/>
    <s v="Ted Trevino"/>
    <s v="Ontario"/>
    <x v="3"/>
    <s v="Corporate"/>
    <s v="Technology"/>
    <x v="11"/>
    <x v="40"/>
    <d v="2012-04-27T00:00:00"/>
    <s v="27-Apr-2012"/>
  </r>
  <r>
    <n v="54339"/>
    <d v="2012-05-02T00:00:00"/>
    <s v="Low"/>
    <s v="02-May-2012"/>
    <n v="48"/>
    <n v="3005.74"/>
    <n v="0.02"/>
    <s v="Express Air"/>
    <n v="1053.21"/>
    <n v="59.98"/>
    <n v="3.99"/>
    <s v="Alan Hwang"/>
    <s v="Ontario"/>
    <x v="3"/>
    <s v="Corporate"/>
    <s v="Office Supplies"/>
    <x v="5"/>
    <x v="6"/>
    <d v="2012-05-09T00:00:00"/>
    <s v="09-May-2012"/>
  </r>
  <r>
    <n v="29318"/>
    <d v="2011-06-30T00:00:00"/>
    <s v="Not Specified"/>
    <s v="30-Jun-2011"/>
    <n v="21"/>
    <n v="2954.14"/>
    <n v="0.04"/>
    <s v="Express Air"/>
    <n v="-522.94000000000005"/>
    <n v="138.13999999999999"/>
    <n v="35"/>
    <s v="Bobby Odegard"/>
    <s v="Ontario"/>
    <x v="3"/>
    <s v="Corporate"/>
    <s v="Office Supplies"/>
    <x v="4"/>
    <x v="49"/>
    <d v="2011-07-01T00:00:00"/>
    <s v="01-Jul-2011"/>
  </r>
  <r>
    <n v="17187"/>
    <d v="2012-09-23T00:00:00"/>
    <s v="High"/>
    <s v="23-Sep-2012"/>
    <n v="4"/>
    <n v="2951.97"/>
    <n v="0.09"/>
    <s v="Delivery Truck"/>
    <n v="-1890.33"/>
    <n v="810.98"/>
    <n v="16.059999999999999"/>
    <s v="Bill Stewart"/>
    <s v="Ontario"/>
    <x v="3"/>
    <s v="Corporate"/>
    <s v="Technology"/>
    <x v="0"/>
    <x v="0"/>
    <d v="2012-09-25T00:00:00"/>
    <s v="25-Sep-2012"/>
  </r>
  <r>
    <n v="47714"/>
    <d v="2011-03-10T00:00:00"/>
    <s v="Medium"/>
    <s v="10-Mar-2011"/>
    <n v="29"/>
    <n v="2946.05"/>
    <n v="0.06"/>
    <s v="Delivery Truck"/>
    <n v="-690.21"/>
    <n v="105.49"/>
    <n v="41.64"/>
    <s v="Philip Brown"/>
    <s v="Ontario"/>
    <x v="3"/>
    <s v="Corporate"/>
    <s v="Furniture"/>
    <x v="3"/>
    <x v="16"/>
    <d v="2011-03-11T00:00:00"/>
    <s v="11-Mar-2011"/>
  </r>
  <r>
    <n v="47168"/>
    <d v="2009-06-21T00:00:00"/>
    <s v="Not Specified"/>
    <s v="21-Jun-2009"/>
    <n v="24"/>
    <n v="2920.83"/>
    <n v="0.02"/>
    <s v="Delivery Truck"/>
    <n v="1068.1600000000001"/>
    <n v="119.99"/>
    <n v="14"/>
    <s v="Corinna Mitchell"/>
    <s v="Ontario"/>
    <x v="3"/>
    <s v="Corporate"/>
    <s v="Technology"/>
    <x v="0"/>
    <x v="10"/>
    <d v="2009-06-22T00:00:00"/>
    <s v="22-Jun-2009"/>
  </r>
  <r>
    <n v="10470"/>
    <d v="2012-05-04T00:00:00"/>
    <s v="Low"/>
    <s v="04-May-2012"/>
    <n v="20"/>
    <n v="2913.1455000000001"/>
    <n v="0.09"/>
    <s v="Regular Air"/>
    <n v="333.72"/>
    <n v="175.99"/>
    <n v="4.99"/>
    <s v="Guy Phonely"/>
    <s v="Ontario"/>
    <x v="3"/>
    <s v="Corporate"/>
    <s v="Technology"/>
    <x v="10"/>
    <x v="14"/>
    <d v="2012-05-06T00:00:00"/>
    <s v="06-May-2012"/>
  </r>
  <r>
    <n v="17249"/>
    <d v="2010-09-25T00:00:00"/>
    <s v="Low"/>
    <s v="25-Sep-2010"/>
    <n v="37"/>
    <n v="2911.64"/>
    <n v="0.02"/>
    <s v="Regular Air"/>
    <n v="225.28"/>
    <n v="73.98"/>
    <n v="14.52"/>
    <s v="Matt Connell"/>
    <s v="Ontario"/>
    <x v="3"/>
    <s v="Corporate"/>
    <s v="Technology"/>
    <x v="11"/>
    <x v="38"/>
    <d v="2010-09-27T00:00:00"/>
    <s v="27-Sep-2010"/>
  </r>
  <r>
    <n v="30915"/>
    <d v="2009-01-16T00:00:00"/>
    <s v="Low"/>
    <s v="16-Jan-2009"/>
    <n v="25"/>
    <n v="2836.0504999999998"/>
    <n v="0.01"/>
    <s v="Regular Air"/>
    <n v="561.13"/>
    <n v="125.99"/>
    <n v="8.99"/>
    <s v="Xylona Price"/>
    <s v="Ontario"/>
    <x v="3"/>
    <s v="Corporate"/>
    <s v="Technology"/>
    <x v="10"/>
    <x v="14"/>
    <d v="2009-01-21T00:00:00"/>
    <s v="21-Jan-2009"/>
  </r>
  <r>
    <n v="28033"/>
    <d v="2010-09-14T00:00:00"/>
    <s v="High"/>
    <s v="14-Sep-2010"/>
    <n v="16"/>
    <n v="2826.9"/>
    <n v="7.0000000000000007E-2"/>
    <s v="Delivery Truck"/>
    <n v="337.29"/>
    <n v="180.98"/>
    <n v="26.2"/>
    <s v="Dan Lawera"/>
    <s v="Ontario"/>
    <x v="3"/>
    <s v="Corporate"/>
    <s v="Furniture"/>
    <x v="2"/>
    <x v="14"/>
    <d v="2010-09-16T00:00:00"/>
    <s v="16-Sep-2010"/>
  </r>
  <r>
    <n v="43875"/>
    <d v="2011-12-07T00:00:00"/>
    <s v="Critical"/>
    <s v="07-Dec-2011"/>
    <n v="16"/>
    <n v="2795.0039999999999"/>
    <n v="0.02"/>
    <s v="Regular Air"/>
    <n v="311.08999999999997"/>
    <n v="195.99"/>
    <n v="8.99"/>
    <s v="Melanie Page"/>
    <s v="Ontario"/>
    <x v="3"/>
    <s v="Corporate"/>
    <s v="Technology"/>
    <x v="10"/>
    <x v="15"/>
    <d v="2011-12-08T00:00:00"/>
    <s v="08-Dec-2011"/>
  </r>
  <r>
    <n v="54183"/>
    <d v="2012-04-15T00:00:00"/>
    <s v="Critical"/>
    <s v="15-Apr-2012"/>
    <n v="32"/>
    <n v="2773.71"/>
    <n v="0.02"/>
    <s v="Express Air"/>
    <n v="1097.25"/>
    <n v="82.99"/>
    <n v="5.5"/>
    <s v="Mike Caudle"/>
    <s v="Ontario"/>
    <x v="3"/>
    <s v="Corporate"/>
    <s v="Technology"/>
    <x v="11"/>
    <x v="47"/>
    <d v="2012-04-17T00:00:00"/>
    <s v="17-Apr-2012"/>
  </r>
  <r>
    <n v="12261"/>
    <d v="2010-10-23T00:00:00"/>
    <s v="Low"/>
    <s v="23-Oct-2010"/>
    <n v="15"/>
    <n v="2746.57"/>
    <n v="0.03"/>
    <s v="Regular Air"/>
    <n v="617.4"/>
    <n v="178.47"/>
    <n v="19.989999999999998"/>
    <s v="Ritsa Hightower"/>
    <s v="Ontario"/>
    <x v="3"/>
    <s v="Corporate"/>
    <s v="Office Supplies"/>
    <x v="4"/>
    <x v="20"/>
    <d v="2010-10-28T00:00:00"/>
    <s v="28-Oct-2010"/>
  </r>
  <r>
    <n v="29383"/>
    <d v="2011-11-18T00:00:00"/>
    <s v="Medium"/>
    <s v="18-Nov-2011"/>
    <n v="29"/>
    <n v="2738.7849999999999"/>
    <n v="7.0000000000000007E-2"/>
    <s v="Regular Air"/>
    <n v="556.83000000000004"/>
    <n v="115.99"/>
    <n v="2.5"/>
    <s v="Jas O'Carroll"/>
    <s v="Ontario"/>
    <x v="3"/>
    <s v="Corporate"/>
    <s v="Technology"/>
    <x v="10"/>
    <x v="15"/>
    <d v="2011-11-20T00:00:00"/>
    <s v="20-Nov-2011"/>
  </r>
  <r>
    <n v="40839"/>
    <d v="2012-03-31T00:00:00"/>
    <s v="Medium"/>
    <s v="31-Mar-2012"/>
    <n v="23"/>
    <n v="2732.01"/>
    <n v="0.04"/>
    <s v="Delivery Truck"/>
    <n v="-100.47"/>
    <n v="119.99"/>
    <n v="56.14"/>
    <s v="Guy Phonely"/>
    <s v="Ontario"/>
    <x v="3"/>
    <s v="Corporate"/>
    <s v="Technology"/>
    <x v="0"/>
    <x v="4"/>
    <d v="2012-04-01T00:00:00"/>
    <s v="01-Apr-2012"/>
  </r>
  <r>
    <n v="13633"/>
    <d v="2012-04-03T00:00:00"/>
    <s v="Not Specified"/>
    <s v="03-Apr-2012"/>
    <n v="18"/>
    <n v="2703.37"/>
    <n v="0.09"/>
    <s v="Delivery Truck"/>
    <n v="-231.6"/>
    <n v="150.97999999999999"/>
    <n v="57.2"/>
    <s v="Alan Hwang"/>
    <s v="Ontario"/>
    <x v="3"/>
    <s v="Corporate"/>
    <s v="Furniture"/>
    <x v="2"/>
    <x v="14"/>
    <d v="2012-04-04T00:00:00"/>
    <s v="04-Apr-2012"/>
  </r>
  <r>
    <n v="48195"/>
    <d v="2010-11-27T00:00:00"/>
    <s v="Not Specified"/>
    <s v="27-Nov-2010"/>
    <n v="47"/>
    <n v="2679.1235000000001"/>
    <n v="0.01"/>
    <s v="Regular Air"/>
    <n v="47.28"/>
    <n v="65.989999999999995"/>
    <n v="19.989999999999998"/>
    <s v="Ruben Ausman"/>
    <s v="Ontario"/>
    <x v="3"/>
    <s v="Corporate"/>
    <s v="Technology"/>
    <x v="10"/>
    <x v="14"/>
    <d v="2010-11-28T00:00:00"/>
    <s v="28-Nov-2010"/>
  </r>
  <r>
    <n v="18182"/>
    <d v="2011-04-10T00:00:00"/>
    <s v="Medium"/>
    <s v="10-Apr-2011"/>
    <n v="45"/>
    <n v="2673.08"/>
    <n v="0.01"/>
    <s v="Regular Air"/>
    <n v="-1363.12"/>
    <n v="55.5"/>
    <n v="52.2"/>
    <s v="Anna Haberlin"/>
    <s v="Ontario"/>
    <x v="3"/>
    <s v="Corporate"/>
    <s v="Furniture"/>
    <x v="7"/>
    <x v="13"/>
    <d v="2011-04-11T00:00:00"/>
    <s v="11-Apr-2011"/>
  </r>
  <r>
    <n v="18661"/>
    <d v="2012-09-08T00:00:00"/>
    <s v="Low"/>
    <s v="08-Sep-2012"/>
    <n v="11"/>
    <n v="2618.1120000000001"/>
    <n v="0.04"/>
    <s v="Delivery Truck"/>
    <n v="-139.27000000000001"/>
    <n v="286.85000000000002"/>
    <n v="61.76"/>
    <s v="Erin Creighton"/>
    <s v="Ontario"/>
    <x v="3"/>
    <s v="Corporate"/>
    <s v="Furniture"/>
    <x v="3"/>
    <x v="8"/>
    <d v="2012-09-10T00:00:00"/>
    <s v="10-Sep-2012"/>
  </r>
  <r>
    <n v="43875"/>
    <d v="2011-12-07T00:00:00"/>
    <s v="Critical"/>
    <s v="07-Dec-2011"/>
    <n v="17"/>
    <n v="2573.92"/>
    <n v="7.0000000000000007E-2"/>
    <s v="Delivery Truck"/>
    <n v="117.23"/>
    <n v="150.97999999999999"/>
    <n v="143.71"/>
    <s v="Melanie Page"/>
    <s v="Ontario"/>
    <x v="3"/>
    <s v="Corporate"/>
    <s v="Furniture"/>
    <x v="2"/>
    <x v="20"/>
    <d v="2011-12-09T00:00:00"/>
    <s v="09-Dec-2011"/>
  </r>
  <r>
    <n v="10245"/>
    <d v="2011-02-13T00:00:00"/>
    <s v="Medium"/>
    <s v="13-Feb-2011"/>
    <n v="20"/>
    <n v="2573.29"/>
    <n v="0.04"/>
    <s v="Delivery Truck"/>
    <n v="-896.94"/>
    <n v="122.99"/>
    <n v="70.2"/>
    <s v="Astrea Jones"/>
    <s v="Ontario"/>
    <x v="3"/>
    <s v="Corporate"/>
    <s v="Furniture"/>
    <x v="2"/>
    <x v="37"/>
    <d v="2011-02-14T00:00:00"/>
    <s v="14-Feb-2011"/>
  </r>
  <r>
    <n v="43875"/>
    <d v="2011-12-07T00:00:00"/>
    <s v="Critical"/>
    <s v="07-Dec-2011"/>
    <n v="25"/>
    <n v="2564.5774999999999"/>
    <n v="7.0000000000000007E-2"/>
    <s v="Regular Air"/>
    <n v="331.29"/>
    <n v="125.99"/>
    <n v="7.69"/>
    <s v="Melanie Page"/>
    <s v="Ontario"/>
    <x v="3"/>
    <s v="Corporate"/>
    <s v="Technology"/>
    <x v="10"/>
    <x v="15"/>
    <d v="2011-12-09T00:00:00"/>
    <s v="09-Dec-2011"/>
  </r>
  <r>
    <n v="41728"/>
    <d v="2009-09-30T00:00:00"/>
    <s v="High"/>
    <s v="30-Sep-2009"/>
    <n v="10"/>
    <n v="2549.58"/>
    <n v="0.02"/>
    <s v="Delivery Truck"/>
    <n v="41.53"/>
    <n v="243.98"/>
    <n v="62.94"/>
    <s v="Alejandro Grove"/>
    <s v="Ontario"/>
    <x v="3"/>
    <s v="Corporate"/>
    <s v="Furniture"/>
    <x v="2"/>
    <x v="6"/>
    <d v="2009-10-01T00:00:00"/>
    <s v="01-Oct-2009"/>
  </r>
  <r>
    <n v="34082"/>
    <d v="2011-10-28T00:00:00"/>
    <s v="Not Specified"/>
    <s v="28-Oct-2011"/>
    <n v="19"/>
    <n v="2536.1799999999998"/>
    <n v="0.1"/>
    <s v="Regular Air"/>
    <n v="350.62"/>
    <n v="142.86000000000001"/>
    <n v="19.989999999999998"/>
    <s v="Dan Lawera"/>
    <s v="Ontario"/>
    <x v="3"/>
    <s v="Corporate"/>
    <s v="Office Supplies"/>
    <x v="4"/>
    <x v="0"/>
    <d v="2011-10-29T00:00:00"/>
    <s v="29-Oct-2011"/>
  </r>
  <r>
    <n v="55235"/>
    <d v="2010-10-06T00:00:00"/>
    <s v="Low"/>
    <s v="06-Oct-2010"/>
    <n v="33"/>
    <n v="2532.6174999999998"/>
    <n v="0"/>
    <s v="Regular Air"/>
    <n v="730.51"/>
    <n v="85.99"/>
    <n v="2.79"/>
    <s v="Jane Waco"/>
    <s v="Ontario"/>
    <x v="3"/>
    <s v="Corporate"/>
    <s v="Technology"/>
    <x v="10"/>
    <x v="15"/>
    <d v="2010-10-08T00:00:00"/>
    <s v="08-Oct-2010"/>
  </r>
  <r>
    <n v="37152"/>
    <d v="2011-05-22T00:00:00"/>
    <s v="Medium"/>
    <s v="22-May-2011"/>
    <n v="45"/>
    <n v="2503.3265000000001"/>
    <n v="0.04"/>
    <s v="Regular Air"/>
    <n v="447.12"/>
    <n v="65.989999999999995"/>
    <n v="8.8000000000000007"/>
    <s v="Thomas Boland"/>
    <s v="Ontario"/>
    <x v="3"/>
    <s v="Corporate"/>
    <s v="Technology"/>
    <x v="10"/>
    <x v="15"/>
    <d v="2011-05-24T00:00:00"/>
    <s v="24-May-2011"/>
  </r>
  <r>
    <n v="1345"/>
    <d v="2012-10-27T00:00:00"/>
    <s v="Low"/>
    <s v="27-Oct-2012"/>
    <n v="24"/>
    <n v="2443.85"/>
    <n v="0.08"/>
    <s v="Delivery Truck"/>
    <n v="-120.85"/>
    <n v="100.98"/>
    <n v="35.840000000000003"/>
    <s v="Ritsa Hightower"/>
    <s v="Ontario"/>
    <x v="3"/>
    <s v="Corporate"/>
    <s v="Furniture"/>
    <x v="8"/>
    <x v="44"/>
    <d v="2012-10-31T00:00:00"/>
    <s v="31-Oct-2012"/>
  </r>
  <r>
    <n v="6754"/>
    <d v="2011-08-11T00:00:00"/>
    <s v="High"/>
    <s v="11-Aug-2011"/>
    <n v="13"/>
    <n v="2388.636"/>
    <n v="0.01"/>
    <s v="Regular Air"/>
    <n v="191"/>
    <n v="205.99"/>
    <n v="5.26"/>
    <s v="Bill Overfelt"/>
    <s v="Ontario"/>
    <x v="3"/>
    <s v="Corporate"/>
    <s v="Technology"/>
    <x v="10"/>
    <x v="0"/>
    <d v="2011-08-13T00:00:00"/>
    <s v="13-Aug-2011"/>
  </r>
  <r>
    <n v="36484"/>
    <d v="2012-01-28T00:00:00"/>
    <s v="Critical"/>
    <s v="28-Jan-2012"/>
    <n v="41"/>
    <n v="2380.5695000000001"/>
    <n v="0.01"/>
    <s v="Express Air"/>
    <n v="740.48"/>
    <n v="65.989999999999995"/>
    <n v="3.9"/>
    <s v="Cari MacIntyre"/>
    <s v="Ontario"/>
    <x v="3"/>
    <s v="Corporate"/>
    <s v="Technology"/>
    <x v="10"/>
    <x v="20"/>
    <d v="2012-01-29T00:00:00"/>
    <s v="29-Jan-2012"/>
  </r>
  <r>
    <n v="55073"/>
    <d v="2012-03-20T00:00:00"/>
    <s v="Low"/>
    <s v="20-Mar-2012"/>
    <n v="40"/>
    <n v="2376.7105000000001"/>
    <n v="0.01"/>
    <s v="Regular Air"/>
    <n v="721.81"/>
    <n v="65.989999999999995"/>
    <n v="3.99"/>
    <s v="Kelly Lampkin"/>
    <s v="Ontario"/>
    <x v="3"/>
    <s v="Corporate"/>
    <s v="Technology"/>
    <x v="10"/>
    <x v="6"/>
    <d v="2012-03-20T00:00:00"/>
    <s v="20-Mar-2012"/>
  </r>
  <r>
    <n v="46052"/>
    <d v="2009-11-23T00:00:00"/>
    <s v="Medium"/>
    <s v="23-Nov-2009"/>
    <n v="37"/>
    <n v="2374.35"/>
    <n v="0.05"/>
    <s v="Regular Air"/>
    <n v="878.21"/>
    <n v="63.94"/>
    <n v="14.48"/>
    <s v="Bill Overfelt"/>
    <s v="Ontario"/>
    <x v="3"/>
    <s v="Corporate"/>
    <s v="Furniture"/>
    <x v="7"/>
    <x v="29"/>
    <d v="2009-11-25T00:00:00"/>
    <s v="25-Nov-2009"/>
  </r>
  <r>
    <n v="24643"/>
    <d v="2012-04-29T00:00:00"/>
    <s v="Medium"/>
    <s v="29-Apr-2012"/>
    <n v="30"/>
    <n v="2368.1680000000001"/>
    <n v="0"/>
    <s v="Regular Air"/>
    <n v="1181.3"/>
    <n v="85.99"/>
    <n v="1.25"/>
    <s v="Ben Ferrer"/>
    <s v="Ontario"/>
    <x v="3"/>
    <s v="Corporate"/>
    <s v="Technology"/>
    <x v="10"/>
    <x v="4"/>
    <d v="2012-05-01T00:00:00"/>
    <s v="01-May-2012"/>
  </r>
  <r>
    <n v="11841"/>
    <d v="2010-04-20T00:00:00"/>
    <s v="Medium"/>
    <s v="20-Apr-2010"/>
    <n v="44"/>
    <n v="2339.52"/>
    <n v="0.1"/>
    <s v="Regular Air"/>
    <n v="886.03"/>
    <n v="54.96"/>
    <n v="10.75"/>
    <s v="Melanie Page"/>
    <s v="Ontario"/>
    <x v="3"/>
    <s v="Corporate"/>
    <s v="Office Supplies"/>
    <x v="12"/>
    <x v="10"/>
    <d v="2010-04-22T00:00:00"/>
    <s v="22-Apr-2010"/>
  </r>
  <r>
    <n v="42242"/>
    <d v="2009-04-01T00:00:00"/>
    <s v="Not Specified"/>
    <s v="01-Apr-2009"/>
    <n v="23"/>
    <n v="2287.1"/>
    <n v="7.0000000000000007E-2"/>
    <s v="Regular Air"/>
    <n v="231.49"/>
    <n v="99.99"/>
    <n v="19.989999999999998"/>
    <s v="Thomas Boland"/>
    <s v="Ontario"/>
    <x v="3"/>
    <s v="Corporate"/>
    <s v="Technology"/>
    <x v="0"/>
    <x v="24"/>
    <d v="2009-04-02T00:00:00"/>
    <s v="02-Apr-2009"/>
  </r>
  <r>
    <n v="33573"/>
    <d v="2010-10-04T00:00:00"/>
    <s v="Critical"/>
    <s v="04-Oct-2010"/>
    <n v="15"/>
    <n v="2272.56"/>
    <n v="0.06"/>
    <s v="Delivery Truck"/>
    <n v="111.05"/>
    <n v="150.97999999999999"/>
    <n v="16.010000000000002"/>
    <s v="Vivek Grady"/>
    <s v="Ontario"/>
    <x v="3"/>
    <s v="Corporate"/>
    <s v="Furniture"/>
    <x v="3"/>
    <x v="3"/>
    <d v="2010-10-04T00:00:00"/>
    <s v="04-Oct-2010"/>
  </r>
  <r>
    <n v="53024"/>
    <d v="2012-05-12T00:00:00"/>
    <s v="Not Specified"/>
    <s v="12-May-2012"/>
    <n v="46"/>
    <n v="2255.1945000000001"/>
    <n v="0.03"/>
    <s v="Regular Air"/>
    <n v="74.510000000000005"/>
    <n v="55.99"/>
    <n v="5"/>
    <s v="Ritsa Hightower"/>
    <s v="Ontario"/>
    <x v="3"/>
    <s v="Corporate"/>
    <s v="Technology"/>
    <x v="10"/>
    <x v="12"/>
    <d v="2012-05-13T00:00:00"/>
    <s v="13-May-2012"/>
  </r>
  <r>
    <n v="38756"/>
    <d v="2009-05-07T00:00:00"/>
    <s v="Critical"/>
    <s v="07-May-2009"/>
    <n v="43"/>
    <n v="2251.4969999999998"/>
    <n v="0.09"/>
    <s v="Express Air"/>
    <n v="308.93"/>
    <n v="65.989999999999995"/>
    <n v="8.99"/>
    <s v="Benjamin Patterson"/>
    <s v="Ontario"/>
    <x v="3"/>
    <s v="Corporate"/>
    <s v="Technology"/>
    <x v="10"/>
    <x v="0"/>
    <d v="2009-05-09T00:00:00"/>
    <s v="09-May-2009"/>
  </r>
  <r>
    <n v="12261"/>
    <d v="2010-10-23T00:00:00"/>
    <s v="Low"/>
    <s v="23-Oct-2010"/>
    <n v="12"/>
    <n v="2237.7600000000002"/>
    <n v="0.1"/>
    <s v="Delivery Truck"/>
    <n v="151.86000000000001"/>
    <n v="200.98"/>
    <n v="23.76"/>
    <s v="Ritsa Hightower"/>
    <s v="Ontario"/>
    <x v="3"/>
    <s v="Corporate"/>
    <s v="Furniture"/>
    <x v="2"/>
    <x v="15"/>
    <d v="2010-10-28T00:00:00"/>
    <s v="28-Oct-2010"/>
  </r>
  <r>
    <n v="34918"/>
    <d v="2009-10-23T00:00:00"/>
    <s v="Medium"/>
    <s v="23-Oct-2009"/>
    <n v="12"/>
    <n v="2230.9699999999998"/>
    <n v="0.06"/>
    <s v="Delivery Truck"/>
    <n v="273.27"/>
    <n v="180.98"/>
    <n v="26.2"/>
    <s v="Amy Cox"/>
    <s v="Ontario"/>
    <x v="3"/>
    <s v="Corporate"/>
    <s v="Furniture"/>
    <x v="2"/>
    <x v="14"/>
    <d v="2009-10-24T00:00:00"/>
    <s v="24-Oct-2009"/>
  </r>
  <r>
    <n v="17668"/>
    <d v="2009-11-25T00:00:00"/>
    <s v="Medium"/>
    <s v="25-Nov-2009"/>
    <n v="13"/>
    <n v="2219.7325000000001"/>
    <n v="0.04"/>
    <s v="Express Air"/>
    <n v="-69.78"/>
    <n v="205.99"/>
    <n v="5"/>
    <s v="Erin Creighton"/>
    <s v="Ontario"/>
    <x v="3"/>
    <s v="Corporate"/>
    <s v="Technology"/>
    <x v="10"/>
    <x v="14"/>
    <d v="2009-11-26T00:00:00"/>
    <s v="26-Nov-2009"/>
  </r>
  <r>
    <n v="54339"/>
    <d v="2012-05-02T00:00:00"/>
    <s v="Low"/>
    <s v="02-May-2012"/>
    <n v="41"/>
    <n v="2209.5155"/>
    <n v="0.06"/>
    <s v="Regular Air"/>
    <n v="458.62"/>
    <n v="65.989999999999995"/>
    <n v="5.31"/>
    <s v="Alan Hwang"/>
    <s v="Ontario"/>
    <x v="3"/>
    <s v="Corporate"/>
    <s v="Technology"/>
    <x v="10"/>
    <x v="6"/>
    <d v="2012-05-07T00:00:00"/>
    <s v="07-May-2012"/>
  </r>
  <r>
    <n v="57699"/>
    <d v="2012-11-10T00:00:00"/>
    <s v="Low"/>
    <s v="10-Nov-2012"/>
    <n v="36"/>
    <n v="2160.83"/>
    <n v="0.08"/>
    <s v="Regular Air"/>
    <n v="485.02"/>
    <n v="60.98"/>
    <n v="19.989999999999998"/>
    <s v="Pete Takahito"/>
    <s v="Ontario"/>
    <x v="3"/>
    <s v="Corporate"/>
    <s v="Office Supplies"/>
    <x v="15"/>
    <x v="1"/>
    <d v="2012-11-14T00:00:00"/>
    <s v="14-Nov-2012"/>
  </r>
  <r>
    <n v="39078"/>
    <d v="2009-06-23T00:00:00"/>
    <s v="Low"/>
    <s v="23-Jun-2009"/>
    <n v="8"/>
    <n v="2155.84"/>
    <n v="0.02"/>
    <s v="Regular Air"/>
    <n v="-267.63"/>
    <n v="256.99"/>
    <n v="11.25"/>
    <s v="Matt Connell"/>
    <s v="Ontario"/>
    <x v="3"/>
    <s v="Corporate"/>
    <s v="Technology"/>
    <x v="11"/>
    <x v="51"/>
    <d v="2009-06-30T00:00:00"/>
    <s v="30-Jun-2009"/>
  </r>
  <r>
    <n v="42693"/>
    <d v="2009-04-04T00:00:00"/>
    <s v="High"/>
    <s v="04-Apr-2009"/>
    <n v="33"/>
    <n v="2118.2600000000002"/>
    <n v="0.01"/>
    <s v="Regular Air"/>
    <n v="554.22"/>
    <n v="59.76"/>
    <n v="9.7100000000000009"/>
    <s v="Dave Brooks"/>
    <s v="Ontario"/>
    <x v="3"/>
    <s v="Corporate"/>
    <s v="Office Supplies"/>
    <x v="4"/>
    <x v="6"/>
    <d v="2009-04-06T00:00:00"/>
    <s v="06-Apr-2009"/>
  </r>
  <r>
    <n v="12452"/>
    <d v="2010-12-07T00:00:00"/>
    <s v="Medium"/>
    <s v="07-Dec-2010"/>
    <n v="38"/>
    <n v="2063.42"/>
    <n v="0.03"/>
    <s v="Regular Air"/>
    <n v="989.95"/>
    <n v="55.98"/>
    <n v="5.15"/>
    <s v="Bill Donatelli"/>
    <s v="Ontario"/>
    <x v="3"/>
    <s v="Corporate"/>
    <s v="Office Supplies"/>
    <x v="12"/>
    <x v="10"/>
    <d v="2010-12-09T00:00:00"/>
    <s v="09-Dec-2010"/>
  </r>
  <r>
    <n v="22688"/>
    <d v="2012-04-17T00:00:00"/>
    <s v="Medium"/>
    <s v="17-Apr-2012"/>
    <n v="40"/>
    <n v="2044.2755"/>
    <n v="0.1"/>
    <s v="Regular Air"/>
    <n v="334.53"/>
    <n v="65.989999999999995"/>
    <n v="5.63"/>
    <s v="Maureen Fritzler"/>
    <s v="Ontario"/>
    <x v="3"/>
    <s v="Corporate"/>
    <s v="Technology"/>
    <x v="10"/>
    <x v="0"/>
    <d v="2012-04-18T00:00:00"/>
    <s v="18-Apr-2012"/>
  </r>
  <r>
    <n v="230"/>
    <d v="2010-10-26T00:00:00"/>
    <s v="Critical"/>
    <s v="26-Oct-2010"/>
    <n v="47"/>
    <n v="2029.75"/>
    <n v="0.06"/>
    <s v="Regular Air"/>
    <n v="320.37"/>
    <n v="43.98"/>
    <n v="8.99"/>
    <s v="Erin Creighton"/>
    <s v="Ontario"/>
    <x v="3"/>
    <s v="Corporate"/>
    <s v="Office Supplies"/>
    <x v="13"/>
    <x v="15"/>
    <d v="2010-10-28T00:00:00"/>
    <s v="28-Oct-2010"/>
  </r>
  <r>
    <n v="58851"/>
    <d v="2010-06-07T00:00:00"/>
    <s v="Low"/>
    <s v="07-Jun-2010"/>
    <n v="14"/>
    <n v="2027.55"/>
    <n v="0.04"/>
    <s v="Regular Air"/>
    <n v="537.4"/>
    <n v="140.99"/>
    <n v="13.99"/>
    <s v="Alan Hwang"/>
    <s v="Ontario"/>
    <x v="3"/>
    <s v="Corporate"/>
    <s v="Technology"/>
    <x v="0"/>
    <x v="7"/>
    <d v="2010-06-14T00:00:00"/>
    <s v="14-Jun-2010"/>
  </r>
  <r>
    <n v="45635"/>
    <d v="2012-04-07T00:00:00"/>
    <s v="Low"/>
    <s v="07-Apr-2012"/>
    <n v="50"/>
    <n v="2018.68"/>
    <n v="0.1"/>
    <s v="Regular Air"/>
    <n v="731.72"/>
    <n v="43.98"/>
    <n v="1.99"/>
    <s v="Denny Joy"/>
    <s v="Ontario"/>
    <x v="3"/>
    <s v="Corporate"/>
    <s v="Technology"/>
    <x v="11"/>
    <x v="47"/>
    <d v="2012-04-16T00:00:00"/>
    <s v="16-Apr-2012"/>
  </r>
  <r>
    <n v="23489"/>
    <d v="2012-08-28T00:00:00"/>
    <s v="High"/>
    <s v="28-Aug-2012"/>
    <n v="42"/>
    <n v="2004.6"/>
    <n v="0.02"/>
    <s v="Express Air"/>
    <n v="230.3"/>
    <n v="47.98"/>
    <n v="3.61"/>
    <s v="Ritsa Hightower"/>
    <s v="Ontario"/>
    <x v="3"/>
    <s v="Corporate"/>
    <s v="Technology"/>
    <x v="11"/>
    <x v="35"/>
    <d v="2012-08-28T00:00:00"/>
    <s v="28-Aug-2012"/>
  </r>
  <r>
    <n v="14695"/>
    <d v="2012-09-05T00:00:00"/>
    <s v="High"/>
    <s v="05-Sep-2012"/>
    <n v="40"/>
    <n v="1992.45"/>
    <n v="0.05"/>
    <s v="Delivery Truck"/>
    <n v="-1609.92"/>
    <n v="48.58"/>
    <n v="54.11"/>
    <s v="Anthony Witt"/>
    <s v="Ontario"/>
    <x v="3"/>
    <s v="Corporate"/>
    <s v="Furniture"/>
    <x v="8"/>
    <x v="39"/>
    <d v="2012-09-06T00:00:00"/>
    <s v="06-Sep-2012"/>
  </r>
  <r>
    <n v="40647"/>
    <d v="2009-08-17T00:00:00"/>
    <s v="High"/>
    <s v="17-Aug-2009"/>
    <n v="47"/>
    <n v="1982.16"/>
    <n v="0.03"/>
    <s v="Regular Air"/>
    <n v="267.10000000000002"/>
    <n v="40.99"/>
    <n v="19.989999999999998"/>
    <s v="Naresj Patel"/>
    <s v="Ontario"/>
    <x v="3"/>
    <s v="Corporate"/>
    <s v="Office Supplies"/>
    <x v="12"/>
    <x v="10"/>
    <d v="2009-08-18T00:00:00"/>
    <s v="18-Aug-2009"/>
  </r>
  <r>
    <n v="24707"/>
    <d v="2012-03-10T00:00:00"/>
    <s v="Medium"/>
    <s v="10-Mar-2012"/>
    <n v="14"/>
    <n v="1961.39"/>
    <n v="0"/>
    <s v="Regular Air"/>
    <n v="761.04"/>
    <n v="136.97999999999999"/>
    <n v="24.49"/>
    <s v="Don Weiss"/>
    <s v="Ontario"/>
    <x v="3"/>
    <s v="Corporate"/>
    <s v="Furniture"/>
    <x v="7"/>
    <x v="14"/>
    <d v="2012-03-11T00:00:00"/>
    <s v="11-Mar-2012"/>
  </r>
  <r>
    <n v="17956"/>
    <d v="2010-08-05T00:00:00"/>
    <s v="Critical"/>
    <s v="05-Aug-2010"/>
    <n v="17"/>
    <n v="1914.65"/>
    <n v="0.01"/>
    <s v="Regular Air"/>
    <n v="73.45"/>
    <n v="111.03"/>
    <n v="8.64"/>
    <s v="Kelly Lampkin"/>
    <s v="Ontario"/>
    <x v="3"/>
    <s v="Corporate"/>
    <s v="Office Supplies"/>
    <x v="4"/>
    <x v="8"/>
    <d v="2010-08-06T00:00:00"/>
    <s v="06-Aug-2010"/>
  </r>
  <r>
    <n v="52930"/>
    <d v="2011-11-08T00:00:00"/>
    <s v="Low"/>
    <s v="08-Nov-2011"/>
    <n v="40"/>
    <n v="1865.5885000000001"/>
    <n v="0.02"/>
    <s v="Regular Air"/>
    <n v="972.9"/>
    <n v="55.99"/>
    <n v="1.25"/>
    <s v="Sarah Foster"/>
    <s v="Ontario"/>
    <x v="3"/>
    <s v="Corporate"/>
    <s v="Technology"/>
    <x v="10"/>
    <x v="2"/>
    <d v="2011-11-08T00:00:00"/>
    <s v="08-Nov-2011"/>
  </r>
  <r>
    <n v="15718"/>
    <d v="2009-01-27T00:00:00"/>
    <s v="Critical"/>
    <s v="27-Jan-2009"/>
    <n v="41"/>
    <n v="1863.02"/>
    <n v="0.03"/>
    <s v="Regular Air"/>
    <n v="360.63"/>
    <n v="43.98"/>
    <n v="8.99"/>
    <s v="Sean O'Donnell"/>
    <s v="Ontario"/>
    <x v="3"/>
    <s v="Corporate"/>
    <s v="Office Supplies"/>
    <x v="13"/>
    <x v="15"/>
    <d v="2009-01-29T00:00:00"/>
    <s v="29-Jan-2009"/>
  </r>
  <r>
    <n v="57699"/>
    <d v="2012-11-10T00:00:00"/>
    <s v="Low"/>
    <s v="10-Nov-2012"/>
    <n v="47"/>
    <n v="1857.88"/>
    <n v="0.09"/>
    <s v="Regular Air"/>
    <n v="752.96"/>
    <n v="40.98"/>
    <n v="1.99"/>
    <s v="Pete Takahito"/>
    <s v="Ontario"/>
    <x v="3"/>
    <s v="Corporate"/>
    <s v="Technology"/>
    <x v="11"/>
    <x v="47"/>
    <d v="2012-11-15T00:00:00"/>
    <s v="15-Nov-2012"/>
  </r>
  <r>
    <n v="40965"/>
    <d v="2009-11-20T00:00:00"/>
    <s v="Medium"/>
    <s v="20-Nov-2009"/>
    <n v="39"/>
    <n v="1836.1869999999999"/>
    <n v="0.06"/>
    <s v="Regular Air"/>
    <n v="-139.84"/>
    <n v="55.99"/>
    <n v="5"/>
    <s v="Mark Cousins"/>
    <s v="Ontario"/>
    <x v="3"/>
    <s v="Corporate"/>
    <s v="Technology"/>
    <x v="10"/>
    <x v="34"/>
    <d v="2009-11-22T00:00:00"/>
    <s v="22-Nov-2009"/>
  </r>
  <r>
    <n v="57570"/>
    <d v="2012-09-28T00:00:00"/>
    <s v="High"/>
    <s v="28-Sep-2012"/>
    <n v="27"/>
    <n v="1823.04"/>
    <n v="0.09"/>
    <s v="Delivery Truck"/>
    <n v="-190.78"/>
    <n v="70.98"/>
    <n v="26.74"/>
    <s v="Daniel Raglin"/>
    <s v="Ontario"/>
    <x v="3"/>
    <s v="Corporate"/>
    <s v="Furniture"/>
    <x v="8"/>
    <x v="18"/>
    <d v="2012-09-30T00:00:00"/>
    <s v="30-Sep-2012"/>
  </r>
  <r>
    <n v="20451"/>
    <d v="2012-05-25T00:00:00"/>
    <s v="Critical"/>
    <s v="25-May-2012"/>
    <n v="33"/>
    <n v="1809.21"/>
    <n v="0.04"/>
    <s v="Regular Air"/>
    <n v="454.49"/>
    <n v="55.29"/>
    <n v="5.08"/>
    <s v="Bill Overfelt"/>
    <s v="Ontario"/>
    <x v="3"/>
    <s v="Corporate"/>
    <s v="Office Supplies"/>
    <x v="4"/>
    <x v="14"/>
    <d v="2012-05-27T00:00:00"/>
    <s v="27-May-2012"/>
  </r>
  <r>
    <n v="26661"/>
    <d v="2012-12-19T00:00:00"/>
    <s v="Medium"/>
    <s v="19-Dec-2012"/>
    <n v="31"/>
    <n v="1772.2245"/>
    <n v="0.02"/>
    <s v="Regular Air"/>
    <n v="390.86"/>
    <n v="65.989999999999995"/>
    <n v="4.99"/>
    <s v="Ruben Ausman"/>
    <s v="Ontario"/>
    <x v="3"/>
    <s v="Corporate"/>
    <s v="Technology"/>
    <x v="10"/>
    <x v="6"/>
    <d v="2012-12-20T00:00:00"/>
    <s v="20-Dec-2012"/>
  </r>
  <r>
    <n v="35012"/>
    <d v="2012-06-08T00:00:00"/>
    <s v="Medium"/>
    <s v="08-Jun-2012"/>
    <n v="11"/>
    <n v="1770.2014999999999"/>
    <n v="0.08"/>
    <s v="Regular Air"/>
    <n v="-165.95"/>
    <n v="195.99"/>
    <n v="4.2"/>
    <s v="Thomas Boland"/>
    <s v="Ontario"/>
    <x v="3"/>
    <s v="Corporate"/>
    <s v="Technology"/>
    <x v="10"/>
    <x v="0"/>
    <d v="2012-06-09T00:00:00"/>
    <s v="09-Jun-2012"/>
  </r>
  <r>
    <n v="10470"/>
    <d v="2012-05-04T00:00:00"/>
    <s v="Low"/>
    <s v="04-May-2012"/>
    <n v="40"/>
    <n v="1757.43"/>
    <n v="0.02"/>
    <s v="Express Air"/>
    <n v="490.77"/>
    <n v="44.01"/>
    <n v="3.5"/>
    <s v="Guy Phonely"/>
    <s v="Ontario"/>
    <x v="3"/>
    <s v="Corporate"/>
    <s v="Office Supplies"/>
    <x v="5"/>
    <x v="14"/>
    <d v="2012-05-06T00:00:00"/>
    <s v="06-May-2012"/>
  </r>
  <r>
    <n v="22950"/>
    <d v="2011-12-21T00:00:00"/>
    <s v="Low"/>
    <s v="21-Dec-2011"/>
    <n v="29"/>
    <n v="1756.11"/>
    <n v="0.1"/>
    <s v="Regular Air"/>
    <n v="-888.07"/>
    <n v="64.650000000000006"/>
    <n v="35"/>
    <s v="Mike Caudle"/>
    <s v="Ontario"/>
    <x v="3"/>
    <s v="Corporate"/>
    <s v="Office Supplies"/>
    <x v="4"/>
    <x v="12"/>
    <d v="2011-12-28T00:00:00"/>
    <s v="28-Dec-2011"/>
  </r>
  <r>
    <n v="16771"/>
    <d v="2009-09-28T00:00:00"/>
    <s v="High"/>
    <s v="28-Sep-2009"/>
    <n v="42"/>
    <n v="1737.06"/>
    <n v="0.02"/>
    <s v="Regular Air"/>
    <n v="339.17"/>
    <n v="39.979999999999997"/>
    <n v="9.1999999999999993"/>
    <s v="Dan Lawera"/>
    <s v="Ontario"/>
    <x v="3"/>
    <s v="Corporate"/>
    <s v="Furniture"/>
    <x v="7"/>
    <x v="38"/>
    <d v="2009-09-30T00:00:00"/>
    <s v="30-Sep-2009"/>
  </r>
  <r>
    <n v="33319"/>
    <d v="2009-03-27T00:00:00"/>
    <s v="Not Specified"/>
    <s v="27-Mar-2009"/>
    <n v="11"/>
    <n v="1736.26"/>
    <n v="0.01"/>
    <s v="Delivery Truck"/>
    <n v="-505.76"/>
    <n v="150.88999999999999"/>
    <n v="60.2"/>
    <s v="Don Weiss"/>
    <s v="Ontario"/>
    <x v="3"/>
    <s v="Corporate"/>
    <s v="Furniture"/>
    <x v="2"/>
    <x v="36"/>
    <d v="2009-03-30T00:00:00"/>
    <s v="30-Mar-2009"/>
  </r>
  <r>
    <n v="9350"/>
    <d v="2012-10-31T00:00:00"/>
    <s v="Critical"/>
    <s v="31-Oct-2012"/>
    <n v="13"/>
    <n v="1735.94"/>
    <n v="0.1"/>
    <s v="Delivery Truck"/>
    <n v="-432.54"/>
    <n v="140.97999999999999"/>
    <n v="53.48"/>
    <s v="Darren Budd"/>
    <s v="Ontario"/>
    <x v="3"/>
    <s v="Corporate"/>
    <s v="Furniture"/>
    <x v="8"/>
    <x v="38"/>
    <d v="2012-11-01T00:00:00"/>
    <s v="01-Nov-2012"/>
  </r>
  <r>
    <n v="50307"/>
    <d v="2010-10-15T00:00:00"/>
    <s v="Low"/>
    <s v="15-Oct-2010"/>
    <n v="32"/>
    <n v="1734.31"/>
    <n v="0.06"/>
    <s v="Express Air"/>
    <n v="647.25"/>
    <n v="54.96"/>
    <n v="10.75"/>
    <s v="Bill Overfelt"/>
    <s v="Ontario"/>
    <x v="3"/>
    <s v="Corporate"/>
    <s v="Office Supplies"/>
    <x v="12"/>
    <x v="10"/>
    <d v="2010-10-17T00:00:00"/>
    <s v="17-Oct-2010"/>
  </r>
  <r>
    <n v="35588"/>
    <d v="2010-06-13T00:00:00"/>
    <s v="Low"/>
    <s v="13-Jun-2010"/>
    <n v="32"/>
    <n v="1727.79"/>
    <n v="0.1"/>
    <s v="Delivery Truck"/>
    <n v="-694.9"/>
    <n v="58.14"/>
    <n v="36.61"/>
    <s v="Cathy Prescott"/>
    <s v="Ontario"/>
    <x v="3"/>
    <s v="Corporate"/>
    <s v="Furniture"/>
    <x v="8"/>
    <x v="9"/>
    <d v="2010-06-15T00:00:00"/>
    <s v="15-Jun-2010"/>
  </r>
  <r>
    <n v="44992"/>
    <d v="2012-12-24T00:00:00"/>
    <s v="Critical"/>
    <s v="24-Dec-2012"/>
    <n v="32"/>
    <n v="1673.53"/>
    <n v="0"/>
    <s v="Regular Air"/>
    <n v="524.73"/>
    <n v="51.98"/>
    <n v="10.17"/>
    <s v="Anthony Witt"/>
    <s v="Ontario"/>
    <x v="3"/>
    <s v="Corporate"/>
    <s v="Technology"/>
    <x v="0"/>
    <x v="7"/>
    <d v="2012-12-26T00:00:00"/>
    <s v="26-Dec-2012"/>
  </r>
  <r>
    <n v="32998"/>
    <d v="2010-09-29T00:00:00"/>
    <s v="Not Specified"/>
    <s v="29-Sep-2010"/>
    <n v="13"/>
    <n v="1663.83"/>
    <n v="0.1"/>
    <s v="Delivery Truck"/>
    <n v="-484.64"/>
    <n v="130.97999999999999"/>
    <n v="54.74"/>
    <s v="Guy Thornton"/>
    <s v="Ontario"/>
    <x v="3"/>
    <s v="Corporate"/>
    <s v="Furniture"/>
    <x v="8"/>
    <x v="39"/>
    <d v="2010-09-30T00:00:00"/>
    <s v="30-Sep-2010"/>
  </r>
  <r>
    <n v="24903"/>
    <d v="2010-10-19T00:00:00"/>
    <s v="Low"/>
    <s v="19-Oct-2010"/>
    <n v="33"/>
    <n v="1646.47"/>
    <n v="0.05"/>
    <s v="Regular Air"/>
    <n v="743.59"/>
    <n v="48.91"/>
    <n v="5.81"/>
    <s v="Paul Prost"/>
    <s v="Ontario"/>
    <x v="3"/>
    <s v="Corporate"/>
    <s v="Office Supplies"/>
    <x v="12"/>
    <x v="1"/>
    <d v="2010-10-26T00:00:00"/>
    <s v="26-Oct-2010"/>
  </r>
  <r>
    <n v="19204"/>
    <d v="2009-09-18T00:00:00"/>
    <s v="Medium"/>
    <s v="18-Sep-2009"/>
    <n v="28"/>
    <n v="1642.05"/>
    <n v="0.03"/>
    <s v="Regular Air"/>
    <n v="829.73"/>
    <n v="55.98"/>
    <n v="4.8600000000000003"/>
    <s v="Linda Cazamias"/>
    <s v="Ontario"/>
    <x v="3"/>
    <s v="Corporate"/>
    <s v="Office Supplies"/>
    <x v="12"/>
    <x v="10"/>
    <d v="2009-09-20T00:00:00"/>
    <s v="20-Sep-2009"/>
  </r>
  <r>
    <n v="56418"/>
    <d v="2012-04-12T00:00:00"/>
    <s v="Critical"/>
    <s v="12-Apr-2012"/>
    <n v="47"/>
    <n v="1613.84"/>
    <n v="0.09"/>
    <s v="Regular Air"/>
    <n v="226.76"/>
    <n v="34.76"/>
    <n v="8.2200000000000006"/>
    <s v="John Lucas"/>
    <s v="Ontario"/>
    <x v="3"/>
    <s v="Corporate"/>
    <s v="Office Supplies"/>
    <x v="4"/>
    <x v="6"/>
    <d v="2012-04-13T00:00:00"/>
    <s v="13-Apr-2012"/>
  </r>
  <r>
    <n v="37862"/>
    <d v="2009-01-12T00:00:00"/>
    <s v="Not Specified"/>
    <s v="12-Jan-2009"/>
    <n v="27"/>
    <n v="1603.27"/>
    <n v="0.01"/>
    <s v="Regular Air"/>
    <n v="452.49"/>
    <n v="59.98"/>
    <n v="3.99"/>
    <s v="Guy Thornton"/>
    <s v="Ontario"/>
    <x v="3"/>
    <s v="Corporate"/>
    <s v="Office Supplies"/>
    <x v="5"/>
    <x v="6"/>
    <d v="2009-01-15T00:00:00"/>
    <s v="15-Jan-2009"/>
  </r>
  <r>
    <n v="28642"/>
    <d v="2011-01-18T00:00:00"/>
    <s v="High"/>
    <s v="18-Jan-2011"/>
    <n v="27"/>
    <n v="1592.0415"/>
    <n v="0"/>
    <s v="Regular Air"/>
    <n v="-52.7"/>
    <n v="65.989999999999995"/>
    <n v="19.989999999999998"/>
    <s v="Pauline Chand"/>
    <s v="Ontario"/>
    <x v="3"/>
    <s v="Corporate"/>
    <s v="Technology"/>
    <x v="10"/>
    <x v="14"/>
    <d v="2011-01-20T00:00:00"/>
    <s v="20-Jan-2011"/>
  </r>
  <r>
    <n v="17956"/>
    <d v="2010-08-05T00:00:00"/>
    <s v="Critical"/>
    <s v="05-Aug-2010"/>
    <n v="40"/>
    <n v="1567.51"/>
    <n v="0.01"/>
    <s v="Express Air"/>
    <n v="711.74"/>
    <n v="37.94"/>
    <n v="5.08"/>
    <s v="Kelly Lampkin"/>
    <s v="Ontario"/>
    <x v="3"/>
    <s v="Corporate"/>
    <s v="Office Supplies"/>
    <x v="12"/>
    <x v="1"/>
    <d v="2010-08-08T00:00:00"/>
    <s v="08-Aug-2010"/>
  </r>
  <r>
    <n v="12768"/>
    <d v="2009-04-08T00:00:00"/>
    <s v="Critical"/>
    <s v="08-Apr-2009"/>
    <n v="34"/>
    <n v="1562.97"/>
    <n v="0.01"/>
    <s v="Express Air"/>
    <n v="501.59"/>
    <n v="42.98"/>
    <n v="4.62"/>
    <s v="Kelly Lampkin"/>
    <s v="Ontario"/>
    <x v="3"/>
    <s v="Corporate"/>
    <s v="Office Supplies"/>
    <x v="5"/>
    <x v="0"/>
    <d v="2009-04-10T00:00:00"/>
    <s v="10-Apr-2009"/>
  </r>
  <r>
    <n v="40962"/>
    <d v="2011-02-20T00:00:00"/>
    <s v="Critical"/>
    <s v="20-Feb-2011"/>
    <n v="28"/>
    <n v="1553.66"/>
    <n v="0.03"/>
    <s v="Regular Air"/>
    <n v="547.48"/>
    <n v="54.48"/>
    <n v="0.99"/>
    <s v="Mary Zewe"/>
    <s v="Ontario"/>
    <x v="3"/>
    <s v="Corporate"/>
    <s v="Office Supplies"/>
    <x v="5"/>
    <x v="6"/>
    <d v="2011-02-21T00:00:00"/>
    <s v="21-Feb-2011"/>
  </r>
  <r>
    <n v="39492"/>
    <d v="2011-04-17T00:00:00"/>
    <s v="Not Specified"/>
    <s v="17-Apr-2011"/>
    <n v="38"/>
    <n v="1541.92"/>
    <n v="0.03"/>
    <s v="Regular Air"/>
    <n v="-564.05999999999995"/>
    <n v="40.479999999999997"/>
    <n v="19.989999999999998"/>
    <s v="Jason Fortune"/>
    <s v="Ontario"/>
    <x v="3"/>
    <s v="Corporate"/>
    <s v="Technology"/>
    <x v="11"/>
    <x v="36"/>
    <d v="2011-04-19T00:00:00"/>
    <s v="19-Apr-2011"/>
  </r>
  <r>
    <n v="16326"/>
    <d v="2010-05-10T00:00:00"/>
    <s v="High"/>
    <s v="10-May-2010"/>
    <n v="39"/>
    <n v="1538.33"/>
    <n v="0.03"/>
    <s v="Regular Air"/>
    <n v="471.35"/>
    <n v="39.479999999999997"/>
    <n v="1.99"/>
    <s v="Bill Donatelli"/>
    <s v="Ontario"/>
    <x v="3"/>
    <s v="Corporate"/>
    <s v="Technology"/>
    <x v="11"/>
    <x v="41"/>
    <d v="2010-05-12T00:00:00"/>
    <s v="12-May-2010"/>
  </r>
  <r>
    <n v="13633"/>
    <d v="2012-04-03T00:00:00"/>
    <s v="Not Specified"/>
    <s v="03-Apr-2012"/>
    <n v="39"/>
    <n v="1538.17"/>
    <n v="0.02"/>
    <s v="Regular Air"/>
    <n v="-1119.6400000000001"/>
    <n v="38.94"/>
    <n v="35"/>
    <s v="Alan Hwang"/>
    <s v="Ontario"/>
    <x v="3"/>
    <s v="Corporate"/>
    <s v="Office Supplies"/>
    <x v="4"/>
    <x v="12"/>
    <d v="2012-04-04T00:00:00"/>
    <s v="04-Apr-2012"/>
  </r>
  <r>
    <n v="32642"/>
    <d v="2012-03-29T00:00:00"/>
    <s v="Medium"/>
    <s v="29-Mar-2012"/>
    <n v="50"/>
    <n v="1507.16"/>
    <n v="0.02"/>
    <s v="Regular Air"/>
    <n v="724.14"/>
    <n v="28.48"/>
    <n v="1.99"/>
    <s v="Darren Budd"/>
    <s v="Ontario"/>
    <x v="3"/>
    <s v="Corporate"/>
    <s v="Technology"/>
    <x v="11"/>
    <x v="27"/>
    <d v="2012-03-31T00:00:00"/>
    <s v="31-Mar-2012"/>
  </r>
  <r>
    <n v="4321"/>
    <d v="2009-07-17T00:00:00"/>
    <s v="Medium"/>
    <s v="17-Jul-2009"/>
    <n v="47"/>
    <n v="1505.57"/>
    <n v="0.02"/>
    <s v="Express Air"/>
    <n v="-54.63"/>
    <n v="30.53"/>
    <n v="19.989999999999998"/>
    <s v="Pauline Chand"/>
    <s v="Ontario"/>
    <x v="3"/>
    <s v="Corporate"/>
    <s v="Office Supplies"/>
    <x v="9"/>
    <x v="4"/>
    <d v="2009-07-19T00:00:00"/>
    <s v="19-Jul-2009"/>
  </r>
  <r>
    <n v="53728"/>
    <d v="2011-10-22T00:00:00"/>
    <s v="High"/>
    <s v="22-Oct-2011"/>
    <n v="27"/>
    <n v="1502.66"/>
    <n v="7.0000000000000007E-2"/>
    <s v="Regular Air"/>
    <n v="637.6"/>
    <n v="58.1"/>
    <n v="1.49"/>
    <s v="Paul MacIntyre"/>
    <s v="Ontario"/>
    <x v="3"/>
    <s v="Corporate"/>
    <s v="Office Supplies"/>
    <x v="1"/>
    <x v="1"/>
    <d v="2011-10-23T00:00:00"/>
    <s v="23-Oct-2011"/>
  </r>
  <r>
    <n v="56002"/>
    <d v="2009-07-04T00:00:00"/>
    <s v="Low"/>
    <s v="04-Jul-2009"/>
    <n v="9"/>
    <n v="1497.93"/>
    <n v="0.05"/>
    <s v="Regular Air"/>
    <n v="35.31"/>
    <n v="161.55000000000001"/>
    <n v="19.989999999999998"/>
    <s v="Dave Hallsten"/>
    <s v="Ontario"/>
    <x v="3"/>
    <s v="Corporate"/>
    <s v="Office Supplies"/>
    <x v="4"/>
    <x v="32"/>
    <d v="2009-07-11T00:00:00"/>
    <s v="11-Jul-2009"/>
  </r>
  <r>
    <n v="36679"/>
    <d v="2011-08-30T00:00:00"/>
    <s v="Critical"/>
    <s v="30-Aug-2011"/>
    <n v="28"/>
    <n v="1491.8264999999999"/>
    <n v="0.1"/>
    <s v="Regular Air"/>
    <n v="124.83"/>
    <n v="65.989999999999995"/>
    <n v="8.99"/>
    <s v="Anna Haberlin"/>
    <s v="Ontario"/>
    <x v="3"/>
    <s v="Corporate"/>
    <s v="Technology"/>
    <x v="10"/>
    <x v="0"/>
    <d v="2011-09-02T00:00:00"/>
    <s v="02-Sep-2011"/>
  </r>
  <r>
    <n v="29957"/>
    <d v="2010-03-13T00:00:00"/>
    <s v="Critical"/>
    <s v="13-Mar-2010"/>
    <n v="31"/>
    <n v="1447.62"/>
    <n v="7.0000000000000007E-2"/>
    <s v="Regular Air"/>
    <n v="576.39"/>
    <n v="48.04"/>
    <n v="7.23"/>
    <s v="Dave Brooks"/>
    <s v="Ontario"/>
    <x v="3"/>
    <s v="Corporate"/>
    <s v="Office Supplies"/>
    <x v="12"/>
    <x v="7"/>
    <d v="2010-03-14T00:00:00"/>
    <s v="14-Mar-2010"/>
  </r>
  <r>
    <n v="42242"/>
    <d v="2009-04-01T00:00:00"/>
    <s v="Not Specified"/>
    <s v="01-Apr-2009"/>
    <n v="15"/>
    <n v="1444.88"/>
    <n v="0.1"/>
    <s v="Regular Air"/>
    <n v="236.61"/>
    <n v="100.97"/>
    <n v="7.18"/>
    <s v="Thomas Boland"/>
    <s v="Ontario"/>
    <x v="3"/>
    <s v="Corporate"/>
    <s v="Technology"/>
    <x v="11"/>
    <x v="29"/>
    <d v="2009-04-02T00:00:00"/>
    <s v="02-Apr-2009"/>
  </r>
  <r>
    <n v="4006"/>
    <d v="2011-01-03T00:00:00"/>
    <s v="Medium"/>
    <s v="03-Jan-2011"/>
    <n v="38"/>
    <n v="1441.61"/>
    <n v="0.06"/>
    <s v="Regular Air"/>
    <n v="624.84"/>
    <n v="37.94"/>
    <n v="5.08"/>
    <s v="Jas O'Carroll"/>
    <s v="Ontario"/>
    <x v="3"/>
    <s v="Corporate"/>
    <s v="Office Supplies"/>
    <x v="12"/>
    <x v="1"/>
    <d v="2011-01-04T00:00:00"/>
    <s v="04-Jan-2011"/>
  </r>
  <r>
    <n v="35110"/>
    <d v="2011-10-18T00:00:00"/>
    <s v="High"/>
    <s v="18-Oct-2011"/>
    <n v="49"/>
    <n v="1435.32"/>
    <n v="0.02"/>
    <s v="Regular Air"/>
    <n v="485.95"/>
    <n v="29.89"/>
    <n v="1.99"/>
    <s v="Mike Caudle"/>
    <s v="Ontario"/>
    <x v="3"/>
    <s v="Corporate"/>
    <s v="Technology"/>
    <x v="11"/>
    <x v="31"/>
    <d v="2011-10-20T00:00:00"/>
    <s v="20-Oct-2011"/>
  </r>
  <r>
    <n v="47303"/>
    <d v="2011-12-05T00:00:00"/>
    <s v="Medium"/>
    <s v="05-Dec-2011"/>
    <n v="47"/>
    <n v="1413.82"/>
    <n v="0.1"/>
    <s v="Regular Air"/>
    <n v="226.53"/>
    <n v="30.98"/>
    <n v="11.63"/>
    <s v="Xylona Price"/>
    <s v="Ontario"/>
    <x v="3"/>
    <s v="Corporate"/>
    <s v="Office Supplies"/>
    <x v="1"/>
    <x v="7"/>
    <d v="2011-12-06T00:00:00"/>
    <s v="06-Dec-2011"/>
  </r>
  <r>
    <n v="17024"/>
    <d v="2009-10-13T00:00:00"/>
    <s v="Medium"/>
    <s v="13-Oct-2009"/>
    <n v="31"/>
    <n v="1401.75"/>
    <n v="0.02"/>
    <s v="Regular Air"/>
    <n v="426.44"/>
    <n v="42.98"/>
    <n v="4.62"/>
    <s v="Tamara Dahlen"/>
    <s v="Ontario"/>
    <x v="3"/>
    <s v="Corporate"/>
    <s v="Office Supplies"/>
    <x v="5"/>
    <x v="0"/>
    <d v="2009-10-15T00:00:00"/>
    <s v="15-Oct-2009"/>
  </r>
  <r>
    <n v="51813"/>
    <d v="2012-12-21T00:00:00"/>
    <s v="Not Specified"/>
    <s v="21-Dec-2012"/>
    <n v="13"/>
    <n v="1390.17"/>
    <n v="7.0000000000000007E-2"/>
    <s v="Regular Air"/>
    <n v="-469.84"/>
    <n v="110.98"/>
    <n v="35"/>
    <s v="Lena Creighton"/>
    <s v="Ontario"/>
    <x v="3"/>
    <s v="Corporate"/>
    <s v="Office Supplies"/>
    <x v="4"/>
    <x v="5"/>
    <d v="2012-12-23T00:00:00"/>
    <s v="23-Dec-2012"/>
  </r>
  <r>
    <n v="28130"/>
    <d v="2009-07-30T00:00:00"/>
    <s v="Low"/>
    <s v="30-Jul-2009"/>
    <n v="32"/>
    <n v="1381.88"/>
    <n v="0.09"/>
    <s v="Express Air"/>
    <n v="598.20000000000005"/>
    <n v="46.94"/>
    <n v="6.77"/>
    <s v="Guy Thornton"/>
    <s v="Ontario"/>
    <x v="3"/>
    <s v="Corporate"/>
    <s v="Furniture"/>
    <x v="7"/>
    <x v="47"/>
    <d v="2009-07-30T00:00:00"/>
    <s v="30-Jul-2009"/>
  </r>
  <r>
    <n v="32608"/>
    <d v="2012-05-22T00:00:00"/>
    <s v="High"/>
    <s v="22-May-2012"/>
    <n v="20"/>
    <n v="1361.91"/>
    <n v="0.05"/>
    <s v="Regular Air"/>
    <n v="312.52"/>
    <n v="70.97"/>
    <n v="3.5"/>
    <s v="Xylona Price"/>
    <s v="Ontario"/>
    <x v="3"/>
    <s v="Corporate"/>
    <s v="Office Supplies"/>
    <x v="5"/>
    <x v="14"/>
    <d v="2012-05-24T00:00:00"/>
    <s v="24-May-2012"/>
  </r>
  <r>
    <n v="57185"/>
    <d v="2011-05-23T00:00:00"/>
    <s v="Medium"/>
    <s v="23-May-2011"/>
    <n v="28"/>
    <n v="1360.82"/>
    <n v="0.06"/>
    <s v="Regular Air"/>
    <n v="385.03"/>
    <n v="49.34"/>
    <n v="10.25"/>
    <s v="Matt Connell"/>
    <s v="Ontario"/>
    <x v="3"/>
    <s v="Corporate"/>
    <s v="Furniture"/>
    <x v="7"/>
    <x v="6"/>
    <d v="2011-05-25T00:00:00"/>
    <s v="25-May-2011"/>
  </r>
  <r>
    <n v="49255"/>
    <d v="2012-06-22T00:00:00"/>
    <s v="High"/>
    <s v="22-Jun-2012"/>
    <n v="20"/>
    <n v="1357.44"/>
    <n v="0.09"/>
    <s v="Delivery Truck"/>
    <n v="-102.3"/>
    <n v="70.98"/>
    <n v="26.85"/>
    <s v="Mark Cousins"/>
    <s v="Ontario"/>
    <x v="3"/>
    <s v="Corporate"/>
    <s v="Furniture"/>
    <x v="8"/>
    <x v="49"/>
    <d v="2012-06-23T00:00:00"/>
    <s v="23-Jun-2012"/>
  </r>
  <r>
    <n v="35713"/>
    <d v="2012-10-17T00:00:00"/>
    <s v="Medium"/>
    <s v="17-Oct-2012"/>
    <n v="49"/>
    <n v="1355.47"/>
    <n v="0.04"/>
    <s v="Regular Air"/>
    <n v="590.04"/>
    <n v="28.53"/>
    <n v="1.49"/>
    <s v="Phillip Breyer"/>
    <s v="Ontario"/>
    <x v="3"/>
    <s v="Corporate"/>
    <s v="Office Supplies"/>
    <x v="1"/>
    <x v="1"/>
    <d v="2012-10-17T00:00:00"/>
    <s v="17-Oct-2012"/>
  </r>
  <r>
    <n v="41543"/>
    <d v="2009-02-06T00:00:00"/>
    <s v="Low"/>
    <s v="06-Feb-2009"/>
    <n v="24"/>
    <n v="1318.8685"/>
    <n v="0.03"/>
    <s v="Regular Air"/>
    <n v="172.33"/>
    <n v="65.989999999999995"/>
    <n v="3.99"/>
    <s v="Bill Donatelli"/>
    <s v="Ontario"/>
    <x v="3"/>
    <s v="Corporate"/>
    <s v="Technology"/>
    <x v="10"/>
    <x v="14"/>
    <d v="2009-02-10T00:00:00"/>
    <s v="10-Feb-2009"/>
  </r>
  <r>
    <n v="59392"/>
    <d v="2010-06-26T00:00:00"/>
    <s v="Medium"/>
    <s v="26-Jun-2010"/>
    <n v="45"/>
    <n v="1305.31"/>
    <n v="0.03"/>
    <s v="Regular Air"/>
    <n v="589.20000000000005"/>
    <n v="28.48"/>
    <n v="1.99"/>
    <s v="Pauline Chand"/>
    <s v="Ontario"/>
    <x v="3"/>
    <s v="Corporate"/>
    <s v="Technology"/>
    <x v="11"/>
    <x v="27"/>
    <d v="2010-06-28T00:00:00"/>
    <s v="28-Jun-2010"/>
  </r>
  <r>
    <n v="22951"/>
    <d v="2012-05-03T00:00:00"/>
    <s v="Medium"/>
    <s v="03-May-2012"/>
    <n v="24"/>
    <n v="1304.0274999999999"/>
    <n v="0.1"/>
    <s v="Regular Air"/>
    <n v="34.36"/>
    <n v="65.989999999999995"/>
    <n v="8.99"/>
    <s v="Lena Creighton"/>
    <s v="Ontario"/>
    <x v="3"/>
    <s v="Corporate"/>
    <s v="Technology"/>
    <x v="10"/>
    <x v="18"/>
    <d v="2012-05-03T00:00:00"/>
    <s v="03-May-2012"/>
  </r>
  <r>
    <n v="6311"/>
    <d v="2010-02-10T00:00:00"/>
    <s v="Medium"/>
    <s v="10-Feb-2010"/>
    <n v="18"/>
    <n v="1297.4485"/>
    <n v="0.04"/>
    <s v="Regular Air"/>
    <n v="4.21"/>
    <n v="85.99"/>
    <n v="10.78"/>
    <s v="Anna Gayman"/>
    <s v="Ontario"/>
    <x v="3"/>
    <s v="Corporate"/>
    <s v="Technology"/>
    <x v="10"/>
    <x v="15"/>
    <d v="2010-02-13T00:00:00"/>
    <s v="13-Feb-2010"/>
  </r>
  <r>
    <n v="1538"/>
    <d v="2011-06-17T00:00:00"/>
    <s v="Not Specified"/>
    <s v="17-Jun-2011"/>
    <n v="15"/>
    <n v="1297.3040000000001"/>
    <n v="0"/>
    <s v="Regular Air"/>
    <n v="149.82"/>
    <n v="95.99"/>
    <n v="4.9000000000000004"/>
    <s v="Ted Trevino"/>
    <s v="Ontario"/>
    <x v="3"/>
    <s v="Corporate"/>
    <s v="Technology"/>
    <x v="10"/>
    <x v="0"/>
    <d v="2011-06-18T00:00:00"/>
    <s v="18-Jun-2011"/>
  </r>
  <r>
    <n v="57542"/>
    <d v="2009-08-22T00:00:00"/>
    <s v="High"/>
    <s v="22-Aug-2009"/>
    <n v="23"/>
    <n v="1256.29"/>
    <n v="0.04"/>
    <s v="Regular Air"/>
    <n v="517.03"/>
    <n v="55.48"/>
    <n v="6.79"/>
    <s v="John Lucas"/>
    <s v="Ontario"/>
    <x v="3"/>
    <s v="Corporate"/>
    <s v="Office Supplies"/>
    <x v="12"/>
    <x v="7"/>
    <d v="2009-08-24T00:00:00"/>
    <s v="24-Aug-2009"/>
  </r>
  <r>
    <n v="52256"/>
    <d v="2010-11-04T00:00:00"/>
    <s v="Not Specified"/>
    <s v="04-Nov-2010"/>
    <n v="23"/>
    <n v="1236.954"/>
    <n v="0.06"/>
    <s v="Regular Air"/>
    <n v="119.89"/>
    <n v="65.989999999999995"/>
    <n v="4.2"/>
    <s v="Cari MacIntyre"/>
    <s v="Ontario"/>
    <x v="3"/>
    <s v="Corporate"/>
    <s v="Technology"/>
    <x v="10"/>
    <x v="14"/>
    <d v="2010-11-06T00:00:00"/>
    <s v="06-Nov-2010"/>
  </r>
  <r>
    <n v="45543"/>
    <d v="2011-02-02T00:00:00"/>
    <s v="Low"/>
    <s v="02-Feb-2011"/>
    <n v="16"/>
    <n v="1223.43"/>
    <n v="0.01"/>
    <s v="Delivery Truck"/>
    <n v="-1615.59"/>
    <n v="70.89"/>
    <n v="89.3"/>
    <s v="Denny Joy"/>
    <s v="Ontario"/>
    <x v="3"/>
    <s v="Corporate"/>
    <s v="Furniture"/>
    <x v="3"/>
    <x v="39"/>
    <d v="2011-02-06T00:00:00"/>
    <s v="06-Feb-2011"/>
  </r>
  <r>
    <n v="13121"/>
    <d v="2010-03-07T00:00:00"/>
    <s v="High"/>
    <s v="07-Mar-2010"/>
    <n v="36"/>
    <n v="1211"/>
    <n v="0"/>
    <s v="Regular Air"/>
    <n v="-27.99"/>
    <n v="30.98"/>
    <n v="6.5"/>
    <s v="Xylona Price"/>
    <s v="Ontario"/>
    <x v="3"/>
    <s v="Corporate"/>
    <s v="Technology"/>
    <x v="11"/>
    <x v="11"/>
    <d v="2010-03-08T00:00:00"/>
    <s v="08-Mar-2010"/>
  </r>
  <r>
    <n v="10183"/>
    <d v="2009-11-24T00:00:00"/>
    <s v="Critical"/>
    <s v="24-Nov-2009"/>
    <n v="48"/>
    <n v="1210.02"/>
    <n v="0.06"/>
    <s v="Delivery Truck"/>
    <n v="-279.44"/>
    <n v="25.98"/>
    <n v="14.36"/>
    <s v="Darren Budd"/>
    <s v="Ontario"/>
    <x v="3"/>
    <s v="Corporate"/>
    <s v="Furniture"/>
    <x v="2"/>
    <x v="18"/>
    <d v="2009-11-25T00:00:00"/>
    <s v="25-Nov-2009"/>
  </r>
  <r>
    <n v="18661"/>
    <d v="2012-09-08T00:00:00"/>
    <s v="Low"/>
    <s v="08-Sep-2012"/>
    <n v="12"/>
    <n v="1207.08"/>
    <n v="0.05"/>
    <s v="Delivery Truck"/>
    <n v="-351.3"/>
    <n v="95.98"/>
    <n v="58.2"/>
    <s v="Erin Creighton"/>
    <s v="Ontario"/>
    <x v="3"/>
    <s v="Corporate"/>
    <s v="Furniture"/>
    <x v="2"/>
    <x v="15"/>
    <d v="2012-09-12T00:00:00"/>
    <s v="12-Sep-2012"/>
  </r>
  <r>
    <n v="28999"/>
    <d v="2009-01-10T00:00:00"/>
    <s v="High"/>
    <s v="10-Jan-2009"/>
    <n v="34"/>
    <n v="1177.5"/>
    <n v="0.02"/>
    <s v="Regular Air"/>
    <n v="420.05"/>
    <n v="33.979999999999997"/>
    <n v="1.99"/>
    <s v="Giulietta Dortch"/>
    <s v="Ontario"/>
    <x v="3"/>
    <s v="Corporate"/>
    <s v="Technology"/>
    <x v="11"/>
    <x v="45"/>
    <d v="2009-01-11T00:00:00"/>
    <s v="11-Jan-2009"/>
  </r>
  <r>
    <n v="28225"/>
    <d v="2009-01-22T00:00:00"/>
    <s v="Critical"/>
    <s v="22-Jan-2009"/>
    <n v="13"/>
    <n v="1160.5899999999999"/>
    <n v="0.01"/>
    <s v="Regular Air"/>
    <n v="-330.14"/>
    <n v="80.98"/>
    <n v="35"/>
    <s v="Guy Phonely"/>
    <s v="Ontario"/>
    <x v="3"/>
    <s v="Corporate"/>
    <s v="Office Supplies"/>
    <x v="4"/>
    <x v="34"/>
    <d v="2009-01-24T00:00:00"/>
    <s v="24-Jan-2009"/>
  </r>
  <r>
    <n v="6948"/>
    <d v="2010-12-09T00:00:00"/>
    <s v="Not Specified"/>
    <s v="09-Dec-2010"/>
    <n v="15"/>
    <n v="1143.8800000000001"/>
    <n v="0.04"/>
    <s v="Regular Air"/>
    <n v="-88.7"/>
    <n v="73.98"/>
    <n v="4"/>
    <s v="Phillip Breyer"/>
    <s v="Ontario"/>
    <x v="3"/>
    <s v="Corporate"/>
    <s v="Technology"/>
    <x v="11"/>
    <x v="11"/>
    <d v="2010-12-10T00:00:00"/>
    <s v="10-Dec-2010"/>
  </r>
  <r>
    <n v="230"/>
    <d v="2010-10-26T00:00:00"/>
    <s v="Critical"/>
    <s v="26-Oct-2010"/>
    <n v="11"/>
    <n v="1118.396"/>
    <n v="0.06"/>
    <s v="Regular Air"/>
    <n v="-212.33"/>
    <n v="125.99"/>
    <n v="8.08"/>
    <s v="Erin Creighton"/>
    <s v="Ontario"/>
    <x v="3"/>
    <s v="Corporate"/>
    <s v="Technology"/>
    <x v="10"/>
    <x v="6"/>
    <d v="2010-10-28T00:00:00"/>
    <s v="28-Oct-2010"/>
  </r>
  <r>
    <n v="39555"/>
    <d v="2012-09-04T00:00:00"/>
    <s v="Low"/>
    <s v="04-Sep-2012"/>
    <n v="38"/>
    <n v="1112.54"/>
    <n v="0.01"/>
    <s v="Regular Air"/>
    <n v="352.96"/>
    <n v="27.18"/>
    <n v="8.23"/>
    <s v="Naresj Patel"/>
    <s v="Ontario"/>
    <x v="3"/>
    <s v="Corporate"/>
    <s v="Office Supplies"/>
    <x v="15"/>
    <x v="1"/>
    <d v="2012-09-09T00:00:00"/>
    <s v="09-Sep-2012"/>
  </r>
  <r>
    <n v="52930"/>
    <d v="2011-11-08T00:00:00"/>
    <s v="Low"/>
    <s v="08-Nov-2011"/>
    <n v="24"/>
    <n v="1112.1569999999999"/>
    <n v="0.09"/>
    <s v="Regular Air"/>
    <n v="140.81"/>
    <n v="55.99"/>
    <n v="3.3"/>
    <s v="Sarah Foster"/>
    <s v="Ontario"/>
    <x v="3"/>
    <s v="Corporate"/>
    <s v="Technology"/>
    <x v="10"/>
    <x v="14"/>
    <d v="2011-11-08T00:00:00"/>
    <s v="08-Nov-2011"/>
  </r>
  <r>
    <n v="18213"/>
    <d v="2010-09-10T00:00:00"/>
    <s v="Medium"/>
    <s v="10-Sep-2010"/>
    <n v="29"/>
    <n v="1111.23"/>
    <n v="0.1"/>
    <s v="Regular Air"/>
    <n v="21.6"/>
    <n v="40.99"/>
    <n v="19.989999999999998"/>
    <s v="Guy Phonely"/>
    <s v="Ontario"/>
    <x v="3"/>
    <s v="Corporate"/>
    <s v="Office Supplies"/>
    <x v="12"/>
    <x v="10"/>
    <d v="2010-09-12T00:00:00"/>
    <s v="12-Sep-2010"/>
  </r>
  <r>
    <n v="11040"/>
    <d v="2011-10-23T00:00:00"/>
    <s v="Not Specified"/>
    <s v="23-Oct-2011"/>
    <n v="44"/>
    <n v="1102.28"/>
    <n v="0.03"/>
    <s v="Regular Air"/>
    <n v="389.61"/>
    <n v="23.99"/>
    <n v="6.71"/>
    <s v="Scot Coram"/>
    <s v="Ontario"/>
    <x v="3"/>
    <s v="Corporate"/>
    <s v="Office Supplies"/>
    <x v="15"/>
    <x v="2"/>
    <d v="2011-10-23T00:00:00"/>
    <s v="23-Oct-2011"/>
  </r>
  <r>
    <n v="27461"/>
    <d v="2010-02-26T00:00:00"/>
    <s v="Critical"/>
    <s v="26-Feb-2010"/>
    <n v="26"/>
    <n v="1096.17"/>
    <n v="0.01"/>
    <s v="Regular Air"/>
    <n v="110.78"/>
    <n v="40.99"/>
    <n v="19.989999999999998"/>
    <s v="Candace McMahon"/>
    <s v="Ontario"/>
    <x v="3"/>
    <s v="Corporate"/>
    <s v="Office Supplies"/>
    <x v="12"/>
    <x v="10"/>
    <d v="2010-02-26T00:00:00"/>
    <s v="26-Feb-2010"/>
  </r>
  <r>
    <n v="29411"/>
    <d v="2012-04-06T00:00:00"/>
    <s v="High"/>
    <s v="06-Apr-2012"/>
    <n v="45"/>
    <n v="1084.1199999999999"/>
    <n v="0.04"/>
    <s v="Regular Air"/>
    <n v="294.43"/>
    <n v="23.99"/>
    <n v="6.3"/>
    <s v="Naresj Patel"/>
    <s v="Ontario"/>
    <x v="3"/>
    <s v="Corporate"/>
    <s v="Technology"/>
    <x v="0"/>
    <x v="1"/>
    <d v="2012-04-06T00:00:00"/>
    <s v="06-Apr-2012"/>
  </r>
  <r>
    <n v="21729"/>
    <d v="2012-12-06T00:00:00"/>
    <s v="Low"/>
    <s v="06-Dec-2012"/>
    <n v="14"/>
    <n v="1082.6600000000001"/>
    <n v="0.08"/>
    <s v="Regular Air"/>
    <n v="-256.93"/>
    <n v="79.52"/>
    <n v="48.2"/>
    <s v="Xylona Price"/>
    <s v="Ontario"/>
    <x v="3"/>
    <s v="Corporate"/>
    <s v="Furniture"/>
    <x v="7"/>
    <x v="37"/>
    <d v="2012-12-13T00:00:00"/>
    <s v="13-Dec-2012"/>
  </r>
  <r>
    <n v="10624"/>
    <d v="2009-12-20T00:00:00"/>
    <s v="Critical"/>
    <s v="20-Dec-2009"/>
    <n v="23"/>
    <n v="1082.43"/>
    <n v="0.06"/>
    <s v="Regular Air"/>
    <n v="23.97"/>
    <n v="47.98"/>
    <n v="3.61"/>
    <s v="Darren Powers"/>
    <s v="Ontario"/>
    <x v="3"/>
    <s v="Corporate"/>
    <s v="Technology"/>
    <x v="11"/>
    <x v="35"/>
    <d v="2009-12-22T00:00:00"/>
    <s v="22-Dec-2009"/>
  </r>
  <r>
    <n v="52391"/>
    <d v="2009-12-12T00:00:00"/>
    <s v="High"/>
    <s v="12-Dec-2009"/>
    <n v="36"/>
    <n v="1072.3599999999999"/>
    <n v="0.04"/>
    <s v="Regular Air"/>
    <n v="440.48"/>
    <n v="29.14"/>
    <n v="4.8600000000000003"/>
    <s v="Alan Hwang"/>
    <s v="Ontario"/>
    <x v="3"/>
    <s v="Corporate"/>
    <s v="Office Supplies"/>
    <x v="12"/>
    <x v="1"/>
    <d v="2009-12-14T00:00:00"/>
    <s v="14-Dec-2009"/>
  </r>
  <r>
    <n v="23429"/>
    <d v="2009-03-19T00:00:00"/>
    <s v="Critical"/>
    <s v="19-Mar-2009"/>
    <n v="19"/>
    <n v="1063.3499999999999"/>
    <n v="7.0000000000000007E-2"/>
    <s v="Express Air"/>
    <n v="107.08"/>
    <n v="65.989999999999995"/>
    <n v="5.26"/>
    <s v="Beth Thompson"/>
    <s v="Ontario"/>
    <x v="3"/>
    <s v="Corporate"/>
    <s v="Technology"/>
    <x v="10"/>
    <x v="0"/>
    <d v="2009-03-21T00:00:00"/>
    <s v="21-Mar-2009"/>
  </r>
  <r>
    <n v="20480"/>
    <d v="2009-01-29T00:00:00"/>
    <s v="Medium"/>
    <s v="29-Jan-2009"/>
    <n v="4"/>
    <n v="1042.6300000000001"/>
    <n v="0.02"/>
    <s v="Delivery Truck"/>
    <n v="-219.93"/>
    <n v="240.98"/>
    <n v="60.2"/>
    <s v="Liz MacKendrick"/>
    <s v="Ontario"/>
    <x v="3"/>
    <s v="Corporate"/>
    <s v="Furniture"/>
    <x v="8"/>
    <x v="0"/>
    <d v="2009-01-31T00:00:00"/>
    <s v="31-Jan-2009"/>
  </r>
  <r>
    <n v="34209"/>
    <d v="2010-08-24T00:00:00"/>
    <s v="High"/>
    <s v="24-Aug-2010"/>
    <n v="29"/>
    <n v="1041.72"/>
    <n v="0.03"/>
    <s v="Regular Air"/>
    <n v="437.61"/>
    <n v="35.44"/>
    <n v="4.92"/>
    <s v="Ritsa Hightower"/>
    <s v="Ontario"/>
    <x v="3"/>
    <s v="Corporate"/>
    <s v="Office Supplies"/>
    <x v="12"/>
    <x v="1"/>
    <d v="2010-08-26T00:00:00"/>
    <s v="26-Aug-2010"/>
  </r>
  <r>
    <n v="41664"/>
    <d v="2011-12-04T00:00:00"/>
    <s v="Critical"/>
    <s v="04-Dec-2011"/>
    <n v="40"/>
    <n v="1038.19"/>
    <n v="7.0000000000000007E-2"/>
    <s v="Regular Air"/>
    <n v="230.69"/>
    <n v="25.98"/>
    <n v="4.08"/>
    <s v="Janet Molinari"/>
    <s v="Ontario"/>
    <x v="3"/>
    <s v="Corporate"/>
    <s v="Office Supplies"/>
    <x v="13"/>
    <x v="6"/>
    <d v="2011-12-06T00:00:00"/>
    <s v="06-Dec-2011"/>
  </r>
  <r>
    <n v="33090"/>
    <d v="2009-08-05T00:00:00"/>
    <s v="Medium"/>
    <s v="05-Aug-2009"/>
    <n v="26"/>
    <n v="1033.93"/>
    <n v="0"/>
    <s v="Regular Air"/>
    <n v="63.41"/>
    <n v="37.76"/>
    <n v="12.9"/>
    <s v="Deanra Eno"/>
    <s v="Ontario"/>
    <x v="3"/>
    <s v="Corporate"/>
    <s v="Office Supplies"/>
    <x v="4"/>
    <x v="6"/>
    <d v="2009-08-06T00:00:00"/>
    <s v="06-Aug-2009"/>
  </r>
  <r>
    <n v="36643"/>
    <d v="2009-02-23T00:00:00"/>
    <s v="Critical"/>
    <s v="23-Feb-2009"/>
    <n v="30"/>
    <n v="1025.02"/>
    <n v="0.04"/>
    <s v="Regular Air"/>
    <n v="87.03"/>
    <n v="33.29"/>
    <n v="8.74"/>
    <s v="Ruben Ausman"/>
    <s v="Ontario"/>
    <x v="3"/>
    <s v="Corporate"/>
    <s v="Office Supplies"/>
    <x v="4"/>
    <x v="9"/>
    <d v="2009-02-24T00:00:00"/>
    <s v="24-Feb-2009"/>
  </r>
  <r>
    <n v="48195"/>
    <d v="2010-11-27T00:00:00"/>
    <s v="Not Specified"/>
    <s v="27-Nov-2010"/>
    <n v="35"/>
    <n v="1018.402"/>
    <n v="0.09"/>
    <s v="Regular Air"/>
    <n v="296.87"/>
    <n v="35.99"/>
    <n v="5.99"/>
    <s v="Ruben Ausman"/>
    <s v="Ontario"/>
    <x v="3"/>
    <s v="Corporate"/>
    <s v="Technology"/>
    <x v="10"/>
    <x v="1"/>
    <d v="2010-11-27T00:00:00"/>
    <s v="27-Nov-2010"/>
  </r>
  <r>
    <n v="36896"/>
    <d v="2009-11-03T00:00:00"/>
    <s v="Critical"/>
    <s v="03-Nov-2009"/>
    <n v="41"/>
    <n v="1008.95"/>
    <n v="0.04"/>
    <s v="Express Air"/>
    <n v="69.31"/>
    <n v="25.38"/>
    <n v="8.99"/>
    <s v="Xylona Price"/>
    <s v="Ontario"/>
    <x v="3"/>
    <s v="Corporate"/>
    <s v="Furniture"/>
    <x v="7"/>
    <x v="31"/>
    <d v="2009-11-06T00:00:00"/>
    <s v="06-Nov-2009"/>
  </r>
  <r>
    <n v="3109"/>
    <d v="2010-07-23T00:00:00"/>
    <s v="Low"/>
    <s v="23-Jul-2010"/>
    <n v="47"/>
    <n v="1005.74"/>
    <n v="0.1"/>
    <s v="Regular Air"/>
    <n v="199.3"/>
    <n v="22.23"/>
    <n v="8.99"/>
    <s v="Liz MacKendrick"/>
    <s v="Ontario"/>
    <x v="3"/>
    <s v="Corporate"/>
    <s v="Furniture"/>
    <x v="7"/>
    <x v="25"/>
    <d v="2010-07-30T00:00:00"/>
    <s v="30-Jul-2010"/>
  </r>
  <r>
    <n v="13125"/>
    <d v="2010-12-13T00:00:00"/>
    <s v="Not Specified"/>
    <s v="13-Dec-2010"/>
    <n v="30"/>
    <n v="990.73"/>
    <n v="0.02"/>
    <s v="Express Air"/>
    <n v="56.39"/>
    <n v="30.73"/>
    <n v="4"/>
    <s v="Alejandro Savely"/>
    <s v="Ontario"/>
    <x v="3"/>
    <s v="Corporate"/>
    <s v="Technology"/>
    <x v="11"/>
    <x v="16"/>
    <d v="2010-12-15T00:00:00"/>
    <s v="15-Dec-2010"/>
  </r>
  <r>
    <n v="1059"/>
    <d v="2009-02-26T00:00:00"/>
    <s v="Critical"/>
    <s v="26-Feb-2009"/>
    <n v="24"/>
    <n v="990.1"/>
    <n v="0.03"/>
    <s v="Regular Air"/>
    <n v="310.22000000000003"/>
    <n v="40.98"/>
    <n v="7.47"/>
    <s v="Sean O'Donnell"/>
    <s v="Ontario"/>
    <x v="3"/>
    <s v="Corporate"/>
    <s v="Office Supplies"/>
    <x v="1"/>
    <x v="7"/>
    <d v="2009-02-27T00:00:00"/>
    <s v="27-Feb-2009"/>
  </r>
  <r>
    <n v="40866"/>
    <d v="2010-05-23T00:00:00"/>
    <s v="High"/>
    <s v="23-May-2010"/>
    <n v="3"/>
    <n v="907.18"/>
    <n v="0.06"/>
    <s v="Regular Air"/>
    <n v="-236.6"/>
    <n v="300.64999999999998"/>
    <n v="24.49"/>
    <s v="Rick Duston"/>
    <s v="Ontario"/>
    <x v="3"/>
    <s v="Corporate"/>
    <s v="Office Supplies"/>
    <x v="5"/>
    <x v="24"/>
    <d v="2010-05-24T00:00:00"/>
    <s v="24-May-2010"/>
  </r>
  <r>
    <n v="15808"/>
    <d v="2010-12-14T00:00:00"/>
    <s v="Critical"/>
    <s v="14-Dec-2010"/>
    <n v="42"/>
    <n v="906.64"/>
    <n v="7.0000000000000007E-2"/>
    <s v="Express Air"/>
    <n v="-148.93"/>
    <n v="22.38"/>
    <n v="15.1"/>
    <s v="Bill Donatelli"/>
    <s v="Ontario"/>
    <x v="3"/>
    <s v="Corporate"/>
    <s v="Office Supplies"/>
    <x v="1"/>
    <x v="1"/>
    <d v="2010-12-14T00:00:00"/>
    <s v="14-Dec-2010"/>
  </r>
  <r>
    <n v="41571"/>
    <d v="2011-06-06T00:00:00"/>
    <s v="Low"/>
    <s v="06-Jun-2011"/>
    <n v="42"/>
    <n v="906.07"/>
    <n v="0"/>
    <s v="Regular Air"/>
    <n v="-2.66"/>
    <n v="20.149999999999999"/>
    <n v="8.99"/>
    <s v="Katherine Nockton"/>
    <s v="Ontario"/>
    <x v="3"/>
    <s v="Corporate"/>
    <s v="Office Supplies"/>
    <x v="13"/>
    <x v="15"/>
    <d v="2011-06-15T00:00:00"/>
    <s v="15-Jun-2011"/>
  </r>
  <r>
    <n v="34883"/>
    <d v="2009-11-04T00:00:00"/>
    <s v="Critical"/>
    <s v="04-Nov-2009"/>
    <n v="31"/>
    <n v="906.01499999999999"/>
    <n v="0.05"/>
    <s v="Regular Air"/>
    <n v="248.67"/>
    <n v="35.99"/>
    <n v="5.99"/>
    <s v="Pete Takahito"/>
    <s v="Ontario"/>
    <x v="3"/>
    <s v="Corporate"/>
    <s v="Technology"/>
    <x v="10"/>
    <x v="1"/>
    <d v="2009-11-05T00:00:00"/>
    <s v="05-Nov-2009"/>
  </r>
  <r>
    <n v="13091"/>
    <d v="2009-11-15T00:00:00"/>
    <s v="Medium"/>
    <s v="15-Nov-2009"/>
    <n v="39"/>
    <n v="883.15"/>
    <n v="0.01"/>
    <s v="Regular Air"/>
    <n v="-1148.19"/>
    <n v="20.34"/>
    <n v="35"/>
    <s v="Arthur Wiediger"/>
    <s v="Ontario"/>
    <x v="3"/>
    <s v="Corporate"/>
    <s v="Office Supplies"/>
    <x v="4"/>
    <x v="30"/>
    <d v="2009-11-16T00:00:00"/>
    <s v="16-Nov-2009"/>
  </r>
  <r>
    <n v="15808"/>
    <d v="2010-12-14T00:00:00"/>
    <s v="Critical"/>
    <s v="14-Dec-2010"/>
    <n v="45"/>
    <n v="882.96"/>
    <n v="0.06"/>
    <s v="Regular Air"/>
    <n v="11.65"/>
    <n v="19.98"/>
    <n v="4"/>
    <s v="Bill Donatelli"/>
    <s v="Ontario"/>
    <x v="3"/>
    <s v="Corporate"/>
    <s v="Technology"/>
    <x v="11"/>
    <x v="48"/>
    <d v="2010-12-16T00:00:00"/>
    <s v="16-Dec-2010"/>
  </r>
  <r>
    <n v="39430"/>
    <d v="2009-06-13T00:00:00"/>
    <s v="Low"/>
    <s v="13-Jun-2009"/>
    <n v="29"/>
    <n v="877.97"/>
    <n v="0.03"/>
    <s v="Regular Air"/>
    <n v="-144.19999999999999"/>
    <n v="30.98"/>
    <n v="6.5"/>
    <s v="Edward Becker"/>
    <s v="Ontario"/>
    <x v="3"/>
    <s v="Corporate"/>
    <s v="Technology"/>
    <x v="11"/>
    <x v="11"/>
    <d v="2009-06-17T00:00:00"/>
    <s v="17-Jun-2009"/>
  </r>
  <r>
    <n v="36517"/>
    <d v="2010-03-01T00:00:00"/>
    <s v="Not Specified"/>
    <s v="01-Mar-2010"/>
    <n v="18"/>
    <n v="877.64"/>
    <n v="0.03"/>
    <s v="Regular Air"/>
    <n v="218.97"/>
    <n v="48.58"/>
    <n v="3.99"/>
    <s v="Katherine Nockton"/>
    <s v="Ontario"/>
    <x v="3"/>
    <s v="Corporate"/>
    <s v="Office Supplies"/>
    <x v="5"/>
    <x v="0"/>
    <d v="2010-03-02T00:00:00"/>
    <s v="02-Mar-2010"/>
  </r>
  <r>
    <n v="52391"/>
    <d v="2009-12-12T00:00:00"/>
    <s v="High"/>
    <s v="12-Dec-2009"/>
    <n v="39"/>
    <n v="857.84"/>
    <n v="0.02"/>
    <s v="Regular Air"/>
    <n v="-309.43"/>
    <n v="20.89"/>
    <n v="11.52"/>
    <s v="Alan Hwang"/>
    <s v="Ontario"/>
    <x v="3"/>
    <s v="Corporate"/>
    <s v="Office Supplies"/>
    <x v="4"/>
    <x v="34"/>
    <d v="2009-12-14T00:00:00"/>
    <s v="14-Dec-2009"/>
  </r>
  <r>
    <n v="17668"/>
    <d v="2009-11-25T00:00:00"/>
    <s v="Medium"/>
    <s v="25-Nov-2009"/>
    <n v="49"/>
    <n v="848.92"/>
    <n v="0.04"/>
    <s v="Regular Air"/>
    <n v="296.06"/>
    <n v="17.48"/>
    <n v="1.99"/>
    <s v="Erin Creighton"/>
    <s v="Ontario"/>
    <x v="3"/>
    <s v="Corporate"/>
    <s v="Technology"/>
    <x v="11"/>
    <x v="45"/>
    <d v="2009-11-27T00:00:00"/>
    <s v="27-Nov-2009"/>
  </r>
  <r>
    <n v="14693"/>
    <d v="2011-01-09T00:00:00"/>
    <s v="Critical"/>
    <s v="09-Jan-2011"/>
    <n v="38"/>
    <n v="847.82"/>
    <n v="0.05"/>
    <s v="Delivery Truck"/>
    <n v="-1348.5"/>
    <n v="20.98"/>
    <n v="45"/>
    <s v="Darren Powers"/>
    <s v="Ontario"/>
    <x v="3"/>
    <s v="Corporate"/>
    <s v="Office Supplies"/>
    <x v="4"/>
    <x v="9"/>
    <d v="2011-01-11T00:00:00"/>
    <s v="11-Jan-2011"/>
  </r>
  <r>
    <n v="41891"/>
    <d v="2011-05-22T00:00:00"/>
    <s v="High"/>
    <s v="22-May-2011"/>
    <n v="22"/>
    <n v="846.59"/>
    <n v="0.08"/>
    <s v="Regular Air"/>
    <n v="-1.95"/>
    <n v="40.89"/>
    <n v="18.98"/>
    <s v="Tamara Dahlen"/>
    <s v="Ontario"/>
    <x v="3"/>
    <s v="Corporate"/>
    <s v="Furniture"/>
    <x v="7"/>
    <x v="6"/>
    <d v="2011-05-23T00:00:00"/>
    <s v="23-May-2011"/>
  </r>
  <r>
    <n v="27589"/>
    <d v="2011-09-15T00:00:00"/>
    <s v="Medium"/>
    <s v="15-Sep-2011"/>
    <n v="20"/>
    <n v="845.7"/>
    <n v="0.02"/>
    <s v="Express Air"/>
    <n v="221.6"/>
    <n v="39.479999999999997"/>
    <n v="1.99"/>
    <s v="Darren Budd"/>
    <s v="Ontario"/>
    <x v="3"/>
    <s v="Corporate"/>
    <s v="Technology"/>
    <x v="11"/>
    <x v="41"/>
    <d v="2011-09-17T00:00:00"/>
    <s v="17-Sep-2011"/>
  </r>
  <r>
    <n v="43269"/>
    <d v="2009-04-10T00:00:00"/>
    <s v="Critical"/>
    <s v="10-Apr-2009"/>
    <n v="16"/>
    <n v="843.15"/>
    <n v="0"/>
    <s v="Regular Air"/>
    <n v="355"/>
    <n v="48.91"/>
    <n v="5.81"/>
    <s v="James Lanier"/>
    <s v="Ontario"/>
    <x v="3"/>
    <s v="Corporate"/>
    <s v="Office Supplies"/>
    <x v="12"/>
    <x v="1"/>
    <d v="2009-04-12T00:00:00"/>
    <s v="12-Apr-2009"/>
  </r>
  <r>
    <n v="15744"/>
    <d v="2010-03-21T00:00:00"/>
    <s v="Critical"/>
    <s v="21-Mar-2010"/>
    <n v="16"/>
    <n v="838.81"/>
    <n v="0.09"/>
    <s v="Regular Air"/>
    <n v="290.77"/>
    <n v="55.48"/>
    <n v="6.79"/>
    <s v="Jas O'Carroll"/>
    <s v="Ontario"/>
    <x v="3"/>
    <s v="Corporate"/>
    <s v="Office Supplies"/>
    <x v="12"/>
    <x v="7"/>
    <d v="2010-03-22T00:00:00"/>
    <s v="22-Mar-2010"/>
  </r>
  <r>
    <n v="52098"/>
    <d v="2010-03-10T00:00:00"/>
    <s v="Medium"/>
    <s v="10-Mar-2010"/>
    <n v="19"/>
    <n v="812.06"/>
    <n v="0"/>
    <s v="Regular Air"/>
    <n v="220.07"/>
    <n v="39.06"/>
    <n v="10.55"/>
    <s v="Darren Budd"/>
    <s v="Ontario"/>
    <x v="3"/>
    <s v="Corporate"/>
    <s v="Furniture"/>
    <x v="2"/>
    <x v="9"/>
    <d v="2010-03-10T00:00:00"/>
    <s v="10-Mar-2010"/>
  </r>
  <r>
    <n v="37669"/>
    <d v="2010-10-29T00:00:00"/>
    <s v="Not Specified"/>
    <s v="29-Oct-2010"/>
    <n v="31"/>
    <n v="806.08"/>
    <n v="0.08"/>
    <s v="Regular Air"/>
    <n v="402.37"/>
    <n v="26.17"/>
    <n v="1.39"/>
    <s v="Alejandro Grove"/>
    <s v="Ontario"/>
    <x v="3"/>
    <s v="Corporate"/>
    <s v="Office Supplies"/>
    <x v="15"/>
    <x v="1"/>
    <d v="2010-10-31T00:00:00"/>
    <s v="31-Oct-2010"/>
  </r>
  <r>
    <n v="27299"/>
    <d v="2012-08-05T00:00:00"/>
    <s v="Critical"/>
    <s v="05-Aug-2012"/>
    <n v="41"/>
    <n v="802.16"/>
    <n v="0.1"/>
    <s v="Regular Air"/>
    <n v="-293.45"/>
    <n v="19.940000000000001"/>
    <n v="14.87"/>
    <s v="Liz Willingham"/>
    <s v="Ontario"/>
    <x v="3"/>
    <s v="Corporate"/>
    <s v="Furniture"/>
    <x v="7"/>
    <x v="6"/>
    <d v="2012-08-07T00:00:00"/>
    <s v="07-Aug-2012"/>
  </r>
  <r>
    <n v="20003"/>
    <d v="2012-01-30T00:00:00"/>
    <s v="Medium"/>
    <s v="30-Jan-2012"/>
    <n v="39"/>
    <n v="796.08"/>
    <n v="0.05"/>
    <s v="Regular Air"/>
    <n v="30.29"/>
    <n v="19.98"/>
    <n v="4"/>
    <s v="Shirley Schmidt"/>
    <s v="Ontario"/>
    <x v="3"/>
    <s v="Corporate"/>
    <s v="Technology"/>
    <x v="11"/>
    <x v="48"/>
    <d v="2012-01-31T00:00:00"/>
    <s v="31-Jan-2012"/>
  </r>
  <r>
    <n v="38503"/>
    <d v="2009-05-05T00:00:00"/>
    <s v="Low"/>
    <s v="05-May-2009"/>
    <n v="32"/>
    <n v="796.03"/>
    <n v="0.05"/>
    <s v="Delivery Truck"/>
    <n v="-133.71"/>
    <n v="23.99"/>
    <n v="15.68"/>
    <s v="Melanie Page"/>
    <s v="Ontario"/>
    <x v="3"/>
    <s v="Corporate"/>
    <s v="Furniture"/>
    <x v="7"/>
    <x v="44"/>
    <d v="2009-05-09T00:00:00"/>
    <s v="09-May-2009"/>
  </r>
  <r>
    <n v="11874"/>
    <d v="2012-09-09T00:00:00"/>
    <s v="Medium"/>
    <s v="09-Sep-2012"/>
    <n v="20"/>
    <n v="775.77"/>
    <n v="7.0000000000000007E-2"/>
    <s v="Regular Air"/>
    <n v="179.37"/>
    <n v="39.979999999999997"/>
    <n v="9.83"/>
    <s v="Tracy Poddar"/>
    <s v="Ontario"/>
    <x v="3"/>
    <s v="Corporate"/>
    <s v="Office Supplies"/>
    <x v="15"/>
    <x v="27"/>
    <d v="2012-09-09T00:00:00"/>
    <s v="09-Sep-2012"/>
  </r>
  <r>
    <n v="26182"/>
    <d v="2010-01-16T00:00:00"/>
    <s v="Not Specified"/>
    <s v="16-Jan-2010"/>
    <n v="4"/>
    <n v="770.76"/>
    <n v="0.08"/>
    <s v="Delivery Truck"/>
    <n v="-192.51"/>
    <n v="200.98"/>
    <n v="23.76"/>
    <s v="Doug Bickford"/>
    <s v="Ontario"/>
    <x v="3"/>
    <s v="Corporate"/>
    <s v="Furniture"/>
    <x v="2"/>
    <x v="15"/>
    <d v="2010-01-16T00:00:00"/>
    <s v="16-Jan-2010"/>
  </r>
  <r>
    <n v="34082"/>
    <d v="2011-10-28T00:00:00"/>
    <s v="Not Specified"/>
    <s v="28-Oct-2011"/>
    <n v="35"/>
    <n v="764.32"/>
    <n v="0.02"/>
    <s v="Regular Air"/>
    <n v="-34.590000000000003"/>
    <n v="21.38"/>
    <n v="8.99"/>
    <s v="Dan Lawera"/>
    <s v="Ontario"/>
    <x v="3"/>
    <s v="Corporate"/>
    <s v="Office Supplies"/>
    <x v="13"/>
    <x v="14"/>
    <d v="2011-10-30T00:00:00"/>
    <s v="30-Oct-2011"/>
  </r>
  <r>
    <n v="1665"/>
    <d v="2009-05-07T00:00:00"/>
    <s v="High"/>
    <s v="07-May-2009"/>
    <n v="26"/>
    <n v="755.60749999999996"/>
    <n v="0.05"/>
    <s v="Regular Air"/>
    <n v="149.16999999999999"/>
    <n v="35.99"/>
    <n v="1.1000000000000001"/>
    <s v="John Lucas"/>
    <s v="Ontario"/>
    <x v="3"/>
    <s v="Corporate"/>
    <s v="Technology"/>
    <x v="10"/>
    <x v="20"/>
    <d v="2009-05-09T00:00:00"/>
    <s v="09-May-2009"/>
  </r>
  <r>
    <n v="30016"/>
    <d v="2009-01-03T00:00:00"/>
    <s v="Critical"/>
    <s v="03-Jan-2009"/>
    <n v="8"/>
    <n v="754.65549999999996"/>
    <n v="0.01"/>
    <s v="Regular Air"/>
    <n v="-212.55"/>
    <n v="110.99"/>
    <n v="2.5"/>
    <s v="Bill Donatelli"/>
    <s v="Ontario"/>
    <x v="3"/>
    <s v="Corporate"/>
    <s v="Technology"/>
    <x v="10"/>
    <x v="6"/>
    <d v="2009-01-06T00:00:00"/>
    <s v="06-Jan-2009"/>
  </r>
  <r>
    <n v="56002"/>
    <d v="2009-07-04T00:00:00"/>
    <s v="Low"/>
    <s v="04-Jul-2009"/>
    <n v="14"/>
    <n v="748.84"/>
    <n v="0.09"/>
    <s v="Regular Air"/>
    <n v="286.7"/>
    <n v="55.98"/>
    <n v="4.8600000000000003"/>
    <s v="Dave Hallsten"/>
    <s v="Ontario"/>
    <x v="3"/>
    <s v="Corporate"/>
    <s v="Office Supplies"/>
    <x v="12"/>
    <x v="10"/>
    <d v="2009-07-08T00:00:00"/>
    <s v="08-Jul-2009"/>
  </r>
  <r>
    <n v="2755"/>
    <d v="2012-02-06T00:00:00"/>
    <s v="Not Specified"/>
    <s v="06-Feb-2012"/>
    <n v="30"/>
    <n v="736.3"/>
    <n v="0.03"/>
    <s v="Regular Air"/>
    <n v="259.07"/>
    <n v="24.95"/>
    <n v="2.99"/>
    <s v="Jane Waco"/>
    <s v="Ontario"/>
    <x v="3"/>
    <s v="Corporate"/>
    <s v="Office Supplies"/>
    <x v="1"/>
    <x v="4"/>
    <d v="2012-02-06T00:00:00"/>
    <s v="06-Feb-2012"/>
  </r>
  <r>
    <n v="26145"/>
    <d v="2011-07-04T00:00:00"/>
    <s v="Low"/>
    <s v="04-Jul-2011"/>
    <n v="27"/>
    <n v="735.09"/>
    <n v="0.1"/>
    <s v="Regular Air"/>
    <n v="153.5"/>
    <n v="29.34"/>
    <n v="7.87"/>
    <s v="George Bell"/>
    <s v="Ontario"/>
    <x v="3"/>
    <s v="Corporate"/>
    <s v="Furniture"/>
    <x v="7"/>
    <x v="41"/>
    <d v="2011-07-06T00:00:00"/>
    <s v="06-Jul-2011"/>
  </r>
  <r>
    <n v="31552"/>
    <d v="2012-11-11T00:00:00"/>
    <s v="High"/>
    <s v="11-Nov-2012"/>
    <n v="24"/>
    <n v="731.71"/>
    <n v="0"/>
    <s v="Regular Air"/>
    <n v="175.82"/>
    <n v="29.89"/>
    <n v="1.99"/>
    <s v="Alan Hwang"/>
    <s v="Ontario"/>
    <x v="3"/>
    <s v="Corporate"/>
    <s v="Technology"/>
    <x v="11"/>
    <x v="31"/>
    <d v="2012-11-12T00:00:00"/>
    <s v="12-Nov-2012"/>
  </r>
  <r>
    <n v="46052"/>
    <d v="2009-11-23T00:00:00"/>
    <s v="Medium"/>
    <s v="23-Nov-2009"/>
    <n v="39"/>
    <n v="729.21"/>
    <n v="0"/>
    <s v="Express Air"/>
    <n v="194.15"/>
    <n v="17.78"/>
    <n v="5.03"/>
    <s v="Bill Overfelt"/>
    <s v="Ontario"/>
    <x v="3"/>
    <s v="Corporate"/>
    <s v="Furniture"/>
    <x v="7"/>
    <x v="41"/>
    <d v="2009-11-25T00:00:00"/>
    <s v="25-Nov-2009"/>
  </r>
  <r>
    <n v="43875"/>
    <d v="2011-12-07T00:00:00"/>
    <s v="Critical"/>
    <s v="07-Dec-2011"/>
    <n v="40"/>
    <n v="727.64"/>
    <n v="0.01"/>
    <s v="Regular Air"/>
    <n v="27.64"/>
    <n v="17.98"/>
    <n v="8.51"/>
    <s v="Melanie Page"/>
    <s v="Ontario"/>
    <x v="3"/>
    <s v="Corporate"/>
    <s v="Technology"/>
    <x v="0"/>
    <x v="27"/>
    <d v="2011-12-09T00:00:00"/>
    <s v="09-Dec-2011"/>
  </r>
  <r>
    <n v="14023"/>
    <d v="2010-02-20T00:00:00"/>
    <s v="Not Specified"/>
    <s v="20-Feb-2010"/>
    <n v="36"/>
    <n v="711.1"/>
    <n v="0.08"/>
    <s v="Regular Air"/>
    <n v="241.08"/>
    <n v="21.38"/>
    <n v="2.99"/>
    <s v="Edward Becker"/>
    <s v="Ontario"/>
    <x v="3"/>
    <s v="Corporate"/>
    <s v="Office Supplies"/>
    <x v="1"/>
    <x v="10"/>
    <d v="2010-02-22T00:00:00"/>
    <s v="22-Feb-2010"/>
  </r>
  <r>
    <n v="25895"/>
    <d v="2012-04-17T00:00:00"/>
    <s v="Medium"/>
    <s v="17-Apr-2012"/>
    <n v="37"/>
    <n v="709.91"/>
    <n v="0.09"/>
    <s v="Regular Air"/>
    <n v="-93.43"/>
    <n v="19.350000000000001"/>
    <n v="12.79"/>
    <s v="Candace McMahon"/>
    <s v="Ontario"/>
    <x v="3"/>
    <s v="Corporate"/>
    <s v="Office Supplies"/>
    <x v="1"/>
    <x v="4"/>
    <d v="2012-04-20T00:00:00"/>
    <s v="20-Apr-2012"/>
  </r>
  <r>
    <n v="55265"/>
    <d v="2009-09-23T00:00:00"/>
    <s v="Low"/>
    <s v="23-Sep-2009"/>
    <n v="39"/>
    <n v="706.39250000000004"/>
    <n v="0.06"/>
    <s v="Regular Air"/>
    <n v="346.14"/>
    <n v="20.99"/>
    <n v="0.99"/>
    <s v="Scot Coram"/>
    <s v="Ontario"/>
    <x v="3"/>
    <s v="Corporate"/>
    <s v="Technology"/>
    <x v="10"/>
    <x v="7"/>
    <d v="2009-09-28T00:00:00"/>
    <s v="28-Sep-2009"/>
  </r>
  <r>
    <n v="34209"/>
    <d v="2010-08-24T00:00:00"/>
    <s v="High"/>
    <s v="24-Aug-2010"/>
    <n v="48"/>
    <n v="705.44"/>
    <n v="0.04"/>
    <s v="Regular Air"/>
    <n v="165.9"/>
    <n v="14.2"/>
    <n v="5.3"/>
    <s v="Ritsa Hightower"/>
    <s v="Ontario"/>
    <x v="3"/>
    <s v="Corporate"/>
    <s v="Furniture"/>
    <x v="7"/>
    <x v="29"/>
    <d v="2010-08-26T00:00:00"/>
    <s v="26-Aug-2010"/>
  </r>
  <r>
    <n v="13410"/>
    <d v="2010-06-06T00:00:00"/>
    <s v="Not Specified"/>
    <s v="06-Jun-2010"/>
    <n v="29"/>
    <n v="701.94"/>
    <n v="0.01"/>
    <s v="Regular Air"/>
    <n v="158.91"/>
    <n v="23.99"/>
    <n v="6.3"/>
    <s v="Bobby Odegard"/>
    <s v="Ontario"/>
    <x v="3"/>
    <s v="Corporate"/>
    <s v="Technology"/>
    <x v="0"/>
    <x v="1"/>
    <d v="2010-06-07T00:00:00"/>
    <s v="07-Jun-2010"/>
  </r>
  <r>
    <n v="31072"/>
    <d v="2010-11-29T00:00:00"/>
    <s v="Low"/>
    <s v="29-Nov-2010"/>
    <n v="4"/>
    <n v="701.16"/>
    <n v="0.08"/>
    <s v="Regular Air"/>
    <n v="4.5599999999999996"/>
    <n v="172.99"/>
    <n v="19.989999999999998"/>
    <s v="Sean O'Donnell"/>
    <s v="Ontario"/>
    <x v="3"/>
    <s v="Corporate"/>
    <s v="Office Supplies"/>
    <x v="1"/>
    <x v="4"/>
    <d v="2010-12-04T00:00:00"/>
    <s v="04-Dec-2010"/>
  </r>
  <r>
    <n v="58528"/>
    <d v="2010-10-27T00:00:00"/>
    <s v="Medium"/>
    <s v="27-Oct-2010"/>
    <n v="14"/>
    <n v="700.95"/>
    <n v="0"/>
    <s v="Regular Air"/>
    <n v="233.8"/>
    <n v="46.89"/>
    <n v="5.0999999999999996"/>
    <s v="Janet Martin"/>
    <s v="Ontario"/>
    <x v="3"/>
    <s v="Corporate"/>
    <s v="Office Supplies"/>
    <x v="5"/>
    <x v="29"/>
    <d v="2010-10-28T00:00:00"/>
    <s v="28-Oct-2010"/>
  </r>
  <r>
    <n v="44614"/>
    <d v="2010-06-14T00:00:00"/>
    <s v="Low"/>
    <s v="14-Jun-2010"/>
    <n v="27"/>
    <n v="700.35"/>
    <n v="0.06"/>
    <s v="Regular Air"/>
    <n v="-123.01"/>
    <n v="26.31"/>
    <n v="5.89"/>
    <s v="George Bell"/>
    <s v="Ontario"/>
    <x v="3"/>
    <s v="Corporate"/>
    <s v="Technology"/>
    <x v="11"/>
    <x v="16"/>
    <d v="2010-06-23T00:00:00"/>
    <s v="23-Jun-2010"/>
  </r>
  <r>
    <n v="57153"/>
    <d v="2009-05-26T00:00:00"/>
    <s v="Critical"/>
    <s v="26-May-2009"/>
    <n v="45"/>
    <n v="698.1"/>
    <n v="0.01"/>
    <s v="Regular Air"/>
    <n v="336.25"/>
    <n v="15.67"/>
    <n v="1.39"/>
    <s v="Meg O'Connel"/>
    <s v="Ontario"/>
    <x v="3"/>
    <s v="Corporate"/>
    <s v="Office Supplies"/>
    <x v="15"/>
    <x v="1"/>
    <d v="2009-05-27T00:00:00"/>
    <s v="27-May-2009"/>
  </r>
  <r>
    <n v="52645"/>
    <d v="2012-03-07T00:00:00"/>
    <s v="Low"/>
    <s v="07-Mar-2012"/>
    <n v="10"/>
    <n v="693.02"/>
    <n v="7.0000000000000007E-2"/>
    <s v="Regular Air"/>
    <n v="97.36"/>
    <n v="70.97"/>
    <n v="3.5"/>
    <s v="Alan Hwang"/>
    <s v="Ontario"/>
    <x v="3"/>
    <s v="Corporate"/>
    <s v="Office Supplies"/>
    <x v="5"/>
    <x v="14"/>
    <d v="2012-03-16T00:00:00"/>
    <s v="16-Mar-2012"/>
  </r>
  <r>
    <n v="31239"/>
    <d v="2010-08-28T00:00:00"/>
    <s v="Low"/>
    <s v="28-Aug-2010"/>
    <n v="20"/>
    <n v="677.9"/>
    <n v="0.05"/>
    <s v="Regular Air"/>
    <n v="196.36"/>
    <n v="33.979999999999997"/>
    <n v="1.99"/>
    <s v="Eleni McCrary"/>
    <s v="Ontario"/>
    <x v="3"/>
    <s v="Corporate"/>
    <s v="Technology"/>
    <x v="11"/>
    <x v="45"/>
    <d v="2010-09-02T00:00:00"/>
    <s v="02-Sep-2010"/>
  </r>
  <r>
    <n v="57570"/>
    <d v="2012-09-28T00:00:00"/>
    <s v="High"/>
    <s v="28-Sep-2012"/>
    <n v="15"/>
    <n v="675.23"/>
    <n v="0.1"/>
    <s v="Regular Air"/>
    <n v="204.08"/>
    <n v="48.04"/>
    <n v="7.23"/>
    <s v="Daniel Raglin"/>
    <s v="Ontario"/>
    <x v="3"/>
    <s v="Corporate"/>
    <s v="Office Supplies"/>
    <x v="12"/>
    <x v="7"/>
    <d v="2012-09-30T00:00:00"/>
    <s v="30-Sep-2012"/>
  </r>
  <r>
    <n v="53574"/>
    <d v="2012-04-09T00:00:00"/>
    <s v="Medium"/>
    <s v="09-Apr-2012"/>
    <n v="8"/>
    <n v="669.69"/>
    <n v="0.03"/>
    <s v="Regular Air"/>
    <n v="-297.02"/>
    <n v="80.98"/>
    <n v="35"/>
    <s v="Scot Coram"/>
    <s v="Ontario"/>
    <x v="3"/>
    <s v="Corporate"/>
    <s v="Office Supplies"/>
    <x v="4"/>
    <x v="43"/>
    <d v="2012-04-10T00:00:00"/>
    <s v="10-Apr-2012"/>
  </r>
  <r>
    <n v="16610"/>
    <d v="2009-10-10T00:00:00"/>
    <s v="High"/>
    <s v="10-Oct-2009"/>
    <n v="19"/>
    <n v="659.13"/>
    <n v="0.09"/>
    <s v="Regular Air"/>
    <n v="187.57"/>
    <n v="35.94"/>
    <n v="6.66"/>
    <s v="Thomas Boland"/>
    <s v="Ontario"/>
    <x v="3"/>
    <s v="Corporate"/>
    <s v="Office Supplies"/>
    <x v="15"/>
    <x v="27"/>
    <d v="2009-10-12T00:00:00"/>
    <s v="12-Oct-2009"/>
  </r>
  <r>
    <n v="47492"/>
    <d v="2011-07-23T00:00:00"/>
    <s v="High"/>
    <s v="23-Jul-2011"/>
    <n v="22"/>
    <n v="649.71"/>
    <n v="7.0000000000000007E-2"/>
    <s v="Regular Air"/>
    <n v="-157.51"/>
    <n v="30.42"/>
    <n v="8.65"/>
    <s v="Bill Overfelt"/>
    <s v="Ontario"/>
    <x v="3"/>
    <s v="Corporate"/>
    <s v="Technology"/>
    <x v="11"/>
    <x v="37"/>
    <d v="2011-07-25T00:00:00"/>
    <s v="25-Jul-2011"/>
  </r>
  <r>
    <n v="47174"/>
    <d v="2011-09-16T00:00:00"/>
    <s v="Critical"/>
    <s v="16-Sep-2011"/>
    <n v="42"/>
    <n v="642.1"/>
    <n v="0"/>
    <s v="Regular Air"/>
    <n v="41.56"/>
    <n v="13.99"/>
    <n v="7.51"/>
    <s v="Maria Bertelson"/>
    <s v="Ontario"/>
    <x v="3"/>
    <s v="Corporate"/>
    <s v="Technology"/>
    <x v="0"/>
    <x v="4"/>
    <d v="2011-09-16T00:00:00"/>
    <s v="16-Sep-2011"/>
  </r>
  <r>
    <n v="4387"/>
    <d v="2011-10-22T00:00:00"/>
    <s v="Critical"/>
    <s v="22-Oct-2011"/>
    <n v="4"/>
    <n v="640.21"/>
    <n v="7.0000000000000007E-2"/>
    <s v="Delivery Truck"/>
    <n v="-388.52"/>
    <n v="150.97999999999999"/>
    <n v="39.25"/>
    <s v="Sandra Flanagan"/>
    <s v="Ontario"/>
    <x v="3"/>
    <s v="Corporate"/>
    <s v="Furniture"/>
    <x v="3"/>
    <x v="16"/>
    <d v="2011-10-23T00:00:00"/>
    <s v="23-Oct-2011"/>
  </r>
  <r>
    <n v="15014"/>
    <d v="2010-02-10T00:00:00"/>
    <s v="Medium"/>
    <s v="10-Feb-2010"/>
    <n v="10"/>
    <n v="633.13"/>
    <n v="0.05"/>
    <s v="Delivery Truck"/>
    <n v="-203.9"/>
    <n v="58.14"/>
    <n v="36.61"/>
    <s v="Ted Trevino"/>
    <s v="Ontario"/>
    <x v="3"/>
    <s v="Corporate"/>
    <s v="Furniture"/>
    <x v="8"/>
    <x v="9"/>
    <d v="2010-02-13T00:00:00"/>
    <s v="13-Feb-2010"/>
  </r>
  <r>
    <n v="37349"/>
    <d v="2010-02-15T00:00:00"/>
    <s v="Critical"/>
    <s v="15-Feb-2010"/>
    <n v="8"/>
    <n v="631.73"/>
    <n v="0.03"/>
    <s v="Express Air"/>
    <n v="122.43"/>
    <n v="78.69"/>
    <n v="19.989999999999998"/>
    <s v="Bill Stewart"/>
    <s v="Ontario"/>
    <x v="3"/>
    <s v="Corporate"/>
    <s v="Furniture"/>
    <x v="7"/>
    <x v="21"/>
    <d v="2010-02-17T00:00:00"/>
    <s v="17-Feb-2010"/>
  </r>
  <r>
    <n v="46497"/>
    <d v="2012-06-19T00:00:00"/>
    <s v="High"/>
    <s v="19-Jun-2012"/>
    <n v="30"/>
    <n v="630.54"/>
    <n v="0.03"/>
    <s v="Regular Air"/>
    <n v="-30.07"/>
    <n v="20.149999999999999"/>
    <n v="8.99"/>
    <s v="Jane Waco"/>
    <s v="Ontario"/>
    <x v="3"/>
    <s v="Corporate"/>
    <s v="Office Supplies"/>
    <x v="13"/>
    <x v="15"/>
    <d v="2012-06-20T00:00:00"/>
    <s v="20-Jun-2012"/>
  </r>
  <r>
    <n v="51140"/>
    <d v="2012-09-14T00:00:00"/>
    <s v="Low"/>
    <s v="14-Sep-2012"/>
    <n v="14"/>
    <n v="626.33000000000004"/>
    <n v="0.01"/>
    <s v="Regular Air"/>
    <n v="24.56"/>
    <n v="45.19"/>
    <n v="1.99"/>
    <s v="Sean O'Donnell"/>
    <s v="Ontario"/>
    <x v="3"/>
    <s v="Corporate"/>
    <s v="Technology"/>
    <x v="11"/>
    <x v="20"/>
    <d v="2012-09-18T00:00:00"/>
    <s v="18-Sep-2012"/>
  </r>
  <r>
    <n v="43751"/>
    <d v="2012-06-27T00:00:00"/>
    <s v="High"/>
    <s v="27-Jun-2012"/>
    <n v="43"/>
    <n v="621.44000000000005"/>
    <n v="0.08"/>
    <s v="Regular Air"/>
    <n v="-130.96"/>
    <n v="15.14"/>
    <n v="4.53"/>
    <s v="Michael Kennedy"/>
    <s v="Ontario"/>
    <x v="3"/>
    <s v="Corporate"/>
    <s v="Office Supplies"/>
    <x v="4"/>
    <x v="43"/>
    <d v="2012-06-29T00:00:00"/>
    <s v="29-Jun-2012"/>
  </r>
  <r>
    <n v="41569"/>
    <d v="2010-07-21T00:00:00"/>
    <s v="Critical"/>
    <s v="21-Jul-2010"/>
    <n v="49"/>
    <n v="617.34"/>
    <n v="0.06"/>
    <s v="Regular Air"/>
    <n v="47.1"/>
    <n v="12.28"/>
    <n v="6.47"/>
    <s v="Kean Nguyen"/>
    <s v="Ontario"/>
    <x v="3"/>
    <s v="Corporate"/>
    <s v="Office Supplies"/>
    <x v="12"/>
    <x v="1"/>
    <d v="2010-07-22T00:00:00"/>
    <s v="22-Jul-2010"/>
  </r>
  <r>
    <n v="46243"/>
    <d v="2012-01-24T00:00:00"/>
    <s v="Low"/>
    <s v="24-Jan-2012"/>
    <n v="31"/>
    <n v="614.35"/>
    <n v="0.02"/>
    <s v="Express Air"/>
    <n v="78.89"/>
    <n v="18.97"/>
    <n v="9.0299999999999994"/>
    <s v="Maria Bertelson"/>
    <s v="Ontario"/>
    <x v="3"/>
    <s v="Corporate"/>
    <s v="Office Supplies"/>
    <x v="12"/>
    <x v="7"/>
    <d v="2012-01-26T00:00:00"/>
    <s v="26-Jan-2012"/>
  </r>
  <r>
    <n v="27490"/>
    <d v="2012-03-14T00:00:00"/>
    <s v="Not Specified"/>
    <s v="14-Mar-2012"/>
    <n v="18"/>
    <n v="611.71"/>
    <n v="0.02"/>
    <s v="Regular Air"/>
    <n v="93.23"/>
    <n v="31.74"/>
    <n v="12.62"/>
    <s v="Daniel Raglin"/>
    <s v="Ontario"/>
    <x v="3"/>
    <s v="Corporate"/>
    <s v="Office Supplies"/>
    <x v="1"/>
    <x v="7"/>
    <d v="2012-03-16T00:00:00"/>
    <s v="16-Mar-2012"/>
  </r>
  <r>
    <n v="29894"/>
    <d v="2010-09-07T00:00:00"/>
    <s v="Low"/>
    <s v="07-Sep-2010"/>
    <n v="43"/>
    <n v="606.98"/>
    <n v="0.05"/>
    <s v="Regular Air"/>
    <n v="21.08"/>
    <n v="13.73"/>
    <n v="6.85"/>
    <s v="Matt Connell"/>
    <s v="Ontario"/>
    <x v="3"/>
    <s v="Corporate"/>
    <s v="Furniture"/>
    <x v="7"/>
    <x v="41"/>
    <d v="2010-09-16T00:00:00"/>
    <s v="16-Sep-2010"/>
  </r>
  <r>
    <n v="52805"/>
    <d v="2011-09-28T00:00:00"/>
    <s v="High"/>
    <s v="28-Sep-2011"/>
    <n v="20"/>
    <n v="596.55999999999995"/>
    <n v="0.04"/>
    <s v="Express Air"/>
    <n v="60.7"/>
    <n v="29.99"/>
    <n v="5.5"/>
    <s v="Vivek Grady"/>
    <s v="Ontario"/>
    <x v="3"/>
    <s v="Corporate"/>
    <s v="Technology"/>
    <x v="11"/>
    <x v="51"/>
    <d v="2011-09-28T00:00:00"/>
    <s v="28-Sep-2011"/>
  </r>
  <r>
    <n v="48518"/>
    <d v="2009-04-02T00:00:00"/>
    <s v="Medium"/>
    <s v="02-Apr-2009"/>
    <n v="17"/>
    <n v="585.47"/>
    <n v="0.1"/>
    <s v="Express Air"/>
    <n v="178.14"/>
    <n v="37.94"/>
    <n v="5.08"/>
    <s v="Scot Coram"/>
    <s v="Ontario"/>
    <x v="3"/>
    <s v="Corporate"/>
    <s v="Office Supplies"/>
    <x v="12"/>
    <x v="1"/>
    <d v="2009-04-04T00:00:00"/>
    <s v="04-Apr-2009"/>
  </r>
  <r>
    <n v="20134"/>
    <d v="2011-03-12T00:00:00"/>
    <s v="Low"/>
    <s v="12-Mar-2011"/>
    <n v="26"/>
    <n v="583.55999999999995"/>
    <n v="0.02"/>
    <s v="Regular Air"/>
    <n v="-94.59"/>
    <n v="20.97"/>
    <n v="6.5"/>
    <s v="James Lanier"/>
    <s v="Ontario"/>
    <x v="3"/>
    <s v="Corporate"/>
    <s v="Technology"/>
    <x v="11"/>
    <x v="8"/>
    <d v="2011-03-16T00:00:00"/>
    <s v="16-Mar-2011"/>
  </r>
  <r>
    <n v="21089"/>
    <d v="2011-07-28T00:00:00"/>
    <s v="Medium"/>
    <s v="28-Jul-2011"/>
    <n v="4"/>
    <n v="559.75"/>
    <n v="7.0000000000000007E-2"/>
    <s v="Delivery Truck"/>
    <n v="-331.08"/>
    <n v="122.99"/>
    <n v="70.2"/>
    <s v="Vivek Grady"/>
    <s v="Ontario"/>
    <x v="3"/>
    <s v="Corporate"/>
    <s v="Furniture"/>
    <x v="2"/>
    <x v="37"/>
    <d v="2011-07-30T00:00:00"/>
    <s v="30-Jul-2011"/>
  </r>
  <r>
    <n v="29411"/>
    <d v="2012-04-06T00:00:00"/>
    <s v="High"/>
    <s v="06-Apr-2012"/>
    <n v="33"/>
    <n v="542.24"/>
    <n v="0.02"/>
    <s v="Regular Air"/>
    <n v="268.52999999999997"/>
    <n v="15.67"/>
    <n v="1.39"/>
    <s v="Naresj Patel"/>
    <s v="Ontario"/>
    <x v="3"/>
    <s v="Corporate"/>
    <s v="Office Supplies"/>
    <x v="15"/>
    <x v="1"/>
    <d v="2012-04-07T00:00:00"/>
    <s v="07-Apr-2012"/>
  </r>
  <r>
    <n v="12320"/>
    <d v="2011-12-20T00:00:00"/>
    <s v="Critical"/>
    <s v="20-Dec-2011"/>
    <n v="35"/>
    <n v="539.21"/>
    <n v="0.05"/>
    <s v="Delivery Truck"/>
    <n v="11.65"/>
    <n v="15.23"/>
    <n v="27.75"/>
    <s v="Tracy Poddar"/>
    <s v="Ontario"/>
    <x v="3"/>
    <s v="Corporate"/>
    <s v="Furniture"/>
    <x v="3"/>
    <x v="40"/>
    <d v="2011-12-22T00:00:00"/>
    <s v="22-Dec-2011"/>
  </r>
  <r>
    <n v="19394"/>
    <d v="2012-12-25T00:00:00"/>
    <s v="Medium"/>
    <s v="25-Dec-2012"/>
    <n v="5"/>
    <n v="539.20600000000002"/>
    <n v="0.05"/>
    <s v="Regular Air"/>
    <n v="-452.39"/>
    <n v="125.99"/>
    <n v="8.8000000000000007"/>
    <s v="Darren Powers"/>
    <s v="Ontario"/>
    <x v="3"/>
    <s v="Corporate"/>
    <s v="Technology"/>
    <x v="10"/>
    <x v="14"/>
    <d v="2012-12-28T00:00:00"/>
    <s v="28-Dec-2012"/>
  </r>
  <r>
    <n v="20259"/>
    <d v="2011-05-24T00:00:00"/>
    <s v="Critical"/>
    <s v="24-May-2011"/>
    <n v="42"/>
    <n v="539.05999999999995"/>
    <n v="0.05"/>
    <s v="Regular Air"/>
    <n v="-123.07"/>
    <n v="12.88"/>
    <n v="4.59"/>
    <s v="Anna Haberlin"/>
    <s v="Ontario"/>
    <x v="3"/>
    <s v="Corporate"/>
    <s v="Office Supplies"/>
    <x v="14"/>
    <x v="5"/>
    <d v="2011-05-25T00:00:00"/>
    <s v="25-May-2011"/>
  </r>
  <r>
    <n v="50307"/>
    <d v="2010-10-15T00:00:00"/>
    <s v="Low"/>
    <s v="15-Oct-2010"/>
    <n v="31"/>
    <n v="536.83000000000004"/>
    <n v="0.06"/>
    <s v="Regular Air"/>
    <n v="161.37"/>
    <n v="17.48"/>
    <n v="1.99"/>
    <s v="Bill Overfelt"/>
    <s v="Ontario"/>
    <x v="3"/>
    <s v="Corporate"/>
    <s v="Technology"/>
    <x v="11"/>
    <x v="45"/>
    <d v="2010-10-15T00:00:00"/>
    <s v="15-Oct-2010"/>
  </r>
  <r>
    <n v="11841"/>
    <d v="2010-04-20T00:00:00"/>
    <s v="Medium"/>
    <s v="20-Apr-2010"/>
    <n v="46"/>
    <n v="533.25"/>
    <n v="7.0000000000000007E-2"/>
    <s v="Regular Air"/>
    <n v="-88.32"/>
    <n v="11.97"/>
    <n v="5.81"/>
    <s v="Melanie Page"/>
    <s v="Ontario"/>
    <x v="3"/>
    <s v="Corporate"/>
    <s v="Office Supplies"/>
    <x v="13"/>
    <x v="18"/>
    <d v="2010-04-20T00:00:00"/>
    <s v="20-Apr-2010"/>
  </r>
  <r>
    <n v="9478"/>
    <d v="2009-03-28T00:00:00"/>
    <s v="High"/>
    <s v="28-Mar-2009"/>
    <n v="48"/>
    <n v="522.97"/>
    <n v="0.04"/>
    <s v="Regular Air"/>
    <n v="29.98"/>
    <n v="10.4"/>
    <n v="5.4"/>
    <s v="Philip Brown"/>
    <s v="Ontario"/>
    <x v="3"/>
    <s v="Corporate"/>
    <s v="Furniture"/>
    <x v="7"/>
    <x v="51"/>
    <d v="2009-03-29T00:00:00"/>
    <s v="29-Mar-2009"/>
  </r>
  <r>
    <n v="12263"/>
    <d v="2011-07-06T00:00:00"/>
    <s v="High"/>
    <s v="06-Jul-2011"/>
    <n v="12"/>
    <n v="515.65"/>
    <n v="0"/>
    <s v="Regular Air"/>
    <n v="123.5"/>
    <n v="39.479999999999997"/>
    <n v="3.99"/>
    <s v="Dan Lawera"/>
    <s v="Ontario"/>
    <x v="3"/>
    <s v="Corporate"/>
    <s v="Office Supplies"/>
    <x v="5"/>
    <x v="0"/>
    <d v="2011-07-06T00:00:00"/>
    <s v="06-Jul-2011"/>
  </r>
  <r>
    <n v="22151"/>
    <d v="2010-07-31T00:00:00"/>
    <s v="High"/>
    <s v="31-Jul-2010"/>
    <n v="20"/>
    <n v="515.37"/>
    <n v="0.04"/>
    <s v="Regular Air"/>
    <n v="9.82"/>
    <n v="24.92"/>
    <n v="12.98"/>
    <s v="Beth Thompson"/>
    <s v="Ontario"/>
    <x v="3"/>
    <s v="Corporate"/>
    <s v="Office Supplies"/>
    <x v="1"/>
    <x v="4"/>
    <d v="2010-08-01T00:00:00"/>
    <s v="01-Aug-2010"/>
  </r>
  <r>
    <n v="56002"/>
    <d v="2009-07-04T00:00:00"/>
    <s v="Low"/>
    <s v="04-Jul-2009"/>
    <n v="21"/>
    <n v="514.53"/>
    <n v="0.04"/>
    <s v="Regular Air"/>
    <n v="149.31"/>
    <n v="23.99"/>
    <n v="6.71"/>
    <s v="Dave Hallsten"/>
    <s v="Ontario"/>
    <x v="3"/>
    <s v="Corporate"/>
    <s v="Office Supplies"/>
    <x v="15"/>
    <x v="2"/>
    <d v="2009-07-06T00:00:00"/>
    <s v="06-Jul-2009"/>
  </r>
  <r>
    <n v="12323"/>
    <d v="2011-04-02T00:00:00"/>
    <s v="Not Specified"/>
    <s v="02-Apr-2011"/>
    <n v="32"/>
    <n v="513.74"/>
    <n v="0.02"/>
    <s v="Regular Air"/>
    <n v="-28.68"/>
    <n v="15.15"/>
    <n v="10.130000000000001"/>
    <s v="Lisa DeCherney"/>
    <s v="Ontario"/>
    <x v="3"/>
    <s v="Corporate"/>
    <s v="Office Supplies"/>
    <x v="1"/>
    <x v="1"/>
    <d v="2011-04-03T00:00:00"/>
    <s v="03-Apr-2011"/>
  </r>
  <r>
    <n v="26145"/>
    <d v="2011-07-04T00:00:00"/>
    <s v="Low"/>
    <s v="04-Jul-2011"/>
    <n v="49"/>
    <n v="510.15"/>
    <n v="0.04"/>
    <s v="Regular Air"/>
    <n v="-362.11"/>
    <n v="9.98"/>
    <n v="12.52"/>
    <s v="George Bell"/>
    <s v="Ontario"/>
    <x v="3"/>
    <s v="Corporate"/>
    <s v="Furniture"/>
    <x v="7"/>
    <x v="6"/>
    <d v="2011-07-04T00:00:00"/>
    <s v="04-Jul-2011"/>
  </r>
  <r>
    <n v="2912"/>
    <d v="2012-03-11T00:00:00"/>
    <s v="Low"/>
    <s v="11-Mar-2012"/>
    <n v="9"/>
    <n v="507.98"/>
    <n v="0.05"/>
    <s v="Express Air"/>
    <n v="170.9"/>
    <n v="55.98"/>
    <n v="4.8600000000000003"/>
    <s v="Tamara Dahlen"/>
    <s v="Ontario"/>
    <x v="3"/>
    <s v="Corporate"/>
    <s v="Office Supplies"/>
    <x v="12"/>
    <x v="10"/>
    <d v="2012-03-18T00:00:00"/>
    <s v="18-Mar-2012"/>
  </r>
  <r>
    <n v="49575"/>
    <d v="2010-12-16T00:00:00"/>
    <s v="High"/>
    <s v="16-Dec-2010"/>
    <n v="12"/>
    <n v="507.44"/>
    <n v="0.05"/>
    <s v="Regular Air"/>
    <n v="170.9"/>
    <n v="42.8"/>
    <n v="2.99"/>
    <s v="Kalyca Meade"/>
    <s v="Ontario"/>
    <x v="3"/>
    <s v="Corporate"/>
    <s v="Office Supplies"/>
    <x v="1"/>
    <x v="10"/>
    <d v="2010-12-17T00:00:00"/>
    <s v="17-Dec-2010"/>
  </r>
  <r>
    <n v="38503"/>
    <d v="2009-05-05T00:00:00"/>
    <s v="Low"/>
    <s v="05-May-2009"/>
    <n v="10"/>
    <n v="503.29349999999999"/>
    <n v="0.02"/>
    <s v="Regular Air"/>
    <n v="-222.82"/>
    <n v="55.99"/>
    <n v="5"/>
    <s v="Melanie Page"/>
    <s v="Ontario"/>
    <x v="3"/>
    <s v="Corporate"/>
    <s v="Technology"/>
    <x v="10"/>
    <x v="34"/>
    <d v="2009-05-05T00:00:00"/>
    <s v="05-May-2009"/>
  </r>
  <r>
    <n v="14023"/>
    <d v="2010-02-20T00:00:00"/>
    <s v="Not Specified"/>
    <s v="20-Feb-2010"/>
    <n v="48"/>
    <n v="498.16"/>
    <n v="0.03"/>
    <s v="Regular Air"/>
    <n v="40.61"/>
    <n v="9.99"/>
    <n v="5.12"/>
    <s v="Edward Becker"/>
    <s v="Ontario"/>
    <x v="3"/>
    <s v="Corporate"/>
    <s v="Office Supplies"/>
    <x v="12"/>
    <x v="27"/>
    <d v="2010-02-21T00:00:00"/>
    <s v="21-Feb-2010"/>
  </r>
  <r>
    <n v="37828"/>
    <d v="2011-04-20T00:00:00"/>
    <s v="Low"/>
    <s v="20-Apr-2011"/>
    <n v="23"/>
    <n v="490.17"/>
    <n v="0.04"/>
    <s v="Regular Air"/>
    <n v="-57.09"/>
    <n v="20.97"/>
    <n v="4"/>
    <s v="Mike Caudle"/>
    <s v="Ontario"/>
    <x v="3"/>
    <s v="Corporate"/>
    <s v="Technology"/>
    <x v="11"/>
    <x v="36"/>
    <d v="2011-04-25T00:00:00"/>
    <s v="25-Apr-2011"/>
  </r>
  <r>
    <n v="17634"/>
    <d v="2012-07-21T00:00:00"/>
    <s v="High"/>
    <s v="21-Jul-2012"/>
    <n v="5"/>
    <n v="489.07"/>
    <n v="0.08"/>
    <s v="Delivery Truck"/>
    <n v="-197.88"/>
    <n v="89.99"/>
    <n v="42"/>
    <s v="Alan Hwang"/>
    <s v="Ontario"/>
    <x v="3"/>
    <s v="Corporate"/>
    <s v="Furniture"/>
    <x v="2"/>
    <x v="32"/>
    <d v="2012-07-21T00:00:00"/>
    <s v="21-Jul-2012"/>
  </r>
  <r>
    <n v="28805"/>
    <d v="2011-04-02T00:00:00"/>
    <s v="Medium"/>
    <s v="02-Apr-2011"/>
    <n v="46"/>
    <n v="487.5"/>
    <n v="0.05"/>
    <s v="Regular Air"/>
    <n v="-25.88"/>
    <n v="10.23"/>
    <n v="4.68"/>
    <s v="Bill Stewart"/>
    <s v="Ontario"/>
    <x v="3"/>
    <s v="Corporate"/>
    <s v="Office Supplies"/>
    <x v="14"/>
    <x v="14"/>
    <d v="2011-04-04T00:00:00"/>
    <s v="04-Apr-2011"/>
  </r>
  <r>
    <n v="35878"/>
    <d v="2010-08-13T00:00:00"/>
    <s v="Medium"/>
    <s v="13-Aug-2010"/>
    <n v="11"/>
    <n v="485.46"/>
    <n v="0.03"/>
    <s v="Regular Air"/>
    <n v="48.88"/>
    <n v="40.99"/>
    <n v="17.48"/>
    <s v="Cari MacIntyre"/>
    <s v="Ontario"/>
    <x v="3"/>
    <s v="Corporate"/>
    <s v="Office Supplies"/>
    <x v="12"/>
    <x v="10"/>
    <d v="2010-08-14T00:00:00"/>
    <s v="14-Aug-2010"/>
  </r>
  <r>
    <n v="13345"/>
    <d v="2012-09-02T00:00:00"/>
    <s v="Not Specified"/>
    <s v="02-Sep-2012"/>
    <n v="45"/>
    <n v="483.64"/>
    <n v="0.1"/>
    <s v="Regular Air"/>
    <n v="28.39"/>
    <n v="10.98"/>
    <n v="3.37"/>
    <s v="Bill Donatelli"/>
    <s v="Ontario"/>
    <x v="3"/>
    <s v="Corporate"/>
    <s v="Office Supplies"/>
    <x v="14"/>
    <x v="6"/>
    <d v="2012-09-02T00:00:00"/>
    <s v="02-Sep-2012"/>
  </r>
  <r>
    <n v="22881"/>
    <d v="2010-04-06T00:00:00"/>
    <s v="Medium"/>
    <s v="06-Apr-2010"/>
    <n v="33"/>
    <n v="476.06"/>
    <n v="0.04"/>
    <s v="Regular Air"/>
    <n v="-120.48"/>
    <n v="14.03"/>
    <n v="9.3699999999999992"/>
    <s v="Melanie Page"/>
    <s v="Ontario"/>
    <x v="3"/>
    <s v="Corporate"/>
    <s v="Office Supplies"/>
    <x v="4"/>
    <x v="0"/>
    <d v="2010-04-07T00:00:00"/>
    <s v="07-Apr-2010"/>
  </r>
  <r>
    <n v="41861"/>
    <d v="2010-11-26T00:00:00"/>
    <s v="Low"/>
    <s v="26-Nov-2010"/>
    <n v="24"/>
    <n v="475.9"/>
    <n v="0.02"/>
    <s v="Regular Air"/>
    <n v="110.44"/>
    <n v="19.98"/>
    <n v="5.97"/>
    <s v="Kalyca Meade"/>
    <s v="Ontario"/>
    <x v="3"/>
    <s v="Corporate"/>
    <s v="Office Supplies"/>
    <x v="12"/>
    <x v="1"/>
    <d v="2010-11-28T00:00:00"/>
    <s v="28-Nov-2010"/>
  </r>
  <r>
    <n v="27589"/>
    <d v="2011-09-15T00:00:00"/>
    <s v="Medium"/>
    <s v="15-Sep-2011"/>
    <n v="25"/>
    <n v="467"/>
    <n v="0.04"/>
    <s v="Regular Air"/>
    <n v="69.97"/>
    <n v="17.670000000000002"/>
    <n v="8.99"/>
    <s v="Darren Budd"/>
    <s v="Ontario"/>
    <x v="3"/>
    <s v="Corporate"/>
    <s v="Furniture"/>
    <x v="7"/>
    <x v="26"/>
    <d v="2011-09-16T00:00:00"/>
    <s v="16-Sep-2011"/>
  </r>
  <r>
    <n v="48615"/>
    <d v="2012-12-03T00:00:00"/>
    <s v="Low"/>
    <s v="03-Dec-2012"/>
    <n v="8"/>
    <n v="464.66"/>
    <n v="0.04"/>
    <s v="Regular Air"/>
    <n v="219.02"/>
    <n v="54.74"/>
    <n v="14.83"/>
    <s v="George Bell"/>
    <s v="Ontario"/>
    <x v="3"/>
    <s v="Corporate"/>
    <s v="Furniture"/>
    <x v="7"/>
    <x v="41"/>
    <d v="2012-12-08T00:00:00"/>
    <s v="08-Dec-2012"/>
  </r>
  <r>
    <n v="8103"/>
    <d v="2009-11-02T00:00:00"/>
    <s v="Low"/>
    <s v="02-Nov-2009"/>
    <n v="16"/>
    <n v="457.68"/>
    <n v="7.0000000000000007E-2"/>
    <s v="Regular Air"/>
    <n v="107.38"/>
    <n v="29.17"/>
    <n v="6.27"/>
    <s v="Bill Stewart"/>
    <s v="Ontario"/>
    <x v="3"/>
    <s v="Corporate"/>
    <s v="Office Supplies"/>
    <x v="1"/>
    <x v="7"/>
    <d v="2009-11-06T00:00:00"/>
    <s v="06-Nov-2009"/>
  </r>
  <r>
    <n v="50854"/>
    <d v="2011-12-17T00:00:00"/>
    <s v="Critical"/>
    <s v="17-Dec-2011"/>
    <n v="42"/>
    <n v="452.15"/>
    <n v="0.06"/>
    <s v="Express Air"/>
    <n v="25.79"/>
    <n v="10.98"/>
    <n v="3.37"/>
    <s v="Dan Lawera"/>
    <s v="Ontario"/>
    <x v="3"/>
    <s v="Corporate"/>
    <s v="Office Supplies"/>
    <x v="14"/>
    <x v="6"/>
    <d v="2011-12-17T00:00:00"/>
    <s v="17-Dec-2011"/>
  </r>
  <r>
    <n v="33510"/>
    <d v="2011-12-02T00:00:00"/>
    <s v="High"/>
    <s v="02-Dec-2011"/>
    <n v="11"/>
    <n v="449.79"/>
    <n v="0.06"/>
    <s v="Regular Air"/>
    <n v="13.21"/>
    <n v="40.99"/>
    <n v="17.48"/>
    <s v="Vivek Grady"/>
    <s v="Ontario"/>
    <x v="3"/>
    <s v="Corporate"/>
    <s v="Office Supplies"/>
    <x v="12"/>
    <x v="10"/>
    <d v="2011-12-02T00:00:00"/>
    <s v="02-Dec-2011"/>
  </r>
  <r>
    <n v="55526"/>
    <d v="2012-07-02T00:00:00"/>
    <s v="High"/>
    <s v="02-Jul-2012"/>
    <n v="23"/>
    <n v="445.17"/>
    <n v="0.02"/>
    <s v="Regular Air"/>
    <n v="38.11"/>
    <n v="18.97"/>
    <n v="9.0299999999999994"/>
    <s v="Guy Thornton"/>
    <s v="Ontario"/>
    <x v="3"/>
    <s v="Corporate"/>
    <s v="Office Supplies"/>
    <x v="12"/>
    <x v="7"/>
    <d v="2012-07-03T00:00:00"/>
    <s v="03-Jul-2012"/>
  </r>
  <r>
    <n v="55140"/>
    <d v="2010-07-04T00:00:00"/>
    <s v="Critical"/>
    <s v="04-Jul-2010"/>
    <n v="39"/>
    <n v="438.8"/>
    <n v="0.09"/>
    <s v="Regular Air"/>
    <n v="-84.19"/>
    <n v="11.7"/>
    <n v="6.96"/>
    <s v="Candace McMahon"/>
    <s v="Ontario"/>
    <x v="3"/>
    <s v="Corporate"/>
    <s v="Office Supplies"/>
    <x v="5"/>
    <x v="31"/>
    <d v="2010-07-06T00:00:00"/>
    <s v="06-Jul-2010"/>
  </r>
  <r>
    <n v="13447"/>
    <d v="2010-01-08T00:00:00"/>
    <s v="High"/>
    <s v="08-Jan-2010"/>
    <n v="24"/>
    <n v="436.48349999999999"/>
    <n v="0.01"/>
    <s v="Regular Air"/>
    <n v="0.85"/>
    <n v="20.99"/>
    <n v="4.8099999999999996"/>
    <s v="Pamela Coakley"/>
    <s v="Ontario"/>
    <x v="3"/>
    <s v="Corporate"/>
    <s v="Technology"/>
    <x v="10"/>
    <x v="15"/>
    <d v="2010-01-10T00:00:00"/>
    <s v="10-Jan-2010"/>
  </r>
  <r>
    <n v="34017"/>
    <d v="2009-03-23T00:00:00"/>
    <s v="High"/>
    <s v="23-Mar-2009"/>
    <n v="28"/>
    <n v="435.39"/>
    <n v="0.01"/>
    <s v="Regular Air"/>
    <n v="-48.97"/>
    <n v="14.98"/>
    <n v="7.69"/>
    <s v="Paul Prost"/>
    <s v="Ontario"/>
    <x v="3"/>
    <s v="Corporate"/>
    <s v="Office Supplies"/>
    <x v="4"/>
    <x v="6"/>
    <d v="2009-03-25T00:00:00"/>
    <s v="25-Mar-2009"/>
  </r>
  <r>
    <n v="8258"/>
    <d v="2009-03-01T00:00:00"/>
    <s v="High"/>
    <s v="01-Mar-2009"/>
    <n v="37"/>
    <n v="434.77"/>
    <n v="0.02"/>
    <s v="Regular Air"/>
    <n v="-155.21"/>
    <n v="11.34"/>
    <n v="11.25"/>
    <s v="James Lanier"/>
    <s v="Ontario"/>
    <x v="3"/>
    <s v="Corporate"/>
    <s v="Office Supplies"/>
    <x v="12"/>
    <x v="10"/>
    <d v="2009-03-02T00:00:00"/>
    <s v="02-Mar-2009"/>
  </r>
  <r>
    <n v="56677"/>
    <d v="2009-04-11T00:00:00"/>
    <s v="High"/>
    <s v="11-Apr-2009"/>
    <n v="35"/>
    <n v="430.55"/>
    <n v="0"/>
    <s v="Regular Air"/>
    <n v="120.01"/>
    <n v="12.22"/>
    <n v="2.85"/>
    <s v="Roy Skaria"/>
    <s v="Ontario"/>
    <x v="3"/>
    <s v="Corporate"/>
    <s v="Furniture"/>
    <x v="7"/>
    <x v="20"/>
    <d v="2009-04-12T00:00:00"/>
    <s v="12-Apr-2009"/>
  </r>
  <r>
    <n v="44612"/>
    <d v="2011-03-13T00:00:00"/>
    <s v="High"/>
    <s v="13-Mar-2011"/>
    <n v="6"/>
    <n v="428.72300000000001"/>
    <n v="0.06"/>
    <s v="Regular Air"/>
    <n v="-147.72"/>
    <n v="85.99"/>
    <n v="1.25"/>
    <s v="Dean Braden"/>
    <s v="Ontario"/>
    <x v="3"/>
    <s v="Corporate"/>
    <s v="Technology"/>
    <x v="10"/>
    <x v="4"/>
    <d v="2011-03-15T00:00:00"/>
    <s v="15-Mar-2011"/>
  </r>
  <r>
    <n v="25313"/>
    <d v="2012-08-21T00:00:00"/>
    <s v="Critical"/>
    <s v="21-Aug-2012"/>
    <n v="19"/>
    <n v="418.7"/>
    <n v="0.05"/>
    <s v="Regular Air"/>
    <n v="22.88"/>
    <n v="22.01"/>
    <n v="5.53"/>
    <s v="Karl Brown"/>
    <s v="Ontario"/>
    <x v="3"/>
    <s v="Corporate"/>
    <s v="Office Supplies"/>
    <x v="13"/>
    <x v="14"/>
    <d v="2012-08-23T00:00:00"/>
    <s v="23-Aug-2012"/>
  </r>
  <r>
    <n v="37920"/>
    <d v="2010-07-14T00:00:00"/>
    <s v="Critical"/>
    <s v="14-Jul-2010"/>
    <n v="48"/>
    <n v="414.42"/>
    <n v="0.04"/>
    <s v="Regular Air"/>
    <n v="-380.2"/>
    <n v="8.4600000000000009"/>
    <n v="8.99"/>
    <s v="Andy Reiter"/>
    <s v="Ontario"/>
    <x v="3"/>
    <s v="Corporate"/>
    <s v="Technology"/>
    <x v="11"/>
    <x v="11"/>
    <d v="2010-07-16T00:00:00"/>
    <s v="16-Jul-2010"/>
  </r>
  <r>
    <n v="28130"/>
    <d v="2009-07-30T00:00:00"/>
    <s v="Low"/>
    <s v="30-Jul-2009"/>
    <n v="23"/>
    <n v="404.24"/>
    <n v="0.02"/>
    <s v="Express Air"/>
    <n v="-76.989999999999995"/>
    <n v="15.99"/>
    <n v="13.18"/>
    <s v="Guy Thornton"/>
    <s v="Ontario"/>
    <x v="3"/>
    <s v="Corporate"/>
    <s v="Office Supplies"/>
    <x v="1"/>
    <x v="7"/>
    <d v="2009-08-03T00:00:00"/>
    <s v="03-Aug-2009"/>
  </r>
  <r>
    <n v="21859"/>
    <d v="2011-11-18T00:00:00"/>
    <s v="High"/>
    <s v="18-Nov-2011"/>
    <n v="42"/>
    <n v="401.37"/>
    <n v="7.0000000000000007E-2"/>
    <s v="Regular Air"/>
    <n v="13.31"/>
    <n v="9.74"/>
    <n v="5.71"/>
    <s v="Kalyca Meade"/>
    <s v="Ontario"/>
    <x v="3"/>
    <s v="Corporate"/>
    <s v="Furniture"/>
    <x v="7"/>
    <x v="25"/>
    <d v="2011-11-19T00:00:00"/>
    <s v="19-Nov-2011"/>
  </r>
  <r>
    <n v="49221"/>
    <d v="2010-07-03T00:00:00"/>
    <s v="Not Specified"/>
    <s v="03-Jul-2010"/>
    <n v="22"/>
    <n v="399.64"/>
    <n v="0.04"/>
    <s v="Regular Air"/>
    <n v="-15.42"/>
    <n v="17.98"/>
    <n v="8.51"/>
    <s v="Maureen Fritzler"/>
    <s v="Ontario"/>
    <x v="3"/>
    <s v="Corporate"/>
    <s v="Technology"/>
    <x v="0"/>
    <x v="27"/>
    <d v="2010-07-04T00:00:00"/>
    <s v="04-Jul-2010"/>
  </r>
  <r>
    <n v="18182"/>
    <d v="2011-04-10T00:00:00"/>
    <s v="Medium"/>
    <s v="10-Apr-2011"/>
    <n v="12"/>
    <n v="396.69"/>
    <n v="0.09"/>
    <s v="Express Air"/>
    <n v="-18.45"/>
    <n v="33.29"/>
    <n v="8.74"/>
    <s v="Anna Haberlin"/>
    <s v="Ontario"/>
    <x v="3"/>
    <s v="Corporate"/>
    <s v="Office Supplies"/>
    <x v="4"/>
    <x v="9"/>
    <d v="2011-04-12T00:00:00"/>
    <s v="12-Apr-2011"/>
  </r>
  <r>
    <n v="51140"/>
    <d v="2012-09-14T00:00:00"/>
    <s v="Low"/>
    <s v="14-Sep-2012"/>
    <n v="3"/>
    <n v="394.34"/>
    <n v="0.1"/>
    <s v="Regular Air"/>
    <n v="352.38"/>
    <n v="136.97999999999999"/>
    <n v="24.49"/>
    <s v="Sean O'Donnell"/>
    <s v="Ontario"/>
    <x v="3"/>
    <s v="Corporate"/>
    <s v="Furniture"/>
    <x v="7"/>
    <x v="14"/>
    <d v="2012-09-21T00:00:00"/>
    <s v="21-Sep-2012"/>
  </r>
  <r>
    <n v="52006"/>
    <d v="2009-06-24T00:00:00"/>
    <s v="Medium"/>
    <s v="24-Jun-2009"/>
    <n v="39"/>
    <n v="392.81"/>
    <n v="0.1"/>
    <s v="Regular Air"/>
    <n v="13.91"/>
    <n v="10.48"/>
    <n v="2.89"/>
    <s v="Carlos Meador"/>
    <s v="Ontario"/>
    <x v="3"/>
    <s v="Corporate"/>
    <s v="Office Supplies"/>
    <x v="13"/>
    <x v="18"/>
    <d v="2009-06-25T00:00:00"/>
    <s v="25-Jun-2009"/>
  </r>
  <r>
    <n v="14854"/>
    <d v="2010-04-28T00:00:00"/>
    <s v="Low"/>
    <s v="28-Apr-2010"/>
    <n v="24"/>
    <n v="391.23"/>
    <n v="7.0000000000000007E-2"/>
    <s v="Regular Air"/>
    <n v="-27.98"/>
    <n v="16.91"/>
    <n v="6.25"/>
    <s v="Robert Marley"/>
    <s v="Ontario"/>
    <x v="3"/>
    <s v="Corporate"/>
    <s v="Office Supplies"/>
    <x v="4"/>
    <x v="15"/>
    <d v="2010-05-02T00:00:00"/>
    <s v="02-May-2010"/>
  </r>
  <r>
    <n v="50566"/>
    <d v="2011-09-07T00:00:00"/>
    <s v="Not Specified"/>
    <s v="07-Sep-2011"/>
    <n v="48"/>
    <n v="389.28"/>
    <n v="0.1"/>
    <s v="Regular Air"/>
    <n v="-37.43"/>
    <n v="8.67"/>
    <n v="3.5"/>
    <s v="Dan Lawera"/>
    <s v="Ontario"/>
    <x v="3"/>
    <s v="Corporate"/>
    <s v="Office Supplies"/>
    <x v="5"/>
    <x v="15"/>
    <d v="2011-09-09T00:00:00"/>
    <s v="09-Sep-2011"/>
  </r>
  <r>
    <n v="43875"/>
    <d v="2011-12-07T00:00:00"/>
    <s v="Critical"/>
    <s v="07-Dec-2011"/>
    <n v="24"/>
    <n v="382.19"/>
    <n v="0.03"/>
    <s v="Express Air"/>
    <n v="11.39"/>
    <n v="14.42"/>
    <n v="6.75"/>
    <s v="Melanie Page"/>
    <s v="Ontario"/>
    <x v="3"/>
    <s v="Corporate"/>
    <s v="Office Supplies"/>
    <x v="5"/>
    <x v="24"/>
    <d v="2011-12-10T00:00:00"/>
    <s v="10-Dec-2011"/>
  </r>
  <r>
    <n v="802"/>
    <d v="2011-01-04T00:00:00"/>
    <s v="Critical"/>
    <s v="04-Jan-2011"/>
    <n v="33"/>
    <n v="378.6"/>
    <n v="0.08"/>
    <s v="Regular Air"/>
    <n v="12.72"/>
    <n v="11.7"/>
    <n v="5.63"/>
    <s v="Kean Nguyen"/>
    <s v="Ontario"/>
    <x v="3"/>
    <s v="Corporate"/>
    <s v="Office Supplies"/>
    <x v="1"/>
    <x v="27"/>
    <d v="2011-01-06T00:00:00"/>
    <s v="06-Jan-2011"/>
  </r>
  <r>
    <n v="31552"/>
    <d v="2012-11-11T00:00:00"/>
    <s v="High"/>
    <s v="11-Nov-2012"/>
    <n v="17"/>
    <n v="378.08"/>
    <n v="0"/>
    <s v="Regular Air"/>
    <n v="70.48"/>
    <n v="22.24"/>
    <n v="1.99"/>
    <s v="Alan Hwang"/>
    <s v="Ontario"/>
    <x v="3"/>
    <s v="Corporate"/>
    <s v="Technology"/>
    <x v="11"/>
    <x v="21"/>
    <d v="2012-11-14T00:00:00"/>
    <s v="14-Nov-2012"/>
  </r>
  <r>
    <n v="43399"/>
    <d v="2009-07-30T00:00:00"/>
    <s v="High"/>
    <s v="30-Jul-2009"/>
    <n v="2"/>
    <n v="377.01600000000002"/>
    <n v="0.1"/>
    <s v="Delivery Truck"/>
    <n v="-201.28"/>
    <n v="218.75"/>
    <n v="69.64"/>
    <s v="Cari MacIntyre"/>
    <s v="Ontario"/>
    <x v="3"/>
    <s v="Corporate"/>
    <s v="Furniture"/>
    <x v="3"/>
    <x v="36"/>
    <d v="2009-08-01T00:00:00"/>
    <s v="01-Aug-2009"/>
  </r>
  <r>
    <n v="32803"/>
    <d v="2011-12-16T00:00:00"/>
    <s v="Medium"/>
    <s v="16-Dec-2011"/>
    <n v="49"/>
    <n v="371.95"/>
    <n v="0.08"/>
    <s v="Express Air"/>
    <n v="-10.33"/>
    <n v="7.84"/>
    <n v="4.71"/>
    <s v="James Lanier"/>
    <s v="Ontario"/>
    <x v="3"/>
    <s v="Corporate"/>
    <s v="Office Supplies"/>
    <x v="1"/>
    <x v="2"/>
    <d v="2011-12-17T00:00:00"/>
    <s v="17-Dec-2011"/>
  </r>
  <r>
    <n v="41059"/>
    <d v="2010-09-14T00:00:00"/>
    <s v="Medium"/>
    <s v="14-Sep-2010"/>
    <n v="26"/>
    <n v="363.16"/>
    <n v="0.08"/>
    <s v="Express Air"/>
    <n v="3.92"/>
    <n v="14.27"/>
    <n v="7.27"/>
    <s v="Lycoris Saunders"/>
    <s v="Ontario"/>
    <x v="3"/>
    <s v="Corporate"/>
    <s v="Office Supplies"/>
    <x v="1"/>
    <x v="1"/>
    <d v="2010-09-14T00:00:00"/>
    <s v="14-Sep-2010"/>
  </r>
  <r>
    <n v="32036"/>
    <d v="2011-10-05T00:00:00"/>
    <s v="Medium"/>
    <s v="05-Oct-2011"/>
    <n v="25"/>
    <n v="362.52"/>
    <n v="7.0000000000000007E-2"/>
    <s v="Regular Air"/>
    <n v="-68.489999999999995"/>
    <n v="14.97"/>
    <n v="7.51"/>
    <s v="Pauline Chand"/>
    <s v="Ontario"/>
    <x v="3"/>
    <s v="Corporate"/>
    <s v="Office Supplies"/>
    <x v="4"/>
    <x v="6"/>
    <d v="2011-10-06T00:00:00"/>
    <s v="06-Oct-2011"/>
  </r>
  <r>
    <n v="12452"/>
    <d v="2010-12-07T00:00:00"/>
    <s v="Medium"/>
    <s v="07-Dec-2010"/>
    <n v="1"/>
    <n v="356.95"/>
    <n v="0.08"/>
    <s v="Regular Air"/>
    <n v="-228.24"/>
    <n v="387.99"/>
    <n v="19.989999999999998"/>
    <s v="Bill Donatelli"/>
    <s v="Ontario"/>
    <x v="3"/>
    <s v="Corporate"/>
    <s v="Office Supplies"/>
    <x v="1"/>
    <x v="1"/>
    <d v="2010-12-08T00:00:00"/>
    <s v="08-Dec-2010"/>
  </r>
  <r>
    <n v="449"/>
    <d v="2011-07-19T00:00:00"/>
    <s v="High"/>
    <s v="19-Jul-2011"/>
    <n v="45"/>
    <n v="356.7"/>
    <n v="0.02"/>
    <s v="Regular Air"/>
    <n v="-48.97"/>
    <n v="7.38"/>
    <n v="5.21"/>
    <s v="Candace McMahon"/>
    <s v="Ontario"/>
    <x v="3"/>
    <s v="Corporate"/>
    <s v="Furniture"/>
    <x v="7"/>
    <x v="0"/>
    <d v="2011-07-21T00:00:00"/>
    <s v="21-Jul-2011"/>
  </r>
  <r>
    <n v="15170"/>
    <d v="2009-03-18T00:00:00"/>
    <s v="Critical"/>
    <s v="18-Mar-2009"/>
    <n v="19"/>
    <n v="356.46449999999999"/>
    <n v="0.01"/>
    <s v="Regular Air"/>
    <n v="-9.11"/>
    <n v="20.99"/>
    <n v="4.8099999999999996"/>
    <s v="Thomas Boland"/>
    <s v="Ontario"/>
    <x v="3"/>
    <s v="Corporate"/>
    <s v="Technology"/>
    <x v="10"/>
    <x v="15"/>
    <d v="2009-03-18T00:00:00"/>
    <s v="18-Mar-2009"/>
  </r>
  <r>
    <n v="2755"/>
    <d v="2012-02-06T00:00:00"/>
    <s v="Not Specified"/>
    <s v="06-Feb-2012"/>
    <n v="50"/>
    <n v="346.06"/>
    <n v="0"/>
    <s v="Regular Air"/>
    <n v="-76.540000000000006"/>
    <n v="6.48"/>
    <n v="5.86"/>
    <s v="Jane Waco"/>
    <s v="Ontario"/>
    <x v="3"/>
    <s v="Corporate"/>
    <s v="Office Supplies"/>
    <x v="12"/>
    <x v="10"/>
    <d v="2012-02-06T00:00:00"/>
    <s v="06-Feb-2012"/>
  </r>
  <r>
    <n v="42851"/>
    <d v="2009-06-01T00:00:00"/>
    <s v="High"/>
    <s v="01-Jun-2009"/>
    <n v="7"/>
    <n v="344.30099999999999"/>
    <n v="0.04"/>
    <s v="Express Air"/>
    <n v="-22.9"/>
    <n v="55.99"/>
    <n v="1.25"/>
    <s v="Robert Marley"/>
    <s v="Ontario"/>
    <x v="3"/>
    <s v="Corporate"/>
    <s v="Technology"/>
    <x v="10"/>
    <x v="2"/>
    <d v="2009-06-02T00:00:00"/>
    <s v="02-Jun-2009"/>
  </r>
  <r>
    <n v="1057"/>
    <d v="2012-02-19T00:00:00"/>
    <s v="Critical"/>
    <s v="19-Feb-2012"/>
    <n v="41"/>
    <n v="341.36"/>
    <n v="0.09"/>
    <s v="Regular Air"/>
    <n v="-52.48"/>
    <n v="8.4600000000000009"/>
    <n v="3.62"/>
    <s v="Anthony Witt"/>
    <s v="Ontario"/>
    <x v="3"/>
    <s v="Corporate"/>
    <s v="Technology"/>
    <x v="11"/>
    <x v="9"/>
    <d v="2012-02-21T00:00:00"/>
    <s v="21-Feb-2012"/>
  </r>
  <r>
    <n v="18528"/>
    <d v="2011-04-30T00:00:00"/>
    <s v="Critical"/>
    <s v="30-Apr-2011"/>
    <n v="33"/>
    <n v="340.97"/>
    <n v="7.0000000000000007E-2"/>
    <s v="Regular Air"/>
    <n v="-22.82"/>
    <n v="10.98"/>
    <n v="3.99"/>
    <s v="Jas O'Carroll"/>
    <s v="Ontario"/>
    <x v="3"/>
    <s v="Corporate"/>
    <s v="Office Supplies"/>
    <x v="5"/>
    <x v="15"/>
    <d v="2011-05-01T00:00:00"/>
    <s v="01-May-2011"/>
  </r>
  <r>
    <n v="55394"/>
    <d v="2010-02-26T00:00:00"/>
    <s v="Critical"/>
    <s v="26-Feb-2010"/>
    <n v="21"/>
    <n v="340.7"/>
    <n v="0.05"/>
    <s v="Delivery Truck"/>
    <n v="11.65"/>
    <n v="15.23"/>
    <n v="27.75"/>
    <s v="Benjamin Patterson"/>
    <s v="Ontario"/>
    <x v="3"/>
    <s v="Corporate"/>
    <s v="Furniture"/>
    <x v="3"/>
    <x v="40"/>
    <d v="2010-02-28T00:00:00"/>
    <s v="28-Feb-2010"/>
  </r>
  <r>
    <n v="25863"/>
    <d v="2011-04-22T00:00:00"/>
    <s v="Not Specified"/>
    <s v="22-Apr-2011"/>
    <n v="18"/>
    <n v="340.68849999999998"/>
    <n v="0"/>
    <s v="Express Air"/>
    <n v="-10.85"/>
    <n v="20.99"/>
    <n v="4.8099999999999996"/>
    <s v="George Bell"/>
    <s v="Ontario"/>
    <x v="3"/>
    <s v="Corporate"/>
    <s v="Technology"/>
    <x v="10"/>
    <x v="15"/>
    <d v="2011-04-24T00:00:00"/>
    <s v="24-Apr-2011"/>
  </r>
  <r>
    <n v="32036"/>
    <d v="2011-10-05T00:00:00"/>
    <s v="Medium"/>
    <s v="05-Oct-2011"/>
    <n v="6"/>
    <n v="338.89"/>
    <n v="7.0000000000000007E-2"/>
    <s v="Regular Air"/>
    <n v="45.76"/>
    <n v="54.96"/>
    <n v="10.75"/>
    <s v="Pauline Chand"/>
    <s v="Ontario"/>
    <x v="3"/>
    <s v="Corporate"/>
    <s v="Office Supplies"/>
    <x v="12"/>
    <x v="10"/>
    <d v="2011-10-07T00:00:00"/>
    <s v="07-Oct-2011"/>
  </r>
  <r>
    <n v="9350"/>
    <d v="2012-10-31T00:00:00"/>
    <s v="Critical"/>
    <s v="31-Oct-2012"/>
    <n v="2"/>
    <n v="337.6"/>
    <n v="0.1"/>
    <s v="Regular Air"/>
    <n v="-210.78"/>
    <n v="172.99"/>
    <n v="19.989999999999998"/>
    <s v="Darren Budd"/>
    <s v="Ontario"/>
    <x v="3"/>
    <s v="Corporate"/>
    <s v="Furniture"/>
    <x v="7"/>
    <x v="28"/>
    <d v="2012-11-02T00:00:00"/>
    <s v="02-Nov-2012"/>
  </r>
  <r>
    <n v="58784"/>
    <d v="2009-01-18T00:00:00"/>
    <s v="Medium"/>
    <s v="18-Jan-2009"/>
    <n v="20"/>
    <n v="331.21"/>
    <n v="0.04"/>
    <s v="Express Air"/>
    <n v="-67.38"/>
    <n v="15.99"/>
    <n v="9.4"/>
    <s v="Kristen Hastings"/>
    <s v="Ontario"/>
    <x v="3"/>
    <s v="Corporate"/>
    <s v="Technology"/>
    <x v="0"/>
    <x v="19"/>
    <d v="2009-01-20T00:00:00"/>
    <s v="20-Jan-2009"/>
  </r>
  <r>
    <n v="39268"/>
    <d v="2011-04-22T00:00:00"/>
    <s v="Not Specified"/>
    <s v="22-Apr-2011"/>
    <n v="44"/>
    <n v="324.2"/>
    <n v="0.02"/>
    <s v="Express Air"/>
    <n v="-89.75"/>
    <n v="7.1"/>
    <n v="6.05"/>
    <s v="Maureen Fritzler"/>
    <s v="Ontario"/>
    <x v="3"/>
    <s v="Corporate"/>
    <s v="Office Supplies"/>
    <x v="1"/>
    <x v="4"/>
    <d v="2011-04-24T00:00:00"/>
    <s v="24-Apr-2011"/>
  </r>
  <r>
    <n v="19777"/>
    <d v="2012-10-19T00:00:00"/>
    <s v="Not Specified"/>
    <s v="19-Oct-2012"/>
    <n v="22"/>
    <n v="321.91000000000003"/>
    <n v="0.06"/>
    <s v="Regular Air"/>
    <n v="-24.96"/>
    <n v="15.01"/>
    <n v="8.4"/>
    <s v="Pauline Chand"/>
    <s v="Ontario"/>
    <x v="3"/>
    <s v="Corporate"/>
    <s v="Office Supplies"/>
    <x v="1"/>
    <x v="4"/>
    <d v="2012-10-19T00:00:00"/>
    <s v="19-Oct-2012"/>
  </r>
  <r>
    <n v="2373"/>
    <d v="2009-03-11T00:00:00"/>
    <s v="Not Specified"/>
    <s v="11-Mar-2009"/>
    <n v="36"/>
    <n v="317.58999999999997"/>
    <n v="0.06"/>
    <s v="Regular Air"/>
    <n v="-46.12"/>
    <n v="8.6"/>
    <n v="6.19"/>
    <s v="Craig Carroll"/>
    <s v="Ontario"/>
    <x v="3"/>
    <s v="Corporate"/>
    <s v="Office Supplies"/>
    <x v="1"/>
    <x v="1"/>
    <d v="2009-03-12T00:00:00"/>
    <s v="12-Mar-2009"/>
  </r>
  <r>
    <n v="3973"/>
    <d v="2012-03-23T00:00:00"/>
    <s v="Not Specified"/>
    <s v="23-Mar-2012"/>
    <n v="21"/>
    <n v="316.35000000000002"/>
    <n v="0.06"/>
    <s v="Regular Air"/>
    <n v="117.91"/>
    <n v="15.68"/>
    <n v="3.73"/>
    <s v="Bobby Odegard"/>
    <s v="Ontario"/>
    <x v="3"/>
    <s v="Corporate"/>
    <s v="Furniture"/>
    <x v="7"/>
    <x v="29"/>
    <d v="2012-03-25T00:00:00"/>
    <s v="25-Mar-2012"/>
  </r>
  <r>
    <n v="57447"/>
    <d v="2011-07-04T00:00:00"/>
    <s v="Not Specified"/>
    <s v="04-Jul-2011"/>
    <n v="39"/>
    <n v="315.88"/>
    <n v="0.09"/>
    <s v="Regular Air"/>
    <n v="-60.4"/>
    <n v="8.4600000000000009"/>
    <n v="3.62"/>
    <s v="Grant Carroll"/>
    <s v="Ontario"/>
    <x v="3"/>
    <s v="Corporate"/>
    <s v="Technology"/>
    <x v="11"/>
    <x v="9"/>
    <d v="2011-07-04T00:00:00"/>
    <s v="04-Jul-2011"/>
  </r>
  <r>
    <n v="56992"/>
    <d v="2010-04-18T00:00:00"/>
    <s v="Not Specified"/>
    <s v="18-Apr-2010"/>
    <n v="10"/>
    <n v="315.42"/>
    <n v="0.1"/>
    <s v="Regular Air"/>
    <n v="-41.26"/>
    <n v="30.98"/>
    <n v="17.079999999999998"/>
    <s v="Maria Zettner"/>
    <s v="Ontario"/>
    <x v="3"/>
    <s v="Corporate"/>
    <s v="Office Supplies"/>
    <x v="12"/>
    <x v="27"/>
    <d v="2010-04-18T00:00:00"/>
    <s v="18-Apr-2010"/>
  </r>
  <r>
    <n v="30054"/>
    <d v="2012-09-01T00:00:00"/>
    <s v="Not Specified"/>
    <s v="01-Sep-2012"/>
    <n v="33"/>
    <n v="311.19"/>
    <n v="0.03"/>
    <s v="Regular Air"/>
    <n v="-9.18"/>
    <n v="9.3800000000000008"/>
    <n v="4.93"/>
    <s v="Alejandro Grove"/>
    <s v="Ontario"/>
    <x v="3"/>
    <s v="Corporate"/>
    <s v="Furniture"/>
    <x v="7"/>
    <x v="6"/>
    <d v="2012-09-03T00:00:00"/>
    <s v="03-Sep-2012"/>
  </r>
  <r>
    <n v="6432"/>
    <d v="2011-11-10T00:00:00"/>
    <s v="Critical"/>
    <s v="10-Nov-2011"/>
    <n v="30"/>
    <n v="311.08"/>
    <n v="0.08"/>
    <s v="Regular Air"/>
    <n v="-38.450000000000003"/>
    <n v="10.89"/>
    <n v="4.5"/>
    <s v="Lena Creighton"/>
    <s v="Ontario"/>
    <x v="3"/>
    <s v="Corporate"/>
    <s v="Office Supplies"/>
    <x v="5"/>
    <x v="14"/>
    <d v="2011-11-12T00:00:00"/>
    <s v="12-Nov-2011"/>
  </r>
  <r>
    <n v="8480"/>
    <d v="2011-01-29T00:00:00"/>
    <s v="High"/>
    <s v="29-Jan-2011"/>
    <n v="3"/>
    <n v="309.9015"/>
    <n v="0.09"/>
    <s v="Regular Air"/>
    <n v="-558.41999999999996"/>
    <n v="125.99"/>
    <n v="7.69"/>
    <s v="Robert Marley"/>
    <s v="Ontario"/>
    <x v="3"/>
    <s v="Corporate"/>
    <s v="Technology"/>
    <x v="10"/>
    <x v="15"/>
    <d v="2011-01-31T00:00:00"/>
    <s v="31-Jan-2011"/>
  </r>
  <r>
    <n v="47303"/>
    <d v="2011-12-05T00:00:00"/>
    <s v="Medium"/>
    <s v="05-Dec-2011"/>
    <n v="45"/>
    <n v="308.92"/>
    <n v="0.04"/>
    <s v="Express Air"/>
    <n v="-143.58000000000001"/>
    <n v="6.48"/>
    <n v="7.37"/>
    <s v="Xylona Price"/>
    <s v="Ontario"/>
    <x v="3"/>
    <s v="Corporate"/>
    <s v="Office Supplies"/>
    <x v="12"/>
    <x v="7"/>
    <d v="2011-12-07T00:00:00"/>
    <s v="07-Dec-2011"/>
  </r>
  <r>
    <n v="50051"/>
    <d v="2009-10-04T00:00:00"/>
    <s v="Medium"/>
    <s v="04-Oct-2009"/>
    <n v="15"/>
    <n v="308.64"/>
    <n v="0.03"/>
    <s v="Express Air"/>
    <n v="91.08"/>
    <n v="19.04"/>
    <n v="6.38"/>
    <s v="Jas O'Carroll"/>
    <s v="Ontario"/>
    <x v="3"/>
    <s v="Corporate"/>
    <s v="Furniture"/>
    <x v="7"/>
    <x v="0"/>
    <d v="2009-10-04T00:00:00"/>
    <s v="04-Oct-2009"/>
  </r>
  <r>
    <n v="11111"/>
    <d v="2011-01-17T00:00:00"/>
    <s v="Medium"/>
    <s v="17-Jan-2011"/>
    <n v="7"/>
    <n v="308.52"/>
    <n v="0.1"/>
    <s v="Regular Air"/>
    <n v="-59.85"/>
    <n v="41.47"/>
    <n v="34.200000000000003"/>
    <s v="Guy Phonely"/>
    <s v="Ontario"/>
    <x v="3"/>
    <s v="Corporate"/>
    <s v="Furniture"/>
    <x v="7"/>
    <x v="33"/>
    <d v="2011-01-19T00:00:00"/>
    <s v="19-Jan-2011"/>
  </r>
  <r>
    <n v="36999"/>
    <d v="2009-12-12T00:00:00"/>
    <s v="Medium"/>
    <s v="12-Dec-2009"/>
    <n v="3"/>
    <n v="306.62049999999999"/>
    <n v="0.08"/>
    <s v="Express Air"/>
    <n v="-479.08"/>
    <n v="115.99"/>
    <n v="5.99"/>
    <s v="Cari MacIntyre"/>
    <s v="Ontario"/>
    <x v="3"/>
    <s v="Corporate"/>
    <s v="Technology"/>
    <x v="10"/>
    <x v="6"/>
    <d v="2009-12-13T00:00:00"/>
    <s v="13-Dec-2009"/>
  </r>
  <r>
    <n v="20486"/>
    <d v="2011-03-05T00:00:00"/>
    <s v="High"/>
    <s v="05-Mar-2011"/>
    <n v="34"/>
    <n v="306.3"/>
    <n v="7.0000000000000007E-2"/>
    <s v="Regular Air"/>
    <n v="18.73"/>
    <n v="9.27"/>
    <n v="4.3899999999999997"/>
    <s v="Alejandro Grove"/>
    <s v="Ontario"/>
    <x v="3"/>
    <s v="Corporate"/>
    <s v="Office Supplies"/>
    <x v="12"/>
    <x v="1"/>
    <d v="2011-03-06T00:00:00"/>
    <s v="06-Mar-2011"/>
  </r>
  <r>
    <n v="22849"/>
    <d v="2011-02-14T00:00:00"/>
    <s v="Not Specified"/>
    <s v="14-Feb-2011"/>
    <n v="27"/>
    <n v="304.98"/>
    <n v="0.08"/>
    <s v="Regular Air"/>
    <n v="2.73"/>
    <n v="11.7"/>
    <n v="5.63"/>
    <s v="Erin Creighton"/>
    <s v="Ontario"/>
    <x v="3"/>
    <s v="Corporate"/>
    <s v="Office Supplies"/>
    <x v="1"/>
    <x v="27"/>
    <d v="2011-02-15T00:00:00"/>
    <s v="15-Feb-2011"/>
  </r>
  <r>
    <n v="1600"/>
    <d v="2010-03-02T00:00:00"/>
    <s v="Medium"/>
    <s v="02-Mar-2010"/>
    <n v="32"/>
    <n v="303.58999999999997"/>
    <n v="0.1"/>
    <s v="Regular Air"/>
    <n v="-45.99"/>
    <n v="9.65"/>
    <n v="6.22"/>
    <s v="Liz MacKendrick"/>
    <s v="Ontario"/>
    <x v="3"/>
    <s v="Corporate"/>
    <s v="Furniture"/>
    <x v="7"/>
    <x v="20"/>
    <d v="2010-03-04T00:00:00"/>
    <s v="04-Mar-2010"/>
  </r>
  <r>
    <n v="41504"/>
    <d v="2012-10-28T00:00:00"/>
    <s v="Critical"/>
    <s v="28-Oct-2012"/>
    <n v="20"/>
    <n v="302.94"/>
    <n v="7.0000000000000007E-2"/>
    <s v="Regular Air"/>
    <n v="-30.2"/>
    <n v="15.51"/>
    <n v="5.8"/>
    <s v="Paul Knutson"/>
    <s v="Ontario"/>
    <x v="3"/>
    <s v="Corporate"/>
    <s v="Office Supplies"/>
    <x v="4"/>
    <x v="18"/>
    <d v="2012-10-30T00:00:00"/>
    <s v="30-Oct-2012"/>
  </r>
  <r>
    <n v="29894"/>
    <d v="2010-09-07T00:00:00"/>
    <s v="Low"/>
    <s v="07-Sep-2010"/>
    <n v="48"/>
    <n v="301.62"/>
    <n v="0.09"/>
    <s v="Regular Air"/>
    <n v="-162.54"/>
    <n v="6.68"/>
    <n v="6.92"/>
    <s v="Matt Connell"/>
    <s v="Ontario"/>
    <x v="3"/>
    <s v="Corporate"/>
    <s v="Office Supplies"/>
    <x v="12"/>
    <x v="7"/>
    <d v="2010-09-16T00:00:00"/>
    <s v="16-Sep-2010"/>
  </r>
  <r>
    <n v="37440"/>
    <d v="2010-06-23T00:00:00"/>
    <s v="Not Specified"/>
    <s v="23-Jun-2010"/>
    <n v="31"/>
    <n v="295.45"/>
    <n v="0.03"/>
    <s v="Regular Air"/>
    <n v="-4.3600000000000003"/>
    <n v="9.3800000000000008"/>
    <n v="4.93"/>
    <s v="Rick Wilson"/>
    <s v="Ontario"/>
    <x v="3"/>
    <s v="Corporate"/>
    <s v="Furniture"/>
    <x v="7"/>
    <x v="6"/>
    <d v="2010-06-25T00:00:00"/>
    <s v="25-Jun-2010"/>
  </r>
  <r>
    <n v="25056"/>
    <d v="2010-09-21T00:00:00"/>
    <s v="Not Specified"/>
    <s v="21-Sep-2010"/>
    <n v="41"/>
    <n v="295.12"/>
    <n v="0"/>
    <s v="Regular Air"/>
    <n v="-151.93"/>
    <n v="6.48"/>
    <n v="8.19"/>
    <s v="Phillip Breyer"/>
    <s v="Ontario"/>
    <x v="3"/>
    <s v="Corporate"/>
    <s v="Office Supplies"/>
    <x v="12"/>
    <x v="7"/>
    <d v="2010-09-23T00:00:00"/>
    <s v="23-Sep-2010"/>
  </r>
  <r>
    <n v="5572"/>
    <d v="2009-07-16T00:00:00"/>
    <s v="High"/>
    <s v="16-Jul-2009"/>
    <n v="37"/>
    <n v="288.55"/>
    <n v="0.03"/>
    <s v="Regular Air"/>
    <n v="-133.69999999999999"/>
    <n v="7.37"/>
    <n v="5.53"/>
    <s v="Anna Gayman"/>
    <s v="Ontario"/>
    <x v="3"/>
    <s v="Corporate"/>
    <s v="Technology"/>
    <x v="11"/>
    <x v="39"/>
    <d v="2009-07-18T00:00:00"/>
    <s v="18-Jul-2009"/>
  </r>
  <r>
    <n v="4965"/>
    <d v="2010-10-20T00:00:00"/>
    <s v="Low"/>
    <s v="20-Oct-2010"/>
    <n v="46"/>
    <n v="287.13"/>
    <n v="0"/>
    <s v="Regular Air"/>
    <n v="-186.31"/>
    <n v="5.78"/>
    <n v="7.96"/>
    <s v="Paul Lucas"/>
    <s v="Ontario"/>
    <x v="3"/>
    <s v="Corporate"/>
    <s v="Office Supplies"/>
    <x v="12"/>
    <x v="10"/>
    <d v="2010-10-25T00:00:00"/>
    <s v="25-Oct-2010"/>
  </r>
  <r>
    <n v="45542"/>
    <d v="2010-02-07T00:00:00"/>
    <s v="High"/>
    <s v="07-Feb-2010"/>
    <n v="37"/>
    <n v="281.79000000000002"/>
    <n v="0.04"/>
    <s v="Express Air"/>
    <n v="-50.96"/>
    <n v="7.64"/>
    <n v="5.83"/>
    <s v="Robert Marley"/>
    <s v="Ontario"/>
    <x v="3"/>
    <s v="Corporate"/>
    <s v="Office Supplies"/>
    <x v="12"/>
    <x v="10"/>
    <d v="2010-02-10T00:00:00"/>
    <s v="10-Feb-2010"/>
  </r>
  <r>
    <n v="12261"/>
    <d v="2010-10-23T00:00:00"/>
    <s v="Low"/>
    <s v="23-Oct-2010"/>
    <n v="19"/>
    <n v="281.74"/>
    <n v="0.06"/>
    <s v="Regular Air"/>
    <n v="25.67"/>
    <n v="14.56"/>
    <n v="3.5"/>
    <s v="Ritsa Hightower"/>
    <s v="Ontario"/>
    <x v="3"/>
    <s v="Corporate"/>
    <s v="Office Supplies"/>
    <x v="5"/>
    <x v="15"/>
    <d v="2010-10-28T00:00:00"/>
    <s v="28-Oct-2010"/>
  </r>
  <r>
    <n v="20134"/>
    <d v="2011-03-12T00:00:00"/>
    <s v="Low"/>
    <s v="12-Mar-2011"/>
    <n v="47"/>
    <n v="281.47000000000003"/>
    <n v="0.1"/>
    <s v="Regular Air"/>
    <n v="-190.57"/>
    <n v="6.48"/>
    <n v="7.37"/>
    <s v="James Lanier"/>
    <s v="Ontario"/>
    <x v="3"/>
    <s v="Corporate"/>
    <s v="Office Supplies"/>
    <x v="12"/>
    <x v="7"/>
    <d v="2011-03-19T00:00:00"/>
    <s v="19-Mar-2011"/>
  </r>
  <r>
    <n v="46884"/>
    <d v="2009-01-17T00:00:00"/>
    <s v="Medium"/>
    <s v="17-Jan-2009"/>
    <n v="25"/>
    <n v="280.43"/>
    <n v="0.1"/>
    <s v="Regular Air"/>
    <n v="39.520000000000003"/>
    <n v="11.55"/>
    <n v="2.36"/>
    <s v="Paul Prost"/>
    <s v="Ontario"/>
    <x v="3"/>
    <s v="Corporate"/>
    <s v="Office Supplies"/>
    <x v="13"/>
    <x v="20"/>
    <d v="2009-01-18T00:00:00"/>
    <s v="18-Jan-2009"/>
  </r>
  <r>
    <n v="19394"/>
    <d v="2012-12-25T00:00:00"/>
    <s v="Medium"/>
    <s v="25-Dec-2012"/>
    <n v="16"/>
    <n v="279.327"/>
    <n v="0.05"/>
    <s v="Regular Air"/>
    <n v="75.209999999999994"/>
    <n v="20.99"/>
    <n v="0.99"/>
    <s v="Darren Powers"/>
    <s v="Ontario"/>
    <x v="3"/>
    <s v="Corporate"/>
    <s v="Technology"/>
    <x v="10"/>
    <x v="7"/>
    <d v="2012-12-26T00:00:00"/>
    <s v="26-Dec-2012"/>
  </r>
  <r>
    <n v="49221"/>
    <d v="2010-07-03T00:00:00"/>
    <s v="Not Specified"/>
    <s v="03-Jul-2010"/>
    <n v="41"/>
    <n v="277.35000000000002"/>
    <n v="0.02"/>
    <s v="Regular Air"/>
    <n v="-103.28"/>
    <n v="6.48"/>
    <n v="6.57"/>
    <s v="Maureen Fritzler"/>
    <s v="Ontario"/>
    <x v="3"/>
    <s v="Corporate"/>
    <s v="Office Supplies"/>
    <x v="12"/>
    <x v="7"/>
    <d v="2010-07-04T00:00:00"/>
    <s v="04-Jul-2010"/>
  </r>
  <r>
    <n v="11233"/>
    <d v="2011-08-30T00:00:00"/>
    <s v="Not Specified"/>
    <s v="30-Aug-2011"/>
    <n v="25"/>
    <n v="276.5"/>
    <n v="0.02"/>
    <s v="Regular Air"/>
    <n v="35.72"/>
    <n v="10.98"/>
    <n v="4.8"/>
    <s v="Kalyca Meade"/>
    <s v="Ontario"/>
    <x v="3"/>
    <s v="Corporate"/>
    <s v="Office Supplies"/>
    <x v="15"/>
    <x v="10"/>
    <d v="2011-09-01T00:00:00"/>
    <s v="01-Sep-2011"/>
  </r>
  <r>
    <n v="36416"/>
    <d v="2009-11-30T00:00:00"/>
    <s v="Low"/>
    <s v="30-Nov-2009"/>
    <n v="44"/>
    <n v="276"/>
    <n v="0.08"/>
    <s v="Regular Air"/>
    <n v="-98.53"/>
    <n v="6.48"/>
    <n v="5.82"/>
    <s v="Sean O'Donnell"/>
    <s v="Ontario"/>
    <x v="3"/>
    <s v="Corporate"/>
    <s v="Office Supplies"/>
    <x v="12"/>
    <x v="7"/>
    <d v="2009-12-04T00:00:00"/>
    <s v="04-Dec-2009"/>
  </r>
  <r>
    <n v="25157"/>
    <d v="2010-05-25T00:00:00"/>
    <s v="Not Specified"/>
    <s v="25-May-2010"/>
    <n v="47"/>
    <n v="271.77999999999997"/>
    <n v="7.0000000000000007E-2"/>
    <s v="Regular Air"/>
    <n v="52.74"/>
    <n v="5.84"/>
    <n v="1.2"/>
    <s v="Tony Molinari"/>
    <s v="Ontario"/>
    <x v="3"/>
    <s v="Corporate"/>
    <s v="Office Supplies"/>
    <x v="13"/>
    <x v="20"/>
    <d v="2010-05-26T00:00:00"/>
    <s v="26-May-2010"/>
  </r>
  <r>
    <n v="21091"/>
    <d v="2009-12-12T00:00:00"/>
    <s v="High"/>
    <s v="12-Dec-2009"/>
    <n v="32"/>
    <n v="270.73"/>
    <n v="0.1"/>
    <s v="Express Air"/>
    <n v="-54.57"/>
    <n v="8.8800000000000008"/>
    <n v="6.28"/>
    <s v="Bill Donatelli"/>
    <s v="Ontario"/>
    <x v="3"/>
    <s v="Corporate"/>
    <s v="Office Supplies"/>
    <x v="1"/>
    <x v="2"/>
    <d v="2009-12-14T00:00:00"/>
    <s v="14-Dec-2009"/>
  </r>
  <r>
    <n v="26691"/>
    <d v="2012-08-03T00:00:00"/>
    <s v="Not Specified"/>
    <s v="03-Aug-2012"/>
    <n v="37"/>
    <n v="270.43"/>
    <n v="7.0000000000000007E-2"/>
    <s v="Regular Air"/>
    <n v="-83.16"/>
    <n v="7.68"/>
    <n v="6.16"/>
    <s v="Liz Thompson"/>
    <s v="Ontario"/>
    <x v="3"/>
    <s v="Corporate"/>
    <s v="Office Supplies"/>
    <x v="1"/>
    <x v="2"/>
    <d v="2012-08-04T00:00:00"/>
    <s v="04-Aug-2012"/>
  </r>
  <r>
    <n v="14693"/>
    <d v="2011-01-09T00:00:00"/>
    <s v="Critical"/>
    <s v="09-Jan-2011"/>
    <n v="39"/>
    <n v="268.94"/>
    <n v="0.02"/>
    <s v="Regular Air"/>
    <n v="-87.52"/>
    <n v="6.48"/>
    <n v="6.41"/>
    <s v="Darren Powers"/>
    <s v="Ontario"/>
    <x v="3"/>
    <s v="Corporate"/>
    <s v="Office Supplies"/>
    <x v="12"/>
    <x v="7"/>
    <d v="2011-01-11T00:00:00"/>
    <s v="11-Jan-2011"/>
  </r>
  <r>
    <n v="33510"/>
    <d v="2011-12-02T00:00:00"/>
    <s v="High"/>
    <s v="02-Dec-2011"/>
    <n v="42"/>
    <n v="267.06"/>
    <n v="0.03"/>
    <s v="Regular Air"/>
    <n v="-96.95"/>
    <n v="6.24"/>
    <n v="5.22"/>
    <s v="Vivek Grady"/>
    <s v="Ontario"/>
    <x v="3"/>
    <s v="Corporate"/>
    <s v="Furniture"/>
    <x v="7"/>
    <x v="18"/>
    <d v="2011-12-03T00:00:00"/>
    <s v="03-Dec-2011"/>
  </r>
  <r>
    <n v="42242"/>
    <d v="2009-04-01T00:00:00"/>
    <s v="Not Specified"/>
    <s v="01-Apr-2009"/>
    <n v="23"/>
    <n v="265.31"/>
    <n v="0.09"/>
    <s v="Express Air"/>
    <n v="-33.19"/>
    <n v="11.5"/>
    <n v="7.19"/>
    <s v="Thomas Boland"/>
    <s v="Ontario"/>
    <x v="3"/>
    <s v="Corporate"/>
    <s v="Office Supplies"/>
    <x v="1"/>
    <x v="27"/>
    <d v="2009-04-02T00:00:00"/>
    <s v="02-Apr-2009"/>
  </r>
  <r>
    <n v="47168"/>
    <d v="2009-06-21T00:00:00"/>
    <s v="Not Specified"/>
    <s v="21-Jun-2009"/>
    <n v="42"/>
    <n v="262.3"/>
    <n v="0.09"/>
    <s v="Regular Air"/>
    <n v="-255.2"/>
    <n v="6.48"/>
    <n v="9.68"/>
    <s v="Corinna Mitchell"/>
    <s v="Ontario"/>
    <x v="3"/>
    <s v="Corporate"/>
    <s v="Office Supplies"/>
    <x v="12"/>
    <x v="10"/>
    <d v="2009-06-22T00:00:00"/>
    <s v="22-Jun-2009"/>
  </r>
  <r>
    <n v="32580"/>
    <d v="2011-09-15T00:00:00"/>
    <s v="High"/>
    <s v="15-Sep-2011"/>
    <n v="38"/>
    <n v="261.38"/>
    <n v="0.05"/>
    <s v="Regular Air"/>
    <n v="-172.35"/>
    <n v="6.48"/>
    <n v="8.74"/>
    <s v="Paul MacIntyre"/>
    <s v="Ontario"/>
    <x v="3"/>
    <s v="Corporate"/>
    <s v="Office Supplies"/>
    <x v="12"/>
    <x v="10"/>
    <d v="2011-09-17T00:00:00"/>
    <s v="17-Sep-2011"/>
  </r>
  <r>
    <n v="40800"/>
    <d v="2010-12-04T00:00:00"/>
    <s v="Not Specified"/>
    <s v="04-Dec-2010"/>
    <n v="41"/>
    <n v="260.31"/>
    <n v="0.05"/>
    <s v="Regular Air"/>
    <n v="-175.26"/>
    <n v="6.48"/>
    <n v="7.91"/>
    <s v="Jim Sink"/>
    <s v="Ontario"/>
    <x v="3"/>
    <s v="Corporate"/>
    <s v="Office Supplies"/>
    <x v="12"/>
    <x v="7"/>
    <d v="2010-12-04T00:00:00"/>
    <s v="04-Dec-2010"/>
  </r>
  <r>
    <n v="3585"/>
    <d v="2009-11-22T00:00:00"/>
    <s v="High"/>
    <s v="22-Nov-2009"/>
    <n v="27"/>
    <n v="259.72000000000003"/>
    <n v="7.0000000000000007E-2"/>
    <s v="Regular Air"/>
    <n v="78.05"/>
    <n v="10.06"/>
    <n v="2.06"/>
    <s v="Ann Blume"/>
    <s v="Ontario"/>
    <x v="3"/>
    <s v="Corporate"/>
    <s v="Office Supplies"/>
    <x v="12"/>
    <x v="4"/>
    <d v="2009-11-22T00:00:00"/>
    <s v="22-Nov-2009"/>
  </r>
  <r>
    <n v="7072"/>
    <d v="2012-02-04T00:00:00"/>
    <s v="Critical"/>
    <s v="04-Feb-2012"/>
    <n v="29"/>
    <n v="258.61"/>
    <n v="7.0000000000000007E-2"/>
    <s v="Regular Air"/>
    <n v="-15.96"/>
    <n v="8.85"/>
    <n v="5.6"/>
    <s v="Maureen Fritzler"/>
    <s v="Ontario"/>
    <x v="3"/>
    <s v="Corporate"/>
    <s v="Office Supplies"/>
    <x v="1"/>
    <x v="10"/>
    <d v="2012-02-04T00:00:00"/>
    <s v="04-Feb-2012"/>
  </r>
  <r>
    <n v="22181"/>
    <d v="2011-10-07T00:00:00"/>
    <s v="Low"/>
    <s v="07-Oct-2011"/>
    <n v="41"/>
    <n v="258.13"/>
    <n v="0.03"/>
    <s v="Regular Air"/>
    <n v="84.1"/>
    <n v="6.08"/>
    <n v="1.82"/>
    <s v="Alan Hwang"/>
    <s v="Ontario"/>
    <x v="3"/>
    <s v="Corporate"/>
    <s v="Office Supplies"/>
    <x v="16"/>
    <x v="2"/>
    <d v="2011-10-16T00:00:00"/>
    <s v="16-Oct-2011"/>
  </r>
  <r>
    <n v="57447"/>
    <d v="2011-07-04T00:00:00"/>
    <s v="Not Specified"/>
    <s v="04-Jul-2011"/>
    <n v="8"/>
    <n v="258.11"/>
    <n v="0.06"/>
    <s v="Regular Air"/>
    <n v="-113.6"/>
    <n v="30.98"/>
    <n v="6.5"/>
    <s v="Grant Carroll"/>
    <s v="Ontario"/>
    <x v="3"/>
    <s v="Corporate"/>
    <s v="Technology"/>
    <x v="11"/>
    <x v="11"/>
    <d v="2011-07-07T00:00:00"/>
    <s v="07-Jul-2011"/>
  </r>
  <r>
    <n v="29927"/>
    <d v="2012-11-07T00:00:00"/>
    <s v="High"/>
    <s v="07-Nov-2012"/>
    <n v="19"/>
    <n v="257.97000000000003"/>
    <n v="0.03"/>
    <s v="Regular Air"/>
    <n v="33.18"/>
    <n v="12.95"/>
    <n v="4.9800000000000004"/>
    <s v="Bruce Stewart"/>
    <s v="Ontario"/>
    <x v="3"/>
    <s v="Corporate"/>
    <s v="Office Supplies"/>
    <x v="1"/>
    <x v="27"/>
    <d v="2012-11-08T00:00:00"/>
    <s v="08-Nov-2012"/>
  </r>
  <r>
    <n v="58051"/>
    <d v="2012-03-20T00:00:00"/>
    <s v="High"/>
    <s v="20-Mar-2012"/>
    <n v="6"/>
    <n v="256.60000000000002"/>
    <n v="0"/>
    <s v="Regular Air"/>
    <n v="-106.76"/>
    <n v="39.979999999999997"/>
    <n v="7.12"/>
    <s v="Pauline Chand"/>
    <s v="Ontario"/>
    <x v="3"/>
    <s v="Corporate"/>
    <s v="Technology"/>
    <x v="11"/>
    <x v="46"/>
    <d v="2012-03-22T00:00:00"/>
    <s v="22-Mar-2012"/>
  </r>
  <r>
    <n v="38915"/>
    <d v="2009-09-17T00:00:00"/>
    <s v="Medium"/>
    <s v="17-Sep-2009"/>
    <n v="34"/>
    <n v="253.6"/>
    <n v="7.0000000000000007E-2"/>
    <s v="Regular Air"/>
    <n v="24.39"/>
    <n v="7.59"/>
    <n v="4"/>
    <s v="Ben Ferrer"/>
    <s v="Ontario"/>
    <x v="3"/>
    <s v="Corporate"/>
    <s v="Furniture"/>
    <x v="7"/>
    <x v="22"/>
    <d v="2009-09-19T00:00:00"/>
    <s v="19-Sep-2009"/>
  </r>
  <r>
    <n v="59878"/>
    <d v="2012-05-28T00:00:00"/>
    <s v="High"/>
    <s v="28-May-2012"/>
    <n v="23"/>
    <n v="249.64"/>
    <n v="0.08"/>
    <s v="Regular Air"/>
    <n v="-91.65"/>
    <n v="10.9"/>
    <n v="7.46"/>
    <s v="Ivan Gibson"/>
    <s v="Ontario"/>
    <x v="3"/>
    <s v="Corporate"/>
    <s v="Office Supplies"/>
    <x v="4"/>
    <x v="14"/>
    <d v="2012-05-29T00:00:00"/>
    <s v="29-May-2012"/>
  </r>
  <r>
    <n v="31046"/>
    <d v="2011-02-07T00:00:00"/>
    <s v="Critical"/>
    <s v="07-Feb-2011"/>
    <n v="35"/>
    <n v="248.42"/>
    <n v="0.02"/>
    <s v="Regular Air"/>
    <n v="-58.81"/>
    <n v="6.84"/>
    <n v="4.42"/>
    <s v="Erin Creighton"/>
    <s v="Ontario"/>
    <x v="3"/>
    <s v="Corporate"/>
    <s v="Office Supplies"/>
    <x v="14"/>
    <x v="15"/>
    <d v="2011-02-10T00:00:00"/>
    <s v="10-Feb-2011"/>
  </r>
  <r>
    <n v="36643"/>
    <d v="2009-02-23T00:00:00"/>
    <s v="Critical"/>
    <s v="23-Feb-2009"/>
    <n v="17"/>
    <n v="240.87"/>
    <n v="0.01"/>
    <s v="Regular Air"/>
    <n v="-36.770000000000003"/>
    <n v="13.79"/>
    <n v="8.7799999999999994"/>
    <s v="Ruben Ausman"/>
    <s v="Ontario"/>
    <x v="3"/>
    <s v="Corporate"/>
    <s v="Furniture"/>
    <x v="7"/>
    <x v="21"/>
    <d v="2009-02-25T00:00:00"/>
    <s v="25-Feb-2009"/>
  </r>
  <r>
    <n v="3136"/>
    <d v="2009-08-09T00:00:00"/>
    <s v="Not Specified"/>
    <s v="09-Aug-2009"/>
    <n v="8"/>
    <n v="238.74"/>
    <n v="0.1"/>
    <s v="Regular Air"/>
    <n v="-38.89"/>
    <n v="30.98"/>
    <n v="8.99"/>
    <s v="Paul Prost"/>
    <s v="Ontario"/>
    <x v="3"/>
    <s v="Corporate"/>
    <s v="Office Supplies"/>
    <x v="13"/>
    <x v="15"/>
    <d v="2009-08-11T00:00:00"/>
    <s v="11-Aug-2009"/>
  </r>
  <r>
    <n v="21573"/>
    <d v="2012-04-25T00:00:00"/>
    <s v="Critical"/>
    <s v="25-Apr-2012"/>
    <n v="3"/>
    <n v="234.768"/>
    <n v="0.04"/>
    <s v="Delivery Truck"/>
    <n v="54.23"/>
    <n v="70.89"/>
    <n v="89.3"/>
    <s v="Don Weiss"/>
    <s v="Ontario"/>
    <x v="3"/>
    <s v="Corporate"/>
    <s v="Furniture"/>
    <x v="3"/>
    <x v="39"/>
    <d v="2012-04-27T00:00:00"/>
    <s v="27-Apr-2012"/>
  </r>
  <r>
    <n v="19204"/>
    <d v="2009-09-18T00:00:00"/>
    <s v="Medium"/>
    <s v="18-Sep-2009"/>
    <n v="27"/>
    <n v="233.92"/>
    <n v="0.1"/>
    <s v="Regular Air"/>
    <n v="-80.75"/>
    <n v="8.75"/>
    <n v="8.5399999999999991"/>
    <s v="Linda Cazamias"/>
    <s v="Ontario"/>
    <x v="3"/>
    <s v="Corporate"/>
    <s v="Furniture"/>
    <x v="7"/>
    <x v="21"/>
    <d v="2009-09-19T00:00:00"/>
    <s v="19-Sep-2009"/>
  </r>
  <r>
    <n v="22373"/>
    <d v="2012-03-28T00:00:00"/>
    <s v="High"/>
    <s v="28-Mar-2012"/>
    <n v="26"/>
    <n v="233.03"/>
    <n v="0.05"/>
    <s v="Express Air"/>
    <n v="-86.34"/>
    <n v="8.74"/>
    <n v="8.2899999999999991"/>
    <s v="Candace McMahon"/>
    <s v="Ontario"/>
    <x v="3"/>
    <s v="Corporate"/>
    <s v="Office Supplies"/>
    <x v="15"/>
    <x v="1"/>
    <d v="2012-03-29T00:00:00"/>
    <s v="29-Mar-2012"/>
  </r>
  <r>
    <n v="35142"/>
    <d v="2010-04-22T00:00:00"/>
    <s v="Low"/>
    <s v="22-Apr-2010"/>
    <n v="11"/>
    <n v="231.27"/>
    <n v="0.03"/>
    <s v="Regular Air"/>
    <n v="89.29"/>
    <n v="20.239999999999998"/>
    <n v="6.67"/>
    <s v="Joel Jenkins"/>
    <s v="Ontario"/>
    <x v="3"/>
    <s v="Corporate"/>
    <s v="Furniture"/>
    <x v="7"/>
    <x v="19"/>
    <d v="2010-04-24T00:00:00"/>
    <s v="24-Apr-2010"/>
  </r>
  <r>
    <n v="28642"/>
    <d v="2011-01-18T00:00:00"/>
    <s v="High"/>
    <s v="18-Jan-2011"/>
    <n v="41"/>
    <n v="230.29"/>
    <n v="0"/>
    <s v="Regular Air"/>
    <n v="14.48"/>
    <n v="5.28"/>
    <n v="2.99"/>
    <s v="Pauline Chand"/>
    <s v="Ontario"/>
    <x v="3"/>
    <s v="Corporate"/>
    <s v="Office Supplies"/>
    <x v="1"/>
    <x v="7"/>
    <d v="2011-01-20T00:00:00"/>
    <s v="20-Jan-2011"/>
  </r>
  <r>
    <n v="41474"/>
    <d v="2009-04-20T00:00:00"/>
    <s v="Not Specified"/>
    <s v="20-Apr-2009"/>
    <n v="50"/>
    <n v="225.94"/>
    <n v="0.09"/>
    <s v="Regular Air"/>
    <n v="-89.13"/>
    <n v="4.7699999999999996"/>
    <n v="2.39"/>
    <s v="Matt Connell"/>
    <s v="Ontario"/>
    <x v="3"/>
    <s v="Corporate"/>
    <s v="Technology"/>
    <x v="11"/>
    <x v="13"/>
    <d v="2009-04-22T00:00:00"/>
    <s v="22-Apr-2009"/>
  </r>
  <r>
    <n v="6438"/>
    <d v="2010-05-16T00:00:00"/>
    <s v="Not Specified"/>
    <s v="16-May-2010"/>
    <n v="38"/>
    <n v="225.21"/>
    <n v="0.06"/>
    <s v="Regular Air"/>
    <n v="-66.16"/>
    <n v="5.98"/>
    <n v="5.2"/>
    <s v="Anna Haberlin"/>
    <s v="Ontario"/>
    <x v="3"/>
    <s v="Corporate"/>
    <s v="Office Supplies"/>
    <x v="12"/>
    <x v="10"/>
    <d v="2010-05-17T00:00:00"/>
    <s v="17-May-2010"/>
  </r>
  <r>
    <n v="52930"/>
    <d v="2011-11-08T00:00:00"/>
    <s v="Low"/>
    <s v="08-Nov-2011"/>
    <n v="39"/>
    <n v="225.17"/>
    <n v="0.1"/>
    <s v="Regular Air"/>
    <n v="-183.05"/>
    <n v="5.78"/>
    <n v="8.09"/>
    <s v="Sarah Foster"/>
    <s v="Ontario"/>
    <x v="3"/>
    <s v="Corporate"/>
    <s v="Office Supplies"/>
    <x v="12"/>
    <x v="10"/>
    <d v="2011-11-13T00:00:00"/>
    <s v="13-Nov-2011"/>
  </r>
  <r>
    <n v="11173"/>
    <d v="2012-03-30T00:00:00"/>
    <s v="Critical"/>
    <s v="30-Mar-2012"/>
    <n v="37"/>
    <n v="221.66"/>
    <n v="0.08"/>
    <s v="Regular Air"/>
    <n v="-95.17"/>
    <n v="5.98"/>
    <n v="3.85"/>
    <s v="Janet Molinari"/>
    <s v="Ontario"/>
    <x v="3"/>
    <s v="Corporate"/>
    <s v="Technology"/>
    <x v="11"/>
    <x v="48"/>
    <d v="2012-04-01T00:00:00"/>
    <s v="01-Apr-2012"/>
  </r>
  <r>
    <n v="29383"/>
    <d v="2011-11-18T00:00:00"/>
    <s v="Medium"/>
    <s v="18-Nov-2011"/>
    <n v="30"/>
    <n v="217.42"/>
    <n v="0.09"/>
    <s v="Regular Air"/>
    <n v="16.97"/>
    <n v="7.59"/>
    <n v="4"/>
    <s v="Jas O'Carroll"/>
    <s v="Ontario"/>
    <x v="3"/>
    <s v="Corporate"/>
    <s v="Furniture"/>
    <x v="7"/>
    <x v="22"/>
    <d v="2011-11-19T00:00:00"/>
    <s v="19-Nov-2011"/>
  </r>
  <r>
    <n v="12261"/>
    <d v="2010-10-23T00:00:00"/>
    <s v="Low"/>
    <s v="23-Oct-2010"/>
    <n v="23"/>
    <n v="217.35"/>
    <n v="0"/>
    <s v="Regular Air"/>
    <n v="-67.19"/>
    <n v="8.74"/>
    <n v="8.2899999999999991"/>
    <s v="Ritsa Hightower"/>
    <s v="Ontario"/>
    <x v="3"/>
    <s v="Corporate"/>
    <s v="Office Supplies"/>
    <x v="15"/>
    <x v="1"/>
    <d v="2010-10-30T00:00:00"/>
    <s v="30-Oct-2010"/>
  </r>
  <r>
    <n v="16103"/>
    <d v="2012-07-15T00:00:00"/>
    <s v="Not Specified"/>
    <s v="15-Jul-2012"/>
    <n v="31"/>
    <n v="217.14"/>
    <n v="0"/>
    <s v="Regular Air"/>
    <n v="-62.97"/>
    <n v="6.48"/>
    <n v="6.22"/>
    <s v="Maria Zettner"/>
    <s v="Ontario"/>
    <x v="3"/>
    <s v="Corporate"/>
    <s v="Office Supplies"/>
    <x v="12"/>
    <x v="7"/>
    <d v="2012-07-17T00:00:00"/>
    <s v="17-Jul-2012"/>
  </r>
  <r>
    <n v="22054"/>
    <d v="2010-07-29T00:00:00"/>
    <s v="Medium"/>
    <s v="29-Jul-2010"/>
    <n v="32"/>
    <n v="216.79"/>
    <n v="7.0000000000000007E-2"/>
    <s v="Regular Air"/>
    <n v="57.55"/>
    <n v="6.98"/>
    <n v="2.83"/>
    <s v="Candace McMahon"/>
    <s v="Ontario"/>
    <x v="3"/>
    <s v="Corporate"/>
    <s v="Furniture"/>
    <x v="7"/>
    <x v="7"/>
    <d v="2010-07-31T00:00:00"/>
    <s v="31-Jul-2010"/>
  </r>
  <r>
    <n v="29862"/>
    <d v="2011-06-19T00:00:00"/>
    <s v="Medium"/>
    <s v="19-Jun-2011"/>
    <n v="34"/>
    <n v="214.64"/>
    <n v="0.08"/>
    <s v="Regular Air"/>
    <n v="-76.88"/>
    <n v="6.48"/>
    <n v="5.86"/>
    <s v="Maria Zettner"/>
    <s v="Ontario"/>
    <x v="3"/>
    <s v="Corporate"/>
    <s v="Office Supplies"/>
    <x v="12"/>
    <x v="10"/>
    <d v="2011-06-21T00:00:00"/>
    <s v="21-Jun-2011"/>
  </r>
  <r>
    <n v="36807"/>
    <d v="2009-03-16T00:00:00"/>
    <s v="Medium"/>
    <s v="16-Mar-2009"/>
    <n v="14"/>
    <n v="211.88"/>
    <n v="0.1"/>
    <s v="Regular Air"/>
    <n v="78.45"/>
    <n v="15.57"/>
    <n v="1.39"/>
    <s v="Daniel Raglin"/>
    <s v="Ontario"/>
    <x v="3"/>
    <s v="Corporate"/>
    <s v="Office Supplies"/>
    <x v="15"/>
    <x v="1"/>
    <d v="2009-03-17T00:00:00"/>
    <s v="17-Mar-2009"/>
  </r>
  <r>
    <n v="12897"/>
    <d v="2011-07-18T00:00:00"/>
    <s v="Not Specified"/>
    <s v="18-Jul-2011"/>
    <n v="31"/>
    <n v="211.55"/>
    <n v="0.05"/>
    <s v="Express Air"/>
    <n v="-120.95"/>
    <n v="6.48"/>
    <n v="7.91"/>
    <s v="Edward Becker"/>
    <s v="Ontario"/>
    <x v="3"/>
    <s v="Corporate"/>
    <s v="Office Supplies"/>
    <x v="12"/>
    <x v="7"/>
    <d v="2011-07-19T00:00:00"/>
    <s v="19-Jul-2011"/>
  </r>
  <r>
    <n v="36418"/>
    <d v="2012-01-27T00:00:00"/>
    <s v="Not Specified"/>
    <s v="27-Jan-2012"/>
    <n v="33"/>
    <n v="207.92"/>
    <n v="0.08"/>
    <s v="Express Air"/>
    <n v="-124.84"/>
    <n v="6.23"/>
    <n v="6.97"/>
    <s v="Robert Marley"/>
    <s v="Ontario"/>
    <x v="3"/>
    <s v="Corporate"/>
    <s v="Office Supplies"/>
    <x v="1"/>
    <x v="10"/>
    <d v="2012-01-28T00:00:00"/>
    <s v="28-Jan-2012"/>
  </r>
  <r>
    <n v="15078"/>
    <d v="2010-11-09T00:00:00"/>
    <s v="High"/>
    <s v="09-Nov-2010"/>
    <n v="33"/>
    <n v="207.01"/>
    <n v="0.01"/>
    <s v="Regular Air"/>
    <n v="-36.9"/>
    <n v="5.78"/>
    <n v="4.96"/>
    <s v="Katherine Nockton"/>
    <s v="Ontario"/>
    <x v="3"/>
    <s v="Corporate"/>
    <s v="Office Supplies"/>
    <x v="12"/>
    <x v="10"/>
    <d v="2010-11-10T00:00:00"/>
    <s v="10-Nov-2010"/>
  </r>
  <r>
    <n v="37828"/>
    <d v="2011-04-20T00:00:00"/>
    <s v="Low"/>
    <s v="20-Apr-2011"/>
    <n v="42"/>
    <n v="206.2"/>
    <n v="0.01"/>
    <s v="Regular Air"/>
    <n v="101.14"/>
    <n v="4.91"/>
    <n v="0.5"/>
    <s v="Mike Caudle"/>
    <s v="Ontario"/>
    <x v="3"/>
    <s v="Corporate"/>
    <s v="Office Supplies"/>
    <x v="9"/>
    <x v="10"/>
    <d v="2011-04-22T00:00:00"/>
    <s v="22-Apr-2011"/>
  </r>
  <r>
    <n v="34918"/>
    <d v="2009-10-23T00:00:00"/>
    <s v="Medium"/>
    <s v="23-Oct-2009"/>
    <n v="25"/>
    <n v="200.77"/>
    <n v="0.01"/>
    <s v="Regular Air"/>
    <n v="-60.61"/>
    <n v="7.28"/>
    <n v="7.98"/>
    <s v="Amy Cox"/>
    <s v="Ontario"/>
    <x v="3"/>
    <s v="Corporate"/>
    <s v="Furniture"/>
    <x v="7"/>
    <x v="22"/>
    <d v="2009-10-25T00:00:00"/>
    <s v="25-Oct-2009"/>
  </r>
  <r>
    <n v="9478"/>
    <d v="2009-03-28T00:00:00"/>
    <s v="High"/>
    <s v="28-Mar-2009"/>
    <n v="48"/>
    <n v="199.46"/>
    <n v="0.08"/>
    <s v="Regular Air"/>
    <n v="-121.2"/>
    <n v="4.28"/>
    <n v="4.79"/>
    <s v="Philip Brown"/>
    <s v="Ontario"/>
    <x v="3"/>
    <s v="Corporate"/>
    <s v="Office Supplies"/>
    <x v="12"/>
    <x v="27"/>
    <d v="2009-03-30T00:00:00"/>
    <s v="30-Mar-2009"/>
  </r>
  <r>
    <n v="14596"/>
    <d v="2009-01-10T00:00:00"/>
    <s v="Critical"/>
    <s v="10-Jan-2009"/>
    <n v="24"/>
    <n v="199.12"/>
    <n v="0.01"/>
    <s v="Regular Air"/>
    <n v="73.33"/>
    <n v="8.34"/>
    <n v="0.96"/>
    <s v="Darren Powers"/>
    <s v="Ontario"/>
    <x v="3"/>
    <s v="Corporate"/>
    <s v="Furniture"/>
    <x v="7"/>
    <x v="21"/>
    <d v="2009-01-12T00:00:00"/>
    <s v="12-Jan-2009"/>
  </r>
  <r>
    <n v="22849"/>
    <d v="2011-02-14T00:00:00"/>
    <s v="Not Specified"/>
    <s v="14-Feb-2011"/>
    <n v="27"/>
    <n v="198.13"/>
    <n v="0.01"/>
    <s v="Regular Air"/>
    <n v="-219.92"/>
    <n v="6.98"/>
    <n v="9.69"/>
    <s v="Erin Creighton"/>
    <s v="Ontario"/>
    <x v="3"/>
    <s v="Corporate"/>
    <s v="Office Supplies"/>
    <x v="4"/>
    <x v="34"/>
    <d v="2011-02-16T00:00:00"/>
    <s v="16-Feb-2011"/>
  </r>
  <r>
    <n v="39265"/>
    <d v="2010-05-07T00:00:00"/>
    <s v="Critical"/>
    <s v="07-May-2010"/>
    <n v="47"/>
    <n v="198.08"/>
    <n v="0.02"/>
    <s v="Regular Air"/>
    <n v="32.69"/>
    <n v="4.28"/>
    <n v="0.94"/>
    <s v="Dorothy Dickinson"/>
    <s v="Ontario"/>
    <x v="3"/>
    <s v="Corporate"/>
    <s v="Office Supplies"/>
    <x v="13"/>
    <x v="0"/>
    <d v="2010-05-08T00:00:00"/>
    <s v="08-May-2010"/>
  </r>
  <r>
    <n v="53152"/>
    <d v="2009-03-05T00:00:00"/>
    <s v="Medium"/>
    <s v="05-Mar-2009"/>
    <n v="9"/>
    <n v="196.41"/>
    <n v="0.01"/>
    <s v="Regular Air"/>
    <n v="27.91"/>
    <n v="19.989999999999998"/>
    <n v="11.17"/>
    <s v="Bill Eplett"/>
    <s v="Ontario"/>
    <x v="3"/>
    <s v="Corporate"/>
    <s v="Furniture"/>
    <x v="7"/>
    <x v="18"/>
    <d v="2009-03-08T00:00:00"/>
    <s v="08-Mar-2009"/>
  </r>
  <r>
    <n v="25152"/>
    <d v="2012-10-15T00:00:00"/>
    <s v="Critical"/>
    <s v="15-Oct-2012"/>
    <n v="29"/>
    <n v="195.21"/>
    <n v="7.0000000000000007E-2"/>
    <s v="Regular Air"/>
    <n v="16.399999999999999"/>
    <n v="7.08"/>
    <n v="2.35"/>
    <s v="Matt Connell"/>
    <s v="Ontario"/>
    <x v="3"/>
    <s v="Corporate"/>
    <s v="Office Supplies"/>
    <x v="13"/>
    <x v="26"/>
    <d v="2012-10-17T00:00:00"/>
    <s v="17-Oct-2012"/>
  </r>
  <r>
    <n v="29383"/>
    <d v="2011-11-18T00:00:00"/>
    <s v="Medium"/>
    <s v="18-Nov-2011"/>
    <n v="28"/>
    <n v="195.11"/>
    <n v="0.04"/>
    <s v="Regular Air"/>
    <n v="-129.41999999999999"/>
    <n v="6.48"/>
    <n v="8.73"/>
    <s v="Jas O'Carroll"/>
    <s v="Ontario"/>
    <x v="3"/>
    <s v="Corporate"/>
    <s v="Office Supplies"/>
    <x v="12"/>
    <x v="7"/>
    <d v="2011-11-19T00:00:00"/>
    <s v="19-Nov-2011"/>
  </r>
  <r>
    <n v="52516"/>
    <d v="2012-01-05T00:00:00"/>
    <s v="High"/>
    <s v="05-Jan-2012"/>
    <n v="19"/>
    <n v="192.39"/>
    <n v="0.08"/>
    <s v="Express Air"/>
    <n v="-31.67"/>
    <n v="10.23"/>
    <n v="4.68"/>
    <s v="Scot Coram"/>
    <s v="Ontario"/>
    <x v="3"/>
    <s v="Corporate"/>
    <s v="Office Supplies"/>
    <x v="14"/>
    <x v="14"/>
    <d v="2012-01-08T00:00:00"/>
    <s v="08-Jan-2012"/>
  </r>
  <r>
    <n v="1600"/>
    <d v="2010-03-02T00:00:00"/>
    <s v="Medium"/>
    <s v="02-Mar-2010"/>
    <n v="36"/>
    <n v="191.6"/>
    <n v="0.04"/>
    <s v="Regular Air"/>
    <n v="-150.74"/>
    <n v="4.9800000000000004"/>
    <n v="7.44"/>
    <s v="Liz MacKendrick"/>
    <s v="Ontario"/>
    <x v="3"/>
    <s v="Corporate"/>
    <s v="Office Supplies"/>
    <x v="12"/>
    <x v="10"/>
    <d v="2010-03-03T00:00:00"/>
    <s v="03-Mar-2010"/>
  </r>
  <r>
    <n v="36517"/>
    <d v="2010-03-01T00:00:00"/>
    <s v="Not Specified"/>
    <s v="01-Mar-2010"/>
    <n v="9"/>
    <n v="190.1"/>
    <n v="0.06"/>
    <s v="Regular Air"/>
    <n v="-63.78"/>
    <n v="20.95"/>
    <n v="4"/>
    <s v="Katherine Nockton"/>
    <s v="Ontario"/>
    <x v="3"/>
    <s v="Corporate"/>
    <s v="Technology"/>
    <x v="11"/>
    <x v="18"/>
    <d v="2010-03-03T00:00:00"/>
    <s v="03-Mar-2010"/>
  </r>
  <r>
    <n v="13088"/>
    <d v="2010-04-22T00:00:00"/>
    <s v="Not Specified"/>
    <s v="22-Apr-2010"/>
    <n v="46"/>
    <n v="187.92"/>
    <n v="0.08"/>
    <s v="Regular Air"/>
    <n v="-2149.8000000000002"/>
    <n v="3.25"/>
    <n v="49"/>
    <s v="Ben Ferrer"/>
    <s v="Ontario"/>
    <x v="3"/>
    <s v="Corporate"/>
    <s v="Office Supplies"/>
    <x v="5"/>
    <x v="0"/>
    <d v="2010-04-24T00:00:00"/>
    <s v="24-Apr-2010"/>
  </r>
  <r>
    <n v="44864"/>
    <d v="2010-06-17T00:00:00"/>
    <s v="Low"/>
    <s v="17-Jun-2010"/>
    <n v="25"/>
    <n v="187.55"/>
    <n v="0.1"/>
    <s v="Regular Air"/>
    <n v="-171.41"/>
    <n v="7.77"/>
    <n v="9.23"/>
    <s v="Lena Creighton"/>
    <s v="Ontario"/>
    <x v="3"/>
    <s v="Corporate"/>
    <s v="Office Supplies"/>
    <x v="5"/>
    <x v="15"/>
    <d v="2010-06-24T00:00:00"/>
    <s v="24-Jun-2010"/>
  </r>
  <r>
    <n v="53024"/>
    <d v="2012-05-12T00:00:00"/>
    <s v="Not Specified"/>
    <s v="12-May-2012"/>
    <n v="9"/>
    <n v="187.13"/>
    <n v="0.09"/>
    <s v="Regular Air"/>
    <n v="12.4"/>
    <n v="20.28"/>
    <n v="14.39"/>
    <s v="Ritsa Hightower"/>
    <s v="Ontario"/>
    <x v="3"/>
    <s v="Corporate"/>
    <s v="Furniture"/>
    <x v="7"/>
    <x v="26"/>
    <d v="2012-05-13T00:00:00"/>
    <s v="13-May-2012"/>
  </r>
  <r>
    <n v="53152"/>
    <d v="2009-03-05T00:00:00"/>
    <s v="Medium"/>
    <s v="05-Mar-2009"/>
    <n v="9"/>
    <n v="186.67"/>
    <n v="0.02"/>
    <s v="Regular Air"/>
    <n v="2.06"/>
    <n v="19.98"/>
    <n v="8.68"/>
    <s v="Bill Eplett"/>
    <s v="Ontario"/>
    <x v="3"/>
    <s v="Corporate"/>
    <s v="Office Supplies"/>
    <x v="12"/>
    <x v="7"/>
    <d v="2009-03-07T00:00:00"/>
    <s v="07-Mar-2009"/>
  </r>
  <r>
    <n v="2022"/>
    <d v="2012-03-14T00:00:00"/>
    <s v="Critical"/>
    <s v="14-Mar-2012"/>
    <n v="45"/>
    <n v="186.44"/>
    <n v="0"/>
    <s v="Regular Air"/>
    <n v="-157.18"/>
    <n v="3.95"/>
    <n v="5.13"/>
    <s v="Alan Hwang"/>
    <s v="Ontario"/>
    <x v="3"/>
    <s v="Corporate"/>
    <s v="Office Supplies"/>
    <x v="5"/>
    <x v="14"/>
    <d v="2012-03-15T00:00:00"/>
    <s v="15-Mar-2012"/>
  </r>
  <r>
    <n v="53152"/>
    <d v="2009-03-05T00:00:00"/>
    <s v="Medium"/>
    <s v="05-Mar-2009"/>
    <n v="5"/>
    <n v="185.79"/>
    <n v="0.02"/>
    <s v="Regular Air"/>
    <n v="-159.68"/>
    <n v="34.979999999999997"/>
    <n v="7.53"/>
    <s v="Bill Eplett"/>
    <s v="Ontario"/>
    <x v="3"/>
    <s v="Corporate"/>
    <s v="Technology"/>
    <x v="11"/>
    <x v="40"/>
    <d v="2009-03-07T00:00:00"/>
    <s v="07-Mar-2009"/>
  </r>
  <r>
    <n v="50051"/>
    <d v="2009-10-04T00:00:00"/>
    <s v="Medium"/>
    <s v="04-Oct-2009"/>
    <n v="4"/>
    <n v="185.15"/>
    <n v="0.09"/>
    <s v="Regular Air"/>
    <n v="10.199999999999999"/>
    <n v="41.47"/>
    <n v="34.200000000000003"/>
    <s v="Jas O'Carroll"/>
    <s v="Ontario"/>
    <x v="3"/>
    <s v="Corporate"/>
    <s v="Furniture"/>
    <x v="7"/>
    <x v="33"/>
    <d v="2009-10-06T00:00:00"/>
    <s v="06-Oct-2009"/>
  </r>
  <r>
    <n v="39330"/>
    <d v="2010-07-17T00:00:00"/>
    <s v="Critical"/>
    <s v="17-Jul-2010"/>
    <n v="29"/>
    <n v="184.77"/>
    <n v="0"/>
    <s v="Express Air"/>
    <n v="-71.959999999999994"/>
    <n v="5.74"/>
    <n v="5.3"/>
    <s v="Andy Yotov"/>
    <s v="Ontario"/>
    <x v="3"/>
    <s v="Corporate"/>
    <s v="Office Supplies"/>
    <x v="14"/>
    <x v="20"/>
    <d v="2010-07-18T00:00:00"/>
    <s v="18-Jul-2010"/>
  </r>
  <r>
    <n v="25280"/>
    <d v="2011-05-21T00:00:00"/>
    <s v="Not Specified"/>
    <s v="21-May-2011"/>
    <n v="16"/>
    <n v="179.26"/>
    <n v="0.01"/>
    <s v="Regular Air"/>
    <n v="36.78"/>
    <n v="10.91"/>
    <n v="2.99"/>
    <s v="Stefania Perrino"/>
    <s v="Ontario"/>
    <x v="3"/>
    <s v="Corporate"/>
    <s v="Office Supplies"/>
    <x v="1"/>
    <x v="1"/>
    <d v="2011-05-23T00:00:00"/>
    <s v="23-May-2011"/>
  </r>
  <r>
    <n v="49125"/>
    <d v="2009-03-29T00:00:00"/>
    <s v="Not Specified"/>
    <s v="29-Mar-2009"/>
    <n v="29"/>
    <n v="177.41"/>
    <n v="0.05"/>
    <s v="Express Air"/>
    <n v="-116.05"/>
    <n v="5.78"/>
    <n v="7.64"/>
    <s v="Edward Becker"/>
    <s v="Ontario"/>
    <x v="3"/>
    <s v="Corporate"/>
    <s v="Office Supplies"/>
    <x v="12"/>
    <x v="10"/>
    <d v="2009-03-31T00:00:00"/>
    <s v="31-Mar-2009"/>
  </r>
  <r>
    <n v="11111"/>
    <d v="2011-01-17T00:00:00"/>
    <s v="Medium"/>
    <s v="17-Jan-2011"/>
    <n v="29"/>
    <n v="176.5"/>
    <n v="0.1"/>
    <s v="Regular Air"/>
    <n v="-119.72"/>
    <n v="6.48"/>
    <n v="7.37"/>
    <s v="Guy Phonely"/>
    <s v="Ontario"/>
    <x v="3"/>
    <s v="Corporate"/>
    <s v="Office Supplies"/>
    <x v="12"/>
    <x v="7"/>
    <d v="2011-01-19T00:00:00"/>
    <s v="19-Jan-2011"/>
  </r>
  <r>
    <n v="39078"/>
    <d v="2009-06-23T00:00:00"/>
    <s v="Low"/>
    <s v="23-Jun-2009"/>
    <n v="26"/>
    <n v="175.27"/>
    <n v="0.01"/>
    <s v="Regular Air"/>
    <n v="-33.67"/>
    <n v="6.48"/>
    <n v="5.14"/>
    <s v="Matt Connell"/>
    <s v="Ontario"/>
    <x v="3"/>
    <s v="Corporate"/>
    <s v="Office Supplies"/>
    <x v="12"/>
    <x v="7"/>
    <d v="2009-06-25T00:00:00"/>
    <s v="25-Jun-2009"/>
  </r>
  <r>
    <n v="38021"/>
    <d v="2009-01-21T00:00:00"/>
    <s v="Medium"/>
    <s v="21-Jan-2009"/>
    <n v="36"/>
    <n v="173.22"/>
    <n v="0.02"/>
    <s v="Regular Air"/>
    <n v="81.77"/>
    <n v="4.91"/>
    <n v="0.5"/>
    <s v="Rob Haberlin"/>
    <s v="Ontario"/>
    <x v="3"/>
    <s v="Corporate"/>
    <s v="Office Supplies"/>
    <x v="9"/>
    <x v="10"/>
    <d v="2009-01-22T00:00:00"/>
    <s v="22-Jan-2009"/>
  </r>
  <r>
    <n v="46243"/>
    <d v="2012-01-24T00:00:00"/>
    <s v="Low"/>
    <s v="24-Jan-2012"/>
    <n v="31"/>
    <n v="172.99"/>
    <n v="0.05"/>
    <s v="Regular Air"/>
    <n v="61.51"/>
    <n v="5.84"/>
    <n v="1"/>
    <s v="Maria Bertelson"/>
    <s v="Ontario"/>
    <x v="3"/>
    <s v="Corporate"/>
    <s v="Office Supplies"/>
    <x v="13"/>
    <x v="1"/>
    <d v="2012-01-31T00:00:00"/>
    <s v="31-Jan-2012"/>
  </r>
  <r>
    <n v="53984"/>
    <d v="2012-12-10T00:00:00"/>
    <s v="Medium"/>
    <s v="10-Dec-2012"/>
    <n v="23"/>
    <n v="172.9"/>
    <n v="0"/>
    <s v="Regular Air"/>
    <n v="51.43"/>
    <n v="6.88"/>
    <n v="2"/>
    <s v="Rick Wilson"/>
    <s v="Ontario"/>
    <x v="3"/>
    <s v="Corporate"/>
    <s v="Office Supplies"/>
    <x v="12"/>
    <x v="4"/>
    <d v="2012-12-11T00:00:00"/>
    <s v="11-Dec-2012"/>
  </r>
  <r>
    <n v="39492"/>
    <d v="2011-04-17T00:00:00"/>
    <s v="Not Specified"/>
    <s v="17-Apr-2011"/>
    <n v="40"/>
    <n v="169.48"/>
    <n v="0.08"/>
    <s v="Regular Air"/>
    <n v="-134.76"/>
    <n v="4.28"/>
    <n v="5.68"/>
    <s v="Jason Fortune"/>
    <s v="Ontario"/>
    <x v="3"/>
    <s v="Corporate"/>
    <s v="Office Supplies"/>
    <x v="12"/>
    <x v="27"/>
    <d v="2011-04-19T00:00:00"/>
    <s v="19-Apr-2011"/>
  </r>
  <r>
    <n v="38370"/>
    <d v="2011-04-03T00:00:00"/>
    <s v="High"/>
    <s v="03-Apr-2011"/>
    <n v="50"/>
    <n v="169.13"/>
    <n v="0"/>
    <s v="Regular Air"/>
    <n v="43.05"/>
    <n v="3.14"/>
    <n v="1.1399999999999999"/>
    <s v="Sean O'Donnell"/>
    <s v="Ontario"/>
    <x v="3"/>
    <s v="Corporate"/>
    <s v="Office Supplies"/>
    <x v="12"/>
    <x v="27"/>
    <d v="2011-04-05T00:00:00"/>
    <s v="05-Apr-2011"/>
  </r>
  <r>
    <n v="32580"/>
    <d v="2011-09-15T00:00:00"/>
    <s v="High"/>
    <s v="15-Sep-2011"/>
    <n v="23"/>
    <n v="166.8"/>
    <n v="0.03"/>
    <s v="Regular Air"/>
    <n v="44.59"/>
    <n v="7.4"/>
    <n v="1.71"/>
    <s v="Paul MacIntyre"/>
    <s v="Ontario"/>
    <x v="3"/>
    <s v="Corporate"/>
    <s v="Office Supplies"/>
    <x v="12"/>
    <x v="27"/>
    <d v="2011-09-15T00:00:00"/>
    <s v="15-Sep-2011"/>
  </r>
  <r>
    <n v="20486"/>
    <d v="2011-03-05T00:00:00"/>
    <s v="High"/>
    <s v="05-Mar-2011"/>
    <n v="42"/>
    <n v="163.98"/>
    <n v="0.01"/>
    <s v="Regular Air"/>
    <n v="55.73"/>
    <n v="3.85"/>
    <n v="0.7"/>
    <s v="Alejandro Grove"/>
    <s v="Ontario"/>
    <x v="3"/>
    <s v="Corporate"/>
    <s v="Office Supplies"/>
    <x v="13"/>
    <x v="47"/>
    <d v="2011-03-06T00:00:00"/>
    <s v="06-Mar-2011"/>
  </r>
  <r>
    <n v="35878"/>
    <d v="2010-08-13T00:00:00"/>
    <s v="Medium"/>
    <s v="13-Aug-2010"/>
    <n v="45"/>
    <n v="161.66999999999999"/>
    <n v="0.08"/>
    <s v="Regular Air"/>
    <n v="-7.71"/>
    <n v="3.6"/>
    <n v="2.2000000000000002"/>
    <s v="Cari MacIntyre"/>
    <s v="Ontario"/>
    <x v="3"/>
    <s v="Corporate"/>
    <s v="Office Supplies"/>
    <x v="12"/>
    <x v="4"/>
    <d v="2010-08-15T00:00:00"/>
    <s v="15-Aug-2010"/>
  </r>
  <r>
    <n v="58528"/>
    <d v="2010-10-27T00:00:00"/>
    <s v="Medium"/>
    <s v="27-Oct-2010"/>
    <n v="41"/>
    <n v="159.74"/>
    <n v="0.08"/>
    <s v="Express Air"/>
    <n v="-9.14"/>
    <n v="3.69"/>
    <n v="2.5"/>
    <s v="Janet Martin"/>
    <s v="Ontario"/>
    <x v="3"/>
    <s v="Corporate"/>
    <s v="Office Supplies"/>
    <x v="15"/>
    <x v="4"/>
    <d v="2010-10-28T00:00:00"/>
    <s v="28-Oct-2010"/>
  </r>
  <r>
    <n v="56995"/>
    <d v="2009-10-15T00:00:00"/>
    <s v="Medium"/>
    <s v="15-Oct-2009"/>
    <n v="27"/>
    <n v="157.57"/>
    <n v="0.08"/>
    <s v="Express Air"/>
    <n v="-57.06"/>
    <n v="5.74"/>
    <n v="5.01"/>
    <s v="Sarah Foster"/>
    <s v="Ontario"/>
    <x v="3"/>
    <s v="Corporate"/>
    <s v="Office Supplies"/>
    <x v="1"/>
    <x v="4"/>
    <d v="2009-10-17T00:00:00"/>
    <s v="17-Oct-2009"/>
  </r>
  <r>
    <n v="21922"/>
    <d v="2009-11-11T00:00:00"/>
    <s v="High"/>
    <s v="11-Nov-2009"/>
    <n v="49"/>
    <n v="157.47"/>
    <n v="0.09"/>
    <s v="Regular Air"/>
    <n v="8.07"/>
    <n v="3.28"/>
    <n v="0.98"/>
    <s v="Jason Fortune"/>
    <s v="Ontario"/>
    <x v="3"/>
    <s v="Corporate"/>
    <s v="Office Supplies"/>
    <x v="13"/>
    <x v="14"/>
    <d v="2009-11-13T00:00:00"/>
    <s v="13-Nov-2009"/>
  </r>
  <r>
    <n v="28454"/>
    <d v="2012-08-06T00:00:00"/>
    <s v="Medium"/>
    <s v="06-Aug-2012"/>
    <n v="25"/>
    <n v="157.4"/>
    <n v="7.0000000000000007E-2"/>
    <s v="Regular Air"/>
    <n v="-84"/>
    <n v="6.48"/>
    <n v="6.74"/>
    <s v="Sean O'Donnell"/>
    <s v="Ontario"/>
    <x v="3"/>
    <s v="Corporate"/>
    <s v="Office Supplies"/>
    <x v="12"/>
    <x v="7"/>
    <d v="2012-08-07T00:00:00"/>
    <s v="07-Aug-2012"/>
  </r>
  <r>
    <n v="29383"/>
    <d v="2011-11-18T00:00:00"/>
    <s v="Medium"/>
    <s v="18-Nov-2011"/>
    <n v="20"/>
    <n v="157.13"/>
    <n v="7.0000000000000007E-2"/>
    <s v="Regular Air"/>
    <n v="-46.89"/>
    <n v="8.32"/>
    <n v="2.38"/>
    <s v="Jas O'Carroll"/>
    <s v="Ontario"/>
    <x v="3"/>
    <s v="Corporate"/>
    <s v="Technology"/>
    <x v="11"/>
    <x v="37"/>
    <d v="2011-11-20T00:00:00"/>
    <s v="20-Nov-2011"/>
  </r>
  <r>
    <n v="25091"/>
    <d v="2010-02-19T00:00:00"/>
    <s v="Medium"/>
    <s v="19-Feb-2010"/>
    <n v="4"/>
    <n v="156.97"/>
    <n v="0.01"/>
    <s v="Regular Air"/>
    <n v="-25.43"/>
    <n v="34.54"/>
    <n v="14.72"/>
    <s v="Lena Creighton"/>
    <s v="Ontario"/>
    <x v="3"/>
    <s v="Corporate"/>
    <s v="Office Supplies"/>
    <x v="1"/>
    <x v="7"/>
    <d v="2010-02-22T00:00:00"/>
    <s v="22-Feb-2010"/>
  </r>
  <r>
    <n v="39268"/>
    <d v="2011-04-22T00:00:00"/>
    <s v="Not Specified"/>
    <s v="22-Apr-2011"/>
    <n v="45"/>
    <n v="156.94999999999999"/>
    <n v="0.1"/>
    <s v="Regular Air"/>
    <n v="-32.520000000000003"/>
    <n v="3.74"/>
    <n v="0.94"/>
    <s v="Maureen Fritzler"/>
    <s v="Ontario"/>
    <x v="3"/>
    <s v="Corporate"/>
    <s v="Office Supplies"/>
    <x v="16"/>
    <x v="34"/>
    <d v="2011-04-25T00:00:00"/>
    <s v="25-Apr-2011"/>
  </r>
  <r>
    <n v="10371"/>
    <d v="2009-09-16T00:00:00"/>
    <s v="High"/>
    <s v="16-Sep-2009"/>
    <n v="10"/>
    <n v="156.15"/>
    <n v="0.08"/>
    <s v="Express Air"/>
    <n v="-37.6"/>
    <n v="15.73"/>
    <n v="7.42"/>
    <s v="Melanie Page"/>
    <s v="Ontario"/>
    <x v="3"/>
    <s v="Corporate"/>
    <s v="Office Supplies"/>
    <x v="14"/>
    <x v="0"/>
    <d v="2009-09-18T00:00:00"/>
    <s v="18-Sep-2009"/>
  </r>
  <r>
    <n v="19523"/>
    <d v="2011-11-30T00:00:00"/>
    <s v="High"/>
    <s v="30-Nov-2011"/>
    <n v="44"/>
    <n v="155.78"/>
    <n v="0.04"/>
    <s v="Regular Air"/>
    <n v="-10"/>
    <n v="3.6"/>
    <n v="2.2000000000000002"/>
    <s v="Jim Sink"/>
    <s v="Ontario"/>
    <x v="3"/>
    <s v="Corporate"/>
    <s v="Office Supplies"/>
    <x v="12"/>
    <x v="4"/>
    <d v="2011-12-01T00:00:00"/>
    <s v="01-Dec-2011"/>
  </r>
  <r>
    <n v="23429"/>
    <d v="2009-03-19T00:00:00"/>
    <s v="Critical"/>
    <s v="19-Mar-2009"/>
    <n v="28"/>
    <n v="154.61000000000001"/>
    <n v="0.06"/>
    <s v="Regular Air"/>
    <n v="-82.82"/>
    <n v="5.34"/>
    <n v="5.63"/>
    <s v="Beth Thompson"/>
    <s v="Ontario"/>
    <x v="3"/>
    <s v="Corporate"/>
    <s v="Office Supplies"/>
    <x v="1"/>
    <x v="4"/>
    <d v="2009-03-19T00:00:00"/>
    <s v="19-Mar-2009"/>
  </r>
  <r>
    <n v="8835"/>
    <d v="2009-10-13T00:00:00"/>
    <s v="Critical"/>
    <s v="13-Oct-2009"/>
    <n v="12"/>
    <n v="153.44"/>
    <n v="0.05"/>
    <s v="Regular Air"/>
    <n v="-6.15"/>
    <n v="12.2"/>
    <n v="6.02"/>
    <s v="James Lanier"/>
    <s v="Ontario"/>
    <x v="3"/>
    <s v="Corporate"/>
    <s v="Furniture"/>
    <x v="7"/>
    <x v="21"/>
    <d v="2009-10-14T00:00:00"/>
    <s v="14-Oct-2009"/>
  </r>
  <r>
    <n v="8710"/>
    <d v="2009-01-04T00:00:00"/>
    <s v="Critical"/>
    <s v="04-Jan-2009"/>
    <n v="42"/>
    <n v="151.35"/>
    <n v="7.0000000000000007E-2"/>
    <s v="Express Air"/>
    <n v="8.33"/>
    <n v="3.71"/>
    <n v="1.93"/>
    <s v="Tamara Dahlen"/>
    <s v="Ontario"/>
    <x v="3"/>
    <s v="Corporate"/>
    <s v="Office Supplies"/>
    <x v="12"/>
    <x v="2"/>
    <d v="2009-01-06T00:00:00"/>
    <s v="06-Jan-2009"/>
  </r>
  <r>
    <n v="35584"/>
    <d v="2011-05-03T00:00:00"/>
    <s v="Medium"/>
    <s v="03-May-2011"/>
    <n v="15"/>
    <n v="150.33000000000001"/>
    <n v="0.08"/>
    <s v="Express Air"/>
    <n v="-98.23"/>
    <n v="9.7100000000000009"/>
    <n v="9.4499999999999993"/>
    <s v="Joel Jenkins"/>
    <s v="Ontario"/>
    <x v="3"/>
    <s v="Corporate"/>
    <s v="Office Supplies"/>
    <x v="4"/>
    <x v="18"/>
    <d v="2011-05-03T00:00:00"/>
    <s v="03-May-2011"/>
  </r>
  <r>
    <n v="29380"/>
    <d v="2009-04-27T00:00:00"/>
    <s v="Not Specified"/>
    <s v="27-Apr-2009"/>
    <n v="13"/>
    <n v="150.13"/>
    <n v="0.09"/>
    <s v="Regular Air"/>
    <n v="1.73"/>
    <n v="12.28"/>
    <n v="4.8600000000000003"/>
    <s v="Anna Gayman"/>
    <s v="Ontario"/>
    <x v="3"/>
    <s v="Corporate"/>
    <s v="Office Supplies"/>
    <x v="12"/>
    <x v="1"/>
    <d v="2009-04-28T00:00:00"/>
    <s v="28-Apr-2009"/>
  </r>
  <r>
    <n v="11808"/>
    <d v="2012-07-31T00:00:00"/>
    <s v="Not Specified"/>
    <s v="31-Jul-2012"/>
    <n v="1"/>
    <n v="148.34399999999999"/>
    <n v="0.06"/>
    <s v="Delivery Truck"/>
    <n v="25.21"/>
    <n v="150.97999999999999"/>
    <n v="39.25"/>
    <s v="Tracy Poddar"/>
    <s v="Ontario"/>
    <x v="3"/>
    <s v="Corporate"/>
    <s v="Furniture"/>
    <x v="3"/>
    <x v="16"/>
    <d v="2012-08-01T00:00:00"/>
    <s v="01-Aug-2012"/>
  </r>
  <r>
    <n v="58725"/>
    <d v="2010-05-20T00:00:00"/>
    <s v="Not Specified"/>
    <s v="20-May-2010"/>
    <n v="20"/>
    <n v="148.31"/>
    <n v="0.03"/>
    <s v="Regular Air"/>
    <n v="37.33"/>
    <n v="7.04"/>
    <n v="2.17"/>
    <s v="Joel Jenkins"/>
    <s v="Ontario"/>
    <x v="3"/>
    <s v="Corporate"/>
    <s v="Office Supplies"/>
    <x v="12"/>
    <x v="1"/>
    <d v="2010-05-21T00:00:00"/>
    <s v="21-May-2010"/>
  </r>
  <r>
    <n v="16326"/>
    <d v="2010-05-10T00:00:00"/>
    <s v="High"/>
    <s v="10-May-2010"/>
    <n v="39"/>
    <n v="147.46"/>
    <n v="0.06"/>
    <s v="Regular Air"/>
    <n v="14.13"/>
    <n v="3.71"/>
    <n v="1.93"/>
    <s v="Bill Donatelli"/>
    <s v="Ontario"/>
    <x v="3"/>
    <s v="Corporate"/>
    <s v="Office Supplies"/>
    <x v="12"/>
    <x v="2"/>
    <d v="2010-05-10T00:00:00"/>
    <s v="10-May-2010"/>
  </r>
  <r>
    <n v="21382"/>
    <d v="2012-01-12T00:00:00"/>
    <s v="Critical"/>
    <s v="12-Jan-2012"/>
    <n v="27"/>
    <n v="145.93"/>
    <n v="0"/>
    <s v="Regular Air"/>
    <n v="-113.32"/>
    <n v="4.9800000000000004"/>
    <n v="7.44"/>
    <s v="Andy Reiter"/>
    <s v="Ontario"/>
    <x v="3"/>
    <s v="Corporate"/>
    <s v="Office Supplies"/>
    <x v="12"/>
    <x v="10"/>
    <d v="2012-01-15T00:00:00"/>
    <s v="15-Jan-2012"/>
  </r>
  <r>
    <n v="3235"/>
    <d v="2011-11-14T00:00:00"/>
    <s v="Low"/>
    <s v="14-Nov-2011"/>
    <n v="31"/>
    <n v="142.97"/>
    <n v="0.1"/>
    <s v="Express Air"/>
    <n v="-12.26"/>
    <n v="4.71"/>
    <n v="0.7"/>
    <s v="James Lanier"/>
    <s v="Ontario"/>
    <x v="3"/>
    <s v="Corporate"/>
    <s v="Office Supplies"/>
    <x v="16"/>
    <x v="42"/>
    <d v="2011-11-16T00:00:00"/>
    <s v="16-Nov-2011"/>
  </r>
  <r>
    <n v="26535"/>
    <d v="2012-03-20T00:00:00"/>
    <s v="Not Specified"/>
    <s v="20-Mar-2012"/>
    <n v="33"/>
    <n v="141.69999999999999"/>
    <n v="0.02"/>
    <s v="Regular Air"/>
    <n v="-103.21"/>
    <n v="3.98"/>
    <n v="5.26"/>
    <s v="Candace McMahon"/>
    <s v="Ontario"/>
    <x v="3"/>
    <s v="Corporate"/>
    <s v="Office Supplies"/>
    <x v="1"/>
    <x v="1"/>
    <d v="2012-03-22T00:00:00"/>
    <s v="22-Mar-2012"/>
  </r>
  <r>
    <n v="42820"/>
    <d v="2010-02-16T00:00:00"/>
    <s v="Low"/>
    <s v="16-Feb-2010"/>
    <n v="27"/>
    <n v="141.56"/>
    <n v="0.1"/>
    <s v="Regular Air"/>
    <n v="-2.85"/>
    <n v="5.28"/>
    <n v="2.99"/>
    <s v="Ted Trevino"/>
    <s v="Ontario"/>
    <x v="3"/>
    <s v="Corporate"/>
    <s v="Office Supplies"/>
    <x v="1"/>
    <x v="7"/>
    <d v="2010-02-23T00:00:00"/>
    <s v="23-Feb-2010"/>
  </r>
  <r>
    <n v="12897"/>
    <d v="2011-07-18T00:00:00"/>
    <s v="Not Specified"/>
    <s v="18-Jul-2011"/>
    <n v="39"/>
    <n v="141.49"/>
    <n v="0.03"/>
    <s v="Regular Air"/>
    <n v="59.92"/>
    <n v="3.69"/>
    <n v="0.5"/>
    <s v="Edward Becker"/>
    <s v="Ontario"/>
    <x v="3"/>
    <s v="Corporate"/>
    <s v="Office Supplies"/>
    <x v="9"/>
    <x v="1"/>
    <d v="2011-07-19T00:00:00"/>
    <s v="19-Jul-2011"/>
  </r>
  <r>
    <n v="41604"/>
    <d v="2009-02-10T00:00:00"/>
    <s v="Medium"/>
    <s v="10-Feb-2009"/>
    <n v="22"/>
    <n v="138.24"/>
    <n v="0.06"/>
    <s v="Regular Air"/>
    <n v="-48.22"/>
    <n v="6.37"/>
    <n v="5.19"/>
    <s v="Edward Becker"/>
    <s v="Ontario"/>
    <x v="3"/>
    <s v="Corporate"/>
    <s v="Office Supplies"/>
    <x v="1"/>
    <x v="1"/>
    <d v="2009-02-11T00:00:00"/>
    <s v="11-Feb-2009"/>
  </r>
  <r>
    <n v="50854"/>
    <d v="2011-12-17T00:00:00"/>
    <s v="Critical"/>
    <s v="17-Dec-2011"/>
    <n v="27"/>
    <n v="137.5"/>
    <n v="7.0000000000000007E-2"/>
    <s v="Regular Air"/>
    <n v="-64.239999999999995"/>
    <n v="4.9800000000000004"/>
    <n v="4.95"/>
    <s v="Dan Lawera"/>
    <s v="Ontario"/>
    <x v="3"/>
    <s v="Corporate"/>
    <s v="Office Supplies"/>
    <x v="1"/>
    <x v="7"/>
    <d v="2011-12-17T00:00:00"/>
    <s v="17-Dec-2011"/>
  </r>
  <r>
    <n v="10470"/>
    <d v="2012-05-04T00:00:00"/>
    <s v="Low"/>
    <s v="04-May-2012"/>
    <n v="8"/>
    <n v="137.26"/>
    <n v="0.03"/>
    <s v="Regular Air"/>
    <n v="-54.61"/>
    <n v="15.99"/>
    <n v="13.18"/>
    <s v="Guy Phonely"/>
    <s v="Ontario"/>
    <x v="3"/>
    <s v="Corporate"/>
    <s v="Office Supplies"/>
    <x v="1"/>
    <x v="7"/>
    <d v="2012-05-11T00:00:00"/>
    <s v="11-May-2012"/>
  </r>
  <r>
    <n v="52930"/>
    <d v="2011-11-08T00:00:00"/>
    <s v="Low"/>
    <s v="08-Nov-2011"/>
    <n v="16"/>
    <n v="136.97999999999999"/>
    <n v="0.04"/>
    <s v="Regular Air"/>
    <n v="44.12"/>
    <n v="8.74"/>
    <n v="1.39"/>
    <s v="Sarah Foster"/>
    <s v="Ontario"/>
    <x v="3"/>
    <s v="Corporate"/>
    <s v="Office Supplies"/>
    <x v="15"/>
    <x v="1"/>
    <d v="2011-11-12T00:00:00"/>
    <s v="12-Nov-2011"/>
  </r>
  <r>
    <n v="18528"/>
    <d v="2011-04-30T00:00:00"/>
    <s v="Critical"/>
    <s v="30-Apr-2011"/>
    <n v="22"/>
    <n v="136.24"/>
    <n v="0.03"/>
    <s v="Regular Air"/>
    <n v="-96.22"/>
    <n v="5.78"/>
    <n v="7.96"/>
    <s v="Jas O'Carroll"/>
    <s v="Ontario"/>
    <x v="3"/>
    <s v="Corporate"/>
    <s v="Office Supplies"/>
    <x v="12"/>
    <x v="10"/>
    <d v="2011-05-02T00:00:00"/>
    <s v="02-May-2011"/>
  </r>
  <r>
    <n v="38466"/>
    <d v="2011-08-17T00:00:00"/>
    <s v="Critical"/>
    <s v="17-Aug-2011"/>
    <n v="22"/>
    <n v="136.18"/>
    <n v="0.08"/>
    <s v="Regular Air"/>
    <n v="-43.26"/>
    <n v="5.98"/>
    <n v="5.46"/>
    <s v="Jane Waco"/>
    <s v="Ontario"/>
    <x v="3"/>
    <s v="Corporate"/>
    <s v="Office Supplies"/>
    <x v="12"/>
    <x v="10"/>
    <d v="2011-08-18T00:00:00"/>
    <s v="18-Aug-2011"/>
  </r>
  <r>
    <n v="51713"/>
    <d v="2011-03-19T00:00:00"/>
    <s v="Not Specified"/>
    <s v="19-Mar-2011"/>
    <n v="35"/>
    <n v="133.07"/>
    <n v="0.02"/>
    <s v="Regular Air"/>
    <n v="-15.96"/>
    <n v="3.74"/>
    <n v="0.94"/>
    <s v="Bill Overfelt"/>
    <s v="Ontario"/>
    <x v="3"/>
    <s v="Corporate"/>
    <s v="Office Supplies"/>
    <x v="16"/>
    <x v="34"/>
    <d v="2011-03-20T00:00:00"/>
    <s v="20-Mar-2011"/>
  </r>
  <r>
    <n v="19777"/>
    <d v="2012-10-19T00:00:00"/>
    <s v="Not Specified"/>
    <s v="19-Oct-2012"/>
    <n v="2"/>
    <n v="132.96"/>
    <n v="0.05"/>
    <s v="Regular Air"/>
    <n v="-61.88"/>
    <n v="59.78"/>
    <n v="10.29"/>
    <s v="Pauline Chand"/>
    <s v="Ontario"/>
    <x v="3"/>
    <s v="Corporate"/>
    <s v="Office Supplies"/>
    <x v="1"/>
    <x v="4"/>
    <d v="2012-10-21T00:00:00"/>
    <s v="21-Oct-2012"/>
  </r>
  <r>
    <n v="57479"/>
    <d v="2011-03-15T00:00:00"/>
    <s v="High"/>
    <s v="15-Mar-2011"/>
    <n v="37"/>
    <n v="132.12"/>
    <n v="7.0000000000000007E-2"/>
    <s v="Regular Air"/>
    <n v="54.78"/>
    <n v="3.75"/>
    <n v="0.5"/>
    <s v="Amy Cox"/>
    <s v="Ontario"/>
    <x v="3"/>
    <s v="Corporate"/>
    <s v="Office Supplies"/>
    <x v="9"/>
    <x v="7"/>
    <d v="2011-03-16T00:00:00"/>
    <s v="16-Mar-2011"/>
  </r>
  <r>
    <n v="994"/>
    <d v="2009-04-19T00:00:00"/>
    <s v="Low"/>
    <s v="19-Apr-2009"/>
    <n v="38"/>
    <n v="132.07"/>
    <n v="0.06"/>
    <s v="Regular Air"/>
    <n v="14"/>
    <n v="3.58"/>
    <n v="1.63"/>
    <s v="Kelly Lampkin"/>
    <s v="Ontario"/>
    <x v="3"/>
    <s v="Corporate"/>
    <s v="Office Supplies"/>
    <x v="16"/>
    <x v="10"/>
    <d v="2009-04-23T00:00:00"/>
    <s v="23-Apr-2009"/>
  </r>
  <r>
    <n v="36416"/>
    <d v="2009-11-30T00:00:00"/>
    <s v="Low"/>
    <s v="30-Nov-2009"/>
    <n v="46"/>
    <n v="132.01"/>
    <n v="0.04"/>
    <s v="Regular Air"/>
    <n v="6.93"/>
    <n v="2.88"/>
    <n v="1.01"/>
    <s v="Sean O'Donnell"/>
    <s v="Ontario"/>
    <x v="3"/>
    <s v="Corporate"/>
    <s v="Office Supplies"/>
    <x v="13"/>
    <x v="20"/>
    <d v="2009-12-04T00:00:00"/>
    <s v="04-Dec-2009"/>
  </r>
  <r>
    <n v="51140"/>
    <d v="2012-09-14T00:00:00"/>
    <s v="Low"/>
    <s v="14-Sep-2012"/>
    <n v="28"/>
    <n v="132.01"/>
    <n v="0.04"/>
    <s v="Regular Air"/>
    <n v="-93.12"/>
    <n v="4.37"/>
    <n v="5.15"/>
    <s v="Sean O'Donnell"/>
    <s v="Ontario"/>
    <x v="3"/>
    <s v="Corporate"/>
    <s v="Office Supplies"/>
    <x v="5"/>
    <x v="14"/>
    <d v="2012-09-14T00:00:00"/>
    <s v="14-Sep-2012"/>
  </r>
  <r>
    <n v="38337"/>
    <d v="2010-10-31T00:00:00"/>
    <s v="Medium"/>
    <s v="31-Oct-2010"/>
    <n v="46"/>
    <n v="130.9"/>
    <n v="0.09"/>
    <s v="Regular Air"/>
    <n v="18.75"/>
    <n v="2.88"/>
    <n v="0.7"/>
    <s v="Tracy Poddar"/>
    <s v="Ontario"/>
    <x v="3"/>
    <s v="Corporate"/>
    <s v="Office Supplies"/>
    <x v="13"/>
    <x v="0"/>
    <d v="2010-11-02T00:00:00"/>
    <s v="02-Nov-2010"/>
  </r>
  <r>
    <n v="35877"/>
    <d v="2010-05-25T00:00:00"/>
    <s v="High"/>
    <s v="25-May-2010"/>
    <n v="30"/>
    <n v="129.71"/>
    <n v="0.08"/>
    <s v="Regular Air"/>
    <n v="-100.61"/>
    <n v="4.28"/>
    <n v="5.68"/>
    <s v="Erin Creighton"/>
    <s v="Ontario"/>
    <x v="3"/>
    <s v="Corporate"/>
    <s v="Office Supplies"/>
    <x v="12"/>
    <x v="27"/>
    <d v="2010-05-28T00:00:00"/>
    <s v="28-May-2010"/>
  </r>
  <r>
    <n v="41059"/>
    <d v="2010-09-14T00:00:00"/>
    <s v="Medium"/>
    <s v="14-Sep-2010"/>
    <n v="21"/>
    <n v="128.86000000000001"/>
    <n v="0"/>
    <s v="Express Air"/>
    <n v="24.53"/>
    <n v="5.84"/>
    <n v="1.2"/>
    <s v="Lycoris Saunders"/>
    <s v="Ontario"/>
    <x v="3"/>
    <s v="Corporate"/>
    <s v="Office Supplies"/>
    <x v="13"/>
    <x v="20"/>
    <d v="2010-09-16T00:00:00"/>
    <s v="16-Sep-2010"/>
  </r>
  <r>
    <n v="50758"/>
    <d v="2012-07-12T00:00:00"/>
    <s v="Medium"/>
    <s v="12-Jul-2012"/>
    <n v="17"/>
    <n v="128.5"/>
    <n v="0.02"/>
    <s v="Express Air"/>
    <n v="-44.69"/>
    <n v="6.68"/>
    <n v="6.93"/>
    <s v="Ritsa Hightower"/>
    <s v="Ontario"/>
    <x v="3"/>
    <s v="Corporate"/>
    <s v="Office Supplies"/>
    <x v="12"/>
    <x v="7"/>
    <d v="2012-07-14T00:00:00"/>
    <s v="14-Jul-2012"/>
  </r>
  <r>
    <n v="38532"/>
    <d v="2012-07-17T00:00:00"/>
    <s v="High"/>
    <s v="17-Jul-2012"/>
    <n v="44"/>
    <n v="128.22"/>
    <n v="7.0000000000000007E-2"/>
    <s v="Regular Air"/>
    <n v="16.510000000000002"/>
    <n v="2.94"/>
    <n v="0.7"/>
    <s v="Pamela Coakley"/>
    <s v="Ontario"/>
    <x v="3"/>
    <s v="Corporate"/>
    <s v="Office Supplies"/>
    <x v="13"/>
    <x v="15"/>
    <d v="2012-07-19T00:00:00"/>
    <s v="19-Jul-2012"/>
  </r>
  <r>
    <n v="28033"/>
    <d v="2010-09-14T00:00:00"/>
    <s v="High"/>
    <s v="14-Sep-2010"/>
    <n v="18"/>
    <n v="127.56"/>
    <n v="0.01"/>
    <s v="Regular Air"/>
    <n v="-57.11"/>
    <n v="6.6"/>
    <n v="4.07"/>
    <s v="Dan Lawera"/>
    <s v="Ontario"/>
    <x v="3"/>
    <s v="Corporate"/>
    <s v="Technology"/>
    <x v="11"/>
    <x v="32"/>
    <d v="2010-09-17T00:00:00"/>
    <s v="17-Sep-2010"/>
  </r>
  <r>
    <n v="1059"/>
    <d v="2009-02-26T00:00:00"/>
    <s v="Critical"/>
    <s v="26-Feb-2009"/>
    <n v="22"/>
    <n v="127.33"/>
    <n v="0.02"/>
    <s v="Regular Air"/>
    <n v="5.3"/>
    <n v="5.34"/>
    <n v="2.99"/>
    <s v="Sean O'Donnell"/>
    <s v="Ontario"/>
    <x v="3"/>
    <s v="Corporate"/>
    <s v="Office Supplies"/>
    <x v="1"/>
    <x v="1"/>
    <d v="2009-02-28T00:00:00"/>
    <s v="28-Feb-2009"/>
  </r>
  <r>
    <n v="15808"/>
    <d v="2010-12-14T00:00:00"/>
    <s v="Critical"/>
    <s v="14-Dec-2010"/>
    <n v="33"/>
    <n v="126.88"/>
    <n v="0.05"/>
    <s v="Regular Air"/>
    <n v="12.63"/>
    <n v="3.7"/>
    <n v="1.61"/>
    <s v="Bill Donatelli"/>
    <s v="Ontario"/>
    <x v="3"/>
    <s v="Corporate"/>
    <s v="Furniture"/>
    <x v="7"/>
    <x v="47"/>
    <d v="2010-12-14T00:00:00"/>
    <s v="14-Dec-2010"/>
  </r>
  <r>
    <n v="35012"/>
    <d v="2012-06-08T00:00:00"/>
    <s v="Medium"/>
    <s v="08-Jun-2012"/>
    <n v="10"/>
    <n v="126.79"/>
    <n v="0.04"/>
    <s v="Regular Air"/>
    <n v="-16.38"/>
    <n v="11.97"/>
    <n v="4.9800000000000004"/>
    <s v="Thomas Boland"/>
    <s v="Ontario"/>
    <x v="3"/>
    <s v="Corporate"/>
    <s v="Office Supplies"/>
    <x v="5"/>
    <x v="15"/>
    <d v="2012-06-08T00:00:00"/>
    <s v="08-Jun-2012"/>
  </r>
  <r>
    <n v="43399"/>
    <d v="2009-07-30T00:00:00"/>
    <s v="High"/>
    <s v="30-Jul-2009"/>
    <n v="8"/>
    <n v="124.7"/>
    <n v="0"/>
    <s v="Regular Air"/>
    <n v="31.94"/>
    <n v="15.04"/>
    <n v="1.97"/>
    <s v="Cari MacIntyre"/>
    <s v="Ontario"/>
    <x v="3"/>
    <s v="Corporate"/>
    <s v="Office Supplies"/>
    <x v="12"/>
    <x v="4"/>
    <d v="2009-08-01T00:00:00"/>
    <s v="01-Aug-2009"/>
  </r>
  <r>
    <n v="37572"/>
    <d v="2010-08-03T00:00:00"/>
    <s v="High"/>
    <s v="03-Aug-2010"/>
    <n v="22"/>
    <n v="123.95"/>
    <n v="0.01"/>
    <s v="Regular Air"/>
    <n v="2.42"/>
    <n v="5.34"/>
    <n v="2.99"/>
    <s v="Jas O'Carroll"/>
    <s v="Ontario"/>
    <x v="3"/>
    <s v="Corporate"/>
    <s v="Office Supplies"/>
    <x v="1"/>
    <x v="1"/>
    <d v="2010-08-05T00:00:00"/>
    <s v="05-Aug-2010"/>
  </r>
  <r>
    <n v="22916"/>
    <d v="2012-02-02T00:00:00"/>
    <s v="Medium"/>
    <s v="02-Feb-2012"/>
    <n v="18"/>
    <n v="122.02"/>
    <n v="0.04"/>
    <s v="Regular Air"/>
    <n v="-115"/>
    <n v="6.48"/>
    <n v="10.050000000000001"/>
    <s v="Pete Takahito"/>
    <s v="Ontario"/>
    <x v="3"/>
    <s v="Corporate"/>
    <s v="Office Supplies"/>
    <x v="12"/>
    <x v="7"/>
    <d v="2012-02-03T00:00:00"/>
    <s v="03-Feb-2012"/>
  </r>
  <r>
    <n v="27461"/>
    <d v="2010-02-26T00:00:00"/>
    <s v="Critical"/>
    <s v="26-Feb-2010"/>
    <n v="40"/>
    <n v="121.92"/>
    <n v="0.09"/>
    <s v="Express Air"/>
    <n v="51.23"/>
    <n v="2.88"/>
    <n v="0.5"/>
    <s v="Candace McMahon"/>
    <s v="Ontario"/>
    <x v="3"/>
    <s v="Corporate"/>
    <s v="Office Supplies"/>
    <x v="9"/>
    <x v="4"/>
    <d v="2010-02-26T00:00:00"/>
    <s v="26-Feb-2010"/>
  </r>
  <r>
    <n v="30436"/>
    <d v="2012-07-07T00:00:00"/>
    <s v="Low"/>
    <s v="07-Jul-2012"/>
    <n v="30"/>
    <n v="121.19"/>
    <n v="0.09"/>
    <s v="Express Air"/>
    <n v="-152.13"/>
    <n v="3.89"/>
    <n v="7.01"/>
    <s v="Dave Hallsten"/>
    <s v="Ontario"/>
    <x v="3"/>
    <s v="Corporate"/>
    <s v="Office Supplies"/>
    <x v="1"/>
    <x v="7"/>
    <d v="2012-07-12T00:00:00"/>
    <s v="12-Jul-2012"/>
  </r>
  <r>
    <n v="21729"/>
    <d v="2012-12-06T00:00:00"/>
    <s v="Low"/>
    <s v="06-Dec-2012"/>
    <n v="28"/>
    <n v="120.98"/>
    <n v="0"/>
    <s v="Regular Air"/>
    <n v="-92.85"/>
    <n v="4.13"/>
    <n v="5.34"/>
    <s v="Xylona Price"/>
    <s v="Ontario"/>
    <x v="3"/>
    <s v="Corporate"/>
    <s v="Office Supplies"/>
    <x v="1"/>
    <x v="1"/>
    <d v="2012-12-10T00:00:00"/>
    <s v="10-Dec-2012"/>
  </r>
  <r>
    <n v="19616"/>
    <d v="2011-12-22T00:00:00"/>
    <s v="High"/>
    <s v="22-Dec-2011"/>
    <n v="42"/>
    <n v="116.94"/>
    <n v="0.06"/>
    <s v="Express Air"/>
    <n v="-10.01"/>
    <n v="2.78"/>
    <n v="1.25"/>
    <s v="Katherine Nockton"/>
    <s v="Ontario"/>
    <x v="3"/>
    <s v="Corporate"/>
    <s v="Office Supplies"/>
    <x v="13"/>
    <x v="14"/>
    <d v="2011-12-23T00:00:00"/>
    <s v="23-Dec-2011"/>
  </r>
  <r>
    <n v="13345"/>
    <d v="2012-09-02T00:00:00"/>
    <s v="Not Specified"/>
    <s v="02-Sep-2012"/>
    <n v="24"/>
    <n v="116.82"/>
    <n v="0.02"/>
    <s v="Regular Air"/>
    <n v="-42.05"/>
    <n v="4.7699999999999996"/>
    <n v="2.39"/>
    <s v="Bill Donatelli"/>
    <s v="Ontario"/>
    <x v="3"/>
    <s v="Corporate"/>
    <s v="Technology"/>
    <x v="11"/>
    <x v="13"/>
    <d v="2012-09-03T00:00:00"/>
    <s v="03-Sep-2012"/>
  </r>
  <r>
    <n v="38496"/>
    <d v="2010-02-20T00:00:00"/>
    <s v="Critical"/>
    <s v="20-Feb-2010"/>
    <n v="23"/>
    <n v="116.57"/>
    <n v="7.0000000000000007E-2"/>
    <s v="Regular Air"/>
    <n v="-43.18"/>
    <n v="4.9800000000000004"/>
    <n v="4.72"/>
    <s v="Pauline Chand"/>
    <s v="Ontario"/>
    <x v="3"/>
    <s v="Corporate"/>
    <s v="Office Supplies"/>
    <x v="12"/>
    <x v="10"/>
    <d v="2010-02-22T00:00:00"/>
    <s v="22-Feb-2010"/>
  </r>
  <r>
    <n v="38400"/>
    <d v="2009-12-14T00:00:00"/>
    <s v="Not Specified"/>
    <s v="14-Dec-2009"/>
    <n v="8"/>
    <n v="114.73"/>
    <n v="0.03"/>
    <s v="Express Air"/>
    <n v="28.08"/>
    <n v="13.73"/>
    <n v="6.85"/>
    <s v="Candace McMahon"/>
    <s v="Ontario"/>
    <x v="3"/>
    <s v="Corporate"/>
    <s v="Furniture"/>
    <x v="7"/>
    <x v="41"/>
    <d v="2009-12-15T00:00:00"/>
    <s v="15-Dec-2009"/>
  </r>
  <r>
    <n v="54183"/>
    <d v="2012-04-15T00:00:00"/>
    <s v="Critical"/>
    <s v="15-Apr-2012"/>
    <n v="9"/>
    <n v="113.89"/>
    <n v="0.02"/>
    <s v="Regular Air"/>
    <n v="-52.25"/>
    <n v="11.66"/>
    <n v="8.99"/>
    <s v="Mike Caudle"/>
    <s v="Ontario"/>
    <x v="3"/>
    <s v="Corporate"/>
    <s v="Office Supplies"/>
    <x v="13"/>
    <x v="14"/>
    <d v="2012-04-16T00:00:00"/>
    <s v="16-Apr-2012"/>
  </r>
  <r>
    <n v="12452"/>
    <d v="2010-12-07T00:00:00"/>
    <s v="Medium"/>
    <s v="07-Dec-2010"/>
    <n v="17"/>
    <n v="112.86"/>
    <n v="0.04"/>
    <s v="Regular Air"/>
    <n v="-56.78"/>
    <n v="6.6"/>
    <n v="4.07"/>
    <s v="Bill Donatelli"/>
    <s v="Ontario"/>
    <x v="3"/>
    <s v="Corporate"/>
    <s v="Technology"/>
    <x v="11"/>
    <x v="32"/>
    <d v="2010-12-09T00:00:00"/>
    <s v="09-Dec-2010"/>
  </r>
  <r>
    <n v="59878"/>
    <d v="2012-05-28T00:00:00"/>
    <s v="High"/>
    <s v="28-May-2012"/>
    <n v="6"/>
    <n v="112.4"/>
    <n v="0.1"/>
    <s v="Regular Air"/>
    <n v="-46.75"/>
    <n v="17.98"/>
    <n v="8.51"/>
    <s v="Ivan Gibson"/>
    <s v="Ontario"/>
    <x v="3"/>
    <s v="Corporate"/>
    <s v="Technology"/>
    <x v="0"/>
    <x v="27"/>
    <d v="2012-05-29T00:00:00"/>
    <s v="29-May-2012"/>
  </r>
  <r>
    <n v="38466"/>
    <d v="2011-08-17T00:00:00"/>
    <s v="Critical"/>
    <s v="17-Aug-2011"/>
    <n v="37"/>
    <n v="111.37"/>
    <n v="0.04"/>
    <s v="Regular Air"/>
    <n v="46.46"/>
    <n v="2.89"/>
    <n v="0.5"/>
    <s v="Jane Waco"/>
    <s v="Ontario"/>
    <x v="3"/>
    <s v="Corporate"/>
    <s v="Office Supplies"/>
    <x v="9"/>
    <x v="1"/>
    <d v="2011-08-19T00:00:00"/>
    <s v="19-Aug-2011"/>
  </r>
  <r>
    <n v="17377"/>
    <d v="2011-10-28T00:00:00"/>
    <s v="Low"/>
    <s v="28-Oct-2011"/>
    <n v="39"/>
    <n v="110.38"/>
    <n v="0.05"/>
    <s v="Regular Air"/>
    <n v="-4.8600000000000003"/>
    <n v="2.78"/>
    <n v="1.2"/>
    <s v="Erin Creighton"/>
    <s v="Ontario"/>
    <x v="3"/>
    <s v="Corporate"/>
    <s v="Office Supplies"/>
    <x v="13"/>
    <x v="15"/>
    <d v="2011-10-30T00:00:00"/>
    <s v="30-Oct-2011"/>
  </r>
  <r>
    <n v="8231"/>
    <d v="2012-10-18T00:00:00"/>
    <s v="Critical"/>
    <s v="18-Oct-2012"/>
    <n v="5"/>
    <n v="110.03"/>
    <n v="0.06"/>
    <s v="Regular Air"/>
    <n v="-31.33"/>
    <n v="19.98"/>
    <n v="10.49"/>
    <s v="Pauline Chand"/>
    <s v="Ontario"/>
    <x v="3"/>
    <s v="Corporate"/>
    <s v="Furniture"/>
    <x v="7"/>
    <x v="19"/>
    <d v="2012-10-19T00:00:00"/>
    <s v="19-Oct-2012"/>
  </r>
  <r>
    <n v="4932"/>
    <d v="2010-08-09T00:00:00"/>
    <s v="Critical"/>
    <s v="09-Aug-2010"/>
    <n v="11"/>
    <n v="109.37"/>
    <n v="7.0000000000000007E-2"/>
    <s v="Regular Air"/>
    <n v="25.96"/>
    <n v="10.31"/>
    <n v="1.79"/>
    <s v="Bobby Odegard"/>
    <s v="Ontario"/>
    <x v="3"/>
    <s v="Corporate"/>
    <s v="Office Supplies"/>
    <x v="12"/>
    <x v="1"/>
    <d v="2010-08-11T00:00:00"/>
    <s v="11-Aug-2010"/>
  </r>
  <r>
    <n v="21922"/>
    <d v="2009-11-11T00:00:00"/>
    <s v="High"/>
    <s v="11-Nov-2009"/>
    <n v="11"/>
    <n v="108.85"/>
    <n v="0.08"/>
    <s v="Regular Air"/>
    <n v="10.58"/>
    <n v="9.77"/>
    <n v="6.02"/>
    <s v="Jason Fortune"/>
    <s v="Ontario"/>
    <x v="3"/>
    <s v="Corporate"/>
    <s v="Furniture"/>
    <x v="7"/>
    <x v="23"/>
    <d v="2009-11-12T00:00:00"/>
    <s v="12-Nov-2009"/>
  </r>
  <r>
    <n v="47138"/>
    <d v="2009-01-09T00:00:00"/>
    <s v="Low"/>
    <s v="09-Jan-2009"/>
    <n v="1"/>
    <n v="107.95"/>
    <n v="0.04"/>
    <s v="Regular Air"/>
    <n v="-506.31"/>
    <n v="125.99"/>
    <n v="8.99"/>
    <s v="Benjamin Patterson"/>
    <s v="Ontario"/>
    <x v="3"/>
    <s v="Corporate"/>
    <s v="Technology"/>
    <x v="10"/>
    <x v="14"/>
    <d v="2009-01-16T00:00:00"/>
    <s v="16-Jan-2009"/>
  </r>
  <r>
    <n v="4935"/>
    <d v="2010-05-24T00:00:00"/>
    <s v="Not Specified"/>
    <s v="24-May-2010"/>
    <n v="30"/>
    <n v="106.64"/>
    <n v="0.1"/>
    <s v="Regular Air"/>
    <n v="-31.95"/>
    <n v="3.68"/>
    <n v="1.32"/>
    <s v="Xylona Price"/>
    <s v="Ontario"/>
    <x v="3"/>
    <s v="Corporate"/>
    <s v="Office Supplies"/>
    <x v="14"/>
    <x v="34"/>
    <d v="2010-05-27T00:00:00"/>
    <s v="27-May-2010"/>
  </r>
  <r>
    <n v="57153"/>
    <d v="2009-05-26T00:00:00"/>
    <s v="Critical"/>
    <s v="26-May-2009"/>
    <n v="9"/>
    <n v="106.05"/>
    <n v="0.02"/>
    <s v="Regular Air"/>
    <n v="-14.52"/>
    <n v="11.33"/>
    <n v="6.12"/>
    <s v="Meg O'Connel"/>
    <s v="Ontario"/>
    <x v="3"/>
    <s v="Corporate"/>
    <s v="Office Supplies"/>
    <x v="5"/>
    <x v="22"/>
    <d v="2009-05-28T00:00:00"/>
    <s v="28-May-2009"/>
  </r>
  <r>
    <n v="30599"/>
    <d v="2012-02-10T00:00:00"/>
    <s v="Not Specified"/>
    <s v="10-Feb-2012"/>
    <n v="23"/>
    <n v="105.93"/>
    <n v="0.05"/>
    <s v="Regular Air"/>
    <n v="33.47"/>
    <n v="4.76"/>
    <n v="0.88"/>
    <s v="Michael Kennedy"/>
    <s v="Ontario"/>
    <x v="3"/>
    <s v="Corporate"/>
    <s v="Office Supplies"/>
    <x v="12"/>
    <x v="4"/>
    <d v="2012-02-12T00:00:00"/>
    <s v="12-Feb-2012"/>
  </r>
  <r>
    <n v="38466"/>
    <d v="2011-08-17T00:00:00"/>
    <s v="Critical"/>
    <s v="17-Aug-2011"/>
    <n v="15"/>
    <n v="105.48"/>
    <n v="0.02"/>
    <s v="Regular Air"/>
    <n v="-53.99"/>
    <n v="6.48"/>
    <n v="7.37"/>
    <s v="Jane Waco"/>
    <s v="Ontario"/>
    <x v="3"/>
    <s v="Corporate"/>
    <s v="Office Supplies"/>
    <x v="12"/>
    <x v="7"/>
    <d v="2011-08-18T00:00:00"/>
    <s v="18-Aug-2011"/>
  </r>
  <r>
    <n v="8035"/>
    <d v="2012-03-01T00:00:00"/>
    <s v="Medium"/>
    <s v="01-Mar-2012"/>
    <n v="7"/>
    <n v="104.38"/>
    <n v="7.0000000000000007E-2"/>
    <s v="Regular Air"/>
    <n v="-24.2"/>
    <n v="14.42"/>
    <n v="6.75"/>
    <s v="Don Weiss"/>
    <s v="Ontario"/>
    <x v="3"/>
    <s v="Corporate"/>
    <s v="Office Supplies"/>
    <x v="5"/>
    <x v="24"/>
    <d v="2012-03-03T00:00:00"/>
    <s v="03-Mar-2012"/>
  </r>
  <r>
    <n v="52102"/>
    <d v="2010-09-12T00:00:00"/>
    <s v="Medium"/>
    <s v="12-Sep-2010"/>
    <n v="8"/>
    <n v="104.27"/>
    <n v="0.03"/>
    <s v="Regular Air"/>
    <n v="-23.61"/>
    <n v="11.97"/>
    <n v="5.81"/>
    <s v="Philip Brown"/>
    <s v="Ontario"/>
    <x v="3"/>
    <s v="Corporate"/>
    <s v="Office Supplies"/>
    <x v="13"/>
    <x v="18"/>
    <d v="2010-09-12T00:00:00"/>
    <s v="12-Sep-2010"/>
  </r>
  <r>
    <n v="22849"/>
    <d v="2011-02-14T00:00:00"/>
    <s v="Not Specified"/>
    <s v="14-Feb-2011"/>
    <n v="34"/>
    <n v="104.24"/>
    <n v="0"/>
    <s v="Express Air"/>
    <n v="10.59"/>
    <n v="2.78"/>
    <n v="1.34"/>
    <s v="Erin Creighton"/>
    <s v="Ontario"/>
    <x v="3"/>
    <s v="Corporate"/>
    <s v="Office Supplies"/>
    <x v="13"/>
    <x v="45"/>
    <d v="2011-02-16T00:00:00"/>
    <s v="16-Feb-2011"/>
  </r>
  <r>
    <n v="50051"/>
    <d v="2009-10-04T00:00:00"/>
    <s v="Medium"/>
    <s v="04-Oct-2009"/>
    <n v="17"/>
    <n v="103.72"/>
    <n v="0.02"/>
    <s v="Regular Air"/>
    <n v="-72.06"/>
    <n v="5.53"/>
    <n v="6.98"/>
    <s v="Jas O'Carroll"/>
    <s v="Ontario"/>
    <x v="3"/>
    <s v="Corporate"/>
    <s v="Office Supplies"/>
    <x v="1"/>
    <x v="4"/>
    <d v="2009-10-06T00:00:00"/>
    <s v="06-Oct-2009"/>
  </r>
  <r>
    <n v="34017"/>
    <d v="2009-03-23T00:00:00"/>
    <s v="High"/>
    <s v="23-Mar-2009"/>
    <n v="20"/>
    <n v="103.39"/>
    <n v="0.05"/>
    <s v="Express Air"/>
    <n v="29.17"/>
    <n v="4.84"/>
    <n v="0.71"/>
    <s v="Paul Prost"/>
    <s v="Ontario"/>
    <x v="3"/>
    <s v="Corporate"/>
    <s v="Office Supplies"/>
    <x v="13"/>
    <x v="24"/>
    <d v="2009-03-23T00:00:00"/>
    <s v="23-Mar-2009"/>
  </r>
  <r>
    <n v="42465"/>
    <d v="2010-12-21T00:00:00"/>
    <s v="Medium"/>
    <s v="21-Dec-2010"/>
    <n v="15"/>
    <n v="102.32"/>
    <n v="0.08"/>
    <s v="Regular Air"/>
    <n v="-32.700000000000003"/>
    <n v="6.48"/>
    <n v="5.74"/>
    <s v="Tamara Dahlen"/>
    <s v="Ontario"/>
    <x v="3"/>
    <s v="Corporate"/>
    <s v="Office Supplies"/>
    <x v="12"/>
    <x v="7"/>
    <d v="2010-12-22T00:00:00"/>
    <s v="22-Dec-2010"/>
  </r>
  <r>
    <n v="15718"/>
    <d v="2009-01-27T00:00:00"/>
    <s v="Critical"/>
    <s v="27-Jan-2009"/>
    <n v="36"/>
    <n v="100.87"/>
    <n v="0.09"/>
    <s v="Regular Air"/>
    <n v="8.4"/>
    <n v="2.94"/>
    <n v="0.7"/>
    <s v="Sean O'Donnell"/>
    <s v="Ontario"/>
    <x v="3"/>
    <s v="Corporate"/>
    <s v="Office Supplies"/>
    <x v="13"/>
    <x v="15"/>
    <d v="2009-01-28T00:00:00"/>
    <s v="28-Jan-2009"/>
  </r>
  <r>
    <n v="26145"/>
    <d v="2011-07-04T00:00:00"/>
    <s v="Low"/>
    <s v="04-Jul-2011"/>
    <n v="18"/>
    <n v="99.36"/>
    <n v="0"/>
    <s v="Regular Air"/>
    <n v="-51.2"/>
    <n v="4.91"/>
    <n v="5.68"/>
    <s v="George Bell"/>
    <s v="Ontario"/>
    <x v="3"/>
    <s v="Corporate"/>
    <s v="Office Supplies"/>
    <x v="1"/>
    <x v="10"/>
    <d v="2011-07-08T00:00:00"/>
    <s v="08-Jul-2011"/>
  </r>
  <r>
    <n v="28805"/>
    <d v="2011-04-02T00:00:00"/>
    <s v="Medium"/>
    <s v="02-Apr-2011"/>
    <n v="14"/>
    <n v="97.93"/>
    <n v="7.0000000000000007E-2"/>
    <s v="Regular Air"/>
    <n v="-616.80999999999995"/>
    <n v="3.48"/>
    <n v="49"/>
    <s v="Bill Stewart"/>
    <s v="Ontario"/>
    <x v="3"/>
    <s v="Corporate"/>
    <s v="Office Supplies"/>
    <x v="5"/>
    <x v="14"/>
    <d v="2011-04-04T00:00:00"/>
    <s v="04-Apr-2011"/>
  </r>
  <r>
    <n v="38915"/>
    <d v="2009-09-17T00:00:00"/>
    <s v="Medium"/>
    <s v="17-Sep-2009"/>
    <n v="12"/>
    <n v="96.73"/>
    <n v="0.08"/>
    <s v="Regular Air"/>
    <n v="-83.65"/>
    <n v="7.77"/>
    <n v="9.23"/>
    <s v="Ben Ferrer"/>
    <s v="Ontario"/>
    <x v="3"/>
    <s v="Corporate"/>
    <s v="Office Supplies"/>
    <x v="5"/>
    <x v="15"/>
    <d v="2009-09-18T00:00:00"/>
    <s v="18-Sep-2009"/>
  </r>
  <r>
    <n v="21573"/>
    <d v="2012-04-25T00:00:00"/>
    <s v="Critical"/>
    <s v="25-Apr-2012"/>
    <n v="31"/>
    <n v="96.23"/>
    <n v="0.05"/>
    <s v="Regular Air"/>
    <n v="24.05"/>
    <n v="3.08"/>
    <n v="0.99"/>
    <s v="Don Weiss"/>
    <s v="Ontario"/>
    <x v="3"/>
    <s v="Corporate"/>
    <s v="Office Supplies"/>
    <x v="9"/>
    <x v="7"/>
    <d v="2012-04-27T00:00:00"/>
    <s v="27-Apr-2012"/>
  </r>
  <r>
    <n v="32803"/>
    <d v="2011-12-16T00:00:00"/>
    <s v="Medium"/>
    <s v="16-Dec-2011"/>
    <n v="22"/>
    <n v="96.07"/>
    <n v="0.06"/>
    <s v="Regular Air"/>
    <n v="-4.3600000000000003"/>
    <n v="4.4800000000000004"/>
    <n v="2.5"/>
    <s v="James Lanier"/>
    <s v="Ontario"/>
    <x v="3"/>
    <s v="Corporate"/>
    <s v="Office Supplies"/>
    <x v="15"/>
    <x v="7"/>
    <d v="2011-12-18T00:00:00"/>
    <s v="18-Dec-2011"/>
  </r>
  <r>
    <n v="19616"/>
    <d v="2011-12-22T00:00:00"/>
    <s v="High"/>
    <s v="22-Dec-2011"/>
    <n v="3"/>
    <n v="92.31"/>
    <n v="0"/>
    <s v="Regular Air"/>
    <n v="-28.95"/>
    <n v="28.15"/>
    <n v="6.17"/>
    <s v="Katherine Nockton"/>
    <s v="Ontario"/>
    <x v="3"/>
    <s v="Corporate"/>
    <s v="Office Supplies"/>
    <x v="13"/>
    <x v="20"/>
    <d v="2011-12-23T00:00:00"/>
    <s v="23-Dec-2011"/>
  </r>
  <r>
    <n v="41476"/>
    <d v="2010-05-31T00:00:00"/>
    <s v="High"/>
    <s v="31-May-2010"/>
    <n v="48"/>
    <n v="92.25"/>
    <n v="7.0000000000000007E-2"/>
    <s v="Regular Air"/>
    <n v="-104.8"/>
    <n v="1.86"/>
    <n v="2.58"/>
    <s v="Mark Cousins"/>
    <s v="Ontario"/>
    <x v="3"/>
    <s v="Corporate"/>
    <s v="Office Supplies"/>
    <x v="16"/>
    <x v="5"/>
    <d v="2010-06-01T00:00:00"/>
    <s v="01-Jun-2010"/>
  </r>
  <r>
    <n v="36449"/>
    <d v="2010-09-05T00:00:00"/>
    <s v="Not Specified"/>
    <s v="05-Sep-2010"/>
    <n v="6"/>
    <n v="90.75"/>
    <n v="0.02"/>
    <s v="Regular Air"/>
    <n v="-26.39"/>
    <n v="12.99"/>
    <n v="14.37"/>
    <s v="Bruce Stewart"/>
    <s v="Ontario"/>
    <x v="3"/>
    <s v="Corporate"/>
    <s v="Furniture"/>
    <x v="7"/>
    <x v="33"/>
    <d v="2010-09-05T00:00:00"/>
    <s v="05-Sep-2010"/>
  </r>
  <r>
    <n v="8224"/>
    <d v="2012-02-07T00:00:00"/>
    <s v="Not Specified"/>
    <s v="07-Feb-2012"/>
    <n v="41"/>
    <n v="89.77"/>
    <n v="0.03"/>
    <s v="Regular Air"/>
    <n v="9.92"/>
    <n v="2.21"/>
    <n v="1"/>
    <s v="John Grady"/>
    <s v="Ontario"/>
    <x v="3"/>
    <s v="Corporate"/>
    <s v="Office Supplies"/>
    <x v="13"/>
    <x v="1"/>
    <d v="2012-02-09T00:00:00"/>
    <s v="09-Feb-2012"/>
  </r>
  <r>
    <n v="53382"/>
    <d v="2009-12-27T00:00:00"/>
    <s v="Not Specified"/>
    <s v="27-Dec-2009"/>
    <n v="13"/>
    <n v="88.17"/>
    <n v="0.1"/>
    <s v="Regular Air"/>
    <n v="-572.49"/>
    <n v="3.25"/>
    <n v="49"/>
    <s v="Paul MacIntyre"/>
    <s v="Ontario"/>
    <x v="3"/>
    <s v="Corporate"/>
    <s v="Office Supplies"/>
    <x v="5"/>
    <x v="0"/>
    <d v="2009-12-28T00:00:00"/>
    <s v="28-Dec-2009"/>
  </r>
  <r>
    <n v="27205"/>
    <d v="2010-05-21T00:00:00"/>
    <s v="Not Specified"/>
    <s v="21-May-2010"/>
    <n v="12"/>
    <n v="87.11"/>
    <n v="0.08"/>
    <s v="Regular Air"/>
    <n v="-43.65"/>
    <n v="7.28"/>
    <n v="3.52"/>
    <s v="Jason Fortune"/>
    <s v="Ontario"/>
    <x v="3"/>
    <s v="Corporate"/>
    <s v="Technology"/>
    <x v="11"/>
    <x v="48"/>
    <d v="2010-05-23T00:00:00"/>
    <s v="23-May-2010"/>
  </r>
  <r>
    <n v="30016"/>
    <d v="2009-01-03T00:00:00"/>
    <s v="Critical"/>
    <s v="03-Jan-2009"/>
    <n v="15"/>
    <n v="85.56"/>
    <n v="0.03"/>
    <s v="Regular Air"/>
    <n v="-41.58"/>
    <n v="5.28"/>
    <n v="5.66"/>
    <s v="Bill Donatelli"/>
    <s v="Ontario"/>
    <x v="3"/>
    <s v="Corporate"/>
    <s v="Office Supplies"/>
    <x v="12"/>
    <x v="27"/>
    <d v="2009-01-05T00:00:00"/>
    <s v="05-Jan-2009"/>
  </r>
  <r>
    <n v="54245"/>
    <d v="2011-03-24T00:00:00"/>
    <s v="Medium"/>
    <s v="24-Mar-2011"/>
    <n v="5"/>
    <n v="83.3"/>
    <n v="0.09"/>
    <s v="Regular Air"/>
    <n v="-114.91"/>
    <n v="20.99"/>
    <n v="2.5"/>
    <s v="Cari MacIntyre"/>
    <s v="Ontario"/>
    <x v="3"/>
    <s v="Corporate"/>
    <s v="Technology"/>
    <x v="10"/>
    <x v="43"/>
    <d v="2011-03-25T00:00:00"/>
    <s v="25-Mar-2011"/>
  </r>
  <r>
    <n v="13091"/>
    <d v="2009-11-15T00:00:00"/>
    <s v="Medium"/>
    <s v="15-Nov-2009"/>
    <n v="12"/>
    <n v="81.430000000000007"/>
    <n v="0.08"/>
    <s v="Regular Air"/>
    <n v="-44.66"/>
    <n v="6.48"/>
    <n v="7.03"/>
    <s v="Arthur Wiediger"/>
    <s v="Ontario"/>
    <x v="3"/>
    <s v="Corporate"/>
    <s v="Office Supplies"/>
    <x v="12"/>
    <x v="7"/>
    <d v="2009-11-16T00:00:00"/>
    <s v="16-Nov-2009"/>
  </r>
  <r>
    <n v="8231"/>
    <d v="2012-10-18T00:00:00"/>
    <s v="Critical"/>
    <s v="18-Oct-2012"/>
    <n v="27"/>
    <n v="79.44"/>
    <n v="0.06"/>
    <s v="Regular Air"/>
    <n v="29.85"/>
    <n v="2.88"/>
    <n v="0.5"/>
    <s v="Pauline Chand"/>
    <s v="Ontario"/>
    <x v="3"/>
    <s v="Corporate"/>
    <s v="Office Supplies"/>
    <x v="9"/>
    <x v="4"/>
    <d v="2012-10-20T00:00:00"/>
    <s v="20-Oct-2012"/>
  </r>
  <r>
    <n v="38501"/>
    <d v="2009-04-28T00:00:00"/>
    <s v="Critical"/>
    <s v="28-Apr-2009"/>
    <n v="11"/>
    <n v="78.680000000000007"/>
    <n v="0.05"/>
    <s v="Regular Air"/>
    <n v="-29.07"/>
    <n v="6.48"/>
    <n v="6.22"/>
    <s v="Guy Phonely"/>
    <s v="Ontario"/>
    <x v="3"/>
    <s v="Corporate"/>
    <s v="Office Supplies"/>
    <x v="12"/>
    <x v="7"/>
    <d v="2009-04-29T00:00:00"/>
    <s v="29-Apr-2009"/>
  </r>
  <r>
    <n v="51395"/>
    <d v="2010-06-09T00:00:00"/>
    <s v="Low"/>
    <s v="09-Jun-2010"/>
    <n v="26"/>
    <n v="78.22"/>
    <n v="0.03"/>
    <s v="Regular Air"/>
    <n v="32.5"/>
    <n v="2.88"/>
    <n v="0.5"/>
    <s v="Lena Creighton"/>
    <s v="Ontario"/>
    <x v="3"/>
    <s v="Corporate"/>
    <s v="Office Supplies"/>
    <x v="9"/>
    <x v="10"/>
    <d v="2010-06-14T00:00:00"/>
    <s v="14-Jun-2010"/>
  </r>
  <r>
    <n v="8480"/>
    <d v="2011-01-29T00:00:00"/>
    <s v="High"/>
    <s v="29-Jan-2011"/>
    <n v="11"/>
    <n v="76.36"/>
    <n v="7.0000000000000007E-2"/>
    <s v="Regular Air"/>
    <n v="-58.4"/>
    <n v="6.48"/>
    <n v="8.74"/>
    <s v="Robert Marley"/>
    <s v="Ontario"/>
    <x v="3"/>
    <s v="Corporate"/>
    <s v="Office Supplies"/>
    <x v="12"/>
    <x v="10"/>
    <d v="2011-01-31T00:00:00"/>
    <s v="31-Jan-2011"/>
  </r>
  <r>
    <n v="51361"/>
    <d v="2011-03-18T00:00:00"/>
    <s v="Low"/>
    <s v="18-Mar-2011"/>
    <n v="14"/>
    <n v="76.06"/>
    <n v="0.02"/>
    <s v="Express Air"/>
    <n v="-35.99"/>
    <n v="4.28"/>
    <n v="5.68"/>
    <s v="Meg O'Connel"/>
    <s v="Ontario"/>
    <x v="3"/>
    <s v="Corporate"/>
    <s v="Office Supplies"/>
    <x v="12"/>
    <x v="27"/>
    <d v="2011-03-20T00:00:00"/>
    <s v="20-Mar-2011"/>
  </r>
  <r>
    <n v="49477"/>
    <d v="2011-11-29T00:00:00"/>
    <s v="Medium"/>
    <s v="29-Nov-2011"/>
    <n v="9"/>
    <n v="75.94"/>
    <n v="0.01"/>
    <s v="Regular Air"/>
    <n v="-16.559999999999999"/>
    <n v="7.64"/>
    <n v="5.83"/>
    <s v="Grant Carroll"/>
    <s v="Ontario"/>
    <x v="3"/>
    <s v="Corporate"/>
    <s v="Office Supplies"/>
    <x v="12"/>
    <x v="10"/>
    <d v="2011-11-29T00:00:00"/>
    <s v="29-Nov-2011"/>
  </r>
  <r>
    <n v="6438"/>
    <d v="2010-05-16T00:00:00"/>
    <s v="Not Specified"/>
    <s v="16-May-2010"/>
    <n v="7"/>
    <n v="75.72"/>
    <n v="0.02"/>
    <s v="Regular Air"/>
    <n v="20.29"/>
    <n v="9.77"/>
    <n v="6.02"/>
    <s v="Anna Haberlin"/>
    <s v="Ontario"/>
    <x v="3"/>
    <s v="Corporate"/>
    <s v="Furniture"/>
    <x v="7"/>
    <x v="23"/>
    <d v="2010-05-16T00:00:00"/>
    <s v="16-May-2010"/>
  </r>
  <r>
    <n v="39015"/>
    <d v="2009-12-06T00:00:00"/>
    <s v="Medium"/>
    <s v="06-Dec-2009"/>
    <n v="11"/>
    <n v="74.02"/>
    <n v="7.0000000000000007E-2"/>
    <s v="Regular Air"/>
    <n v="-28.45"/>
    <n v="6.48"/>
    <n v="5.74"/>
    <s v="Lycoris Saunders"/>
    <s v="Ontario"/>
    <x v="3"/>
    <s v="Corporate"/>
    <s v="Office Supplies"/>
    <x v="12"/>
    <x v="7"/>
    <d v="2009-12-06T00:00:00"/>
    <s v="06-Dec-2009"/>
  </r>
  <r>
    <n v="50949"/>
    <d v="2011-02-04T00:00:00"/>
    <s v="Medium"/>
    <s v="04-Feb-2011"/>
    <n v="32"/>
    <n v="73.55"/>
    <n v="0.09"/>
    <s v="Express Air"/>
    <n v="7.95"/>
    <n v="2.1800000000000002"/>
    <n v="0.78"/>
    <s v="Guy Thornton"/>
    <s v="Ontario"/>
    <x v="3"/>
    <s v="Corporate"/>
    <s v="Office Supplies"/>
    <x v="16"/>
    <x v="24"/>
    <d v="2011-02-05T00:00:00"/>
    <s v="05-Feb-2011"/>
  </r>
  <r>
    <n v="15780"/>
    <d v="2011-04-13T00:00:00"/>
    <s v="Critical"/>
    <s v="13-Apr-2011"/>
    <n v="19"/>
    <n v="71.77"/>
    <n v="0.03"/>
    <s v="Regular Air"/>
    <n v="22.71"/>
    <n v="3.78"/>
    <n v="0.71"/>
    <s v="Thomas Boland"/>
    <s v="Ontario"/>
    <x v="3"/>
    <s v="Corporate"/>
    <s v="Office Supplies"/>
    <x v="16"/>
    <x v="4"/>
    <d v="2011-04-15T00:00:00"/>
    <s v="15-Apr-2011"/>
  </r>
  <r>
    <n v="35555"/>
    <d v="2011-03-04T00:00:00"/>
    <s v="Medium"/>
    <s v="04-Mar-2011"/>
    <n v="15"/>
    <n v="71.61"/>
    <n v="0.1"/>
    <s v="Regular Air"/>
    <n v="-70.31"/>
    <n v="4.8899999999999997"/>
    <n v="4.93"/>
    <s v="James Lanier"/>
    <s v="Ontario"/>
    <x v="3"/>
    <s v="Corporate"/>
    <s v="Technology"/>
    <x v="11"/>
    <x v="32"/>
    <d v="2011-03-06T00:00:00"/>
    <s v="06-Mar-2011"/>
  </r>
  <r>
    <n v="21573"/>
    <d v="2012-04-25T00:00:00"/>
    <s v="Critical"/>
    <s v="25-Apr-2012"/>
    <n v="7"/>
    <n v="70.08"/>
    <n v="0"/>
    <s v="Regular Air"/>
    <n v="8.02"/>
    <n v="9.48"/>
    <n v="3.72"/>
    <s v="Don Weiss"/>
    <s v="Ontario"/>
    <x v="3"/>
    <s v="Corporate"/>
    <s v="Furniture"/>
    <x v="7"/>
    <x v="27"/>
    <d v="2012-04-27T00:00:00"/>
    <s v="27-Apr-2012"/>
  </r>
  <r>
    <n v="37669"/>
    <d v="2010-10-29T00:00:00"/>
    <s v="Not Specified"/>
    <s v="29-Oct-2010"/>
    <n v="4"/>
    <n v="70.02"/>
    <n v="0"/>
    <s v="Regular Air"/>
    <n v="-30.63"/>
    <n v="15.31"/>
    <n v="8.7799999999999994"/>
    <s v="Alejandro Grove"/>
    <s v="Ontario"/>
    <x v="3"/>
    <s v="Corporate"/>
    <s v="Office Supplies"/>
    <x v="4"/>
    <x v="6"/>
    <d v="2010-11-01T00:00:00"/>
    <s v="01-Nov-2010"/>
  </r>
  <r>
    <n v="59108"/>
    <d v="2011-10-07T00:00:00"/>
    <s v="Low"/>
    <s v="07-Oct-2011"/>
    <n v="21"/>
    <n v="68.53"/>
    <n v="0.09"/>
    <s v="Regular Air"/>
    <n v="-59.97"/>
    <n v="3.28"/>
    <n v="3.97"/>
    <s v="Edward Becker"/>
    <s v="Ontario"/>
    <x v="3"/>
    <s v="Corporate"/>
    <s v="Office Supplies"/>
    <x v="13"/>
    <x v="0"/>
    <d v="2011-10-12T00:00:00"/>
    <s v="12-Oct-2011"/>
  </r>
  <r>
    <n v="29411"/>
    <d v="2012-04-06T00:00:00"/>
    <s v="High"/>
    <s v="06-Apr-2012"/>
    <n v="29"/>
    <n v="67.87"/>
    <n v="7.0000000000000007E-2"/>
    <s v="Regular Air"/>
    <n v="-112.54"/>
    <n v="2.2200000000000002"/>
    <n v="5"/>
    <s v="Naresj Patel"/>
    <s v="Ontario"/>
    <x v="3"/>
    <s v="Corporate"/>
    <s v="Office Supplies"/>
    <x v="5"/>
    <x v="20"/>
    <d v="2012-04-07T00:00:00"/>
    <s v="07-Apr-2012"/>
  </r>
  <r>
    <n v="837"/>
    <d v="2009-06-14T00:00:00"/>
    <s v="Not Specified"/>
    <s v="14-Jun-2009"/>
    <n v="11"/>
    <n v="65.7"/>
    <n v="0.01"/>
    <s v="Regular Air"/>
    <n v="13.41"/>
    <n v="5.84"/>
    <n v="0.83"/>
    <s v="Sean O'Donnell"/>
    <s v="Ontario"/>
    <x v="3"/>
    <s v="Corporate"/>
    <s v="Office Supplies"/>
    <x v="13"/>
    <x v="19"/>
    <d v="2009-06-16T00:00:00"/>
    <s v="16-Jun-2009"/>
  </r>
  <r>
    <n v="51940"/>
    <d v="2012-10-17T00:00:00"/>
    <s v="High"/>
    <s v="17-Oct-2012"/>
    <n v="11"/>
    <n v="65.5"/>
    <n v="0.08"/>
    <s v="Regular Air"/>
    <n v="-55.94"/>
    <n v="5.98"/>
    <n v="4.38"/>
    <s v="Ivan Gibson"/>
    <s v="Ontario"/>
    <x v="3"/>
    <s v="Corporate"/>
    <s v="Technology"/>
    <x v="11"/>
    <x v="16"/>
    <d v="2012-10-18T00:00:00"/>
    <s v="18-Oct-2012"/>
  </r>
  <r>
    <n v="27589"/>
    <d v="2011-09-15T00:00:00"/>
    <s v="Medium"/>
    <s v="15-Sep-2011"/>
    <n v="36"/>
    <n v="64.430000000000007"/>
    <n v="7.0000000000000007E-2"/>
    <s v="Regular Air"/>
    <n v="-18.64"/>
    <n v="1.88"/>
    <n v="1.49"/>
    <s v="Darren Budd"/>
    <s v="Ontario"/>
    <x v="3"/>
    <s v="Corporate"/>
    <s v="Furniture"/>
    <x v="3"/>
    <x v="32"/>
    <d v="2011-09-16T00:00:00"/>
    <s v="16-Sep-2011"/>
  </r>
  <r>
    <n v="52645"/>
    <d v="2012-03-07T00:00:00"/>
    <s v="Low"/>
    <s v="07-Mar-2012"/>
    <n v="11"/>
    <n v="64.34"/>
    <n v="0.09"/>
    <s v="Regular Air"/>
    <n v="-8.3699999999999992"/>
    <n v="5.85"/>
    <n v="2.27"/>
    <s v="Alan Hwang"/>
    <s v="Ontario"/>
    <x v="3"/>
    <s v="Corporate"/>
    <s v="Office Supplies"/>
    <x v="13"/>
    <x v="0"/>
    <d v="2012-03-12T00:00:00"/>
    <s v="12-Mar-2012"/>
  </r>
  <r>
    <n v="8710"/>
    <d v="2009-01-04T00:00:00"/>
    <s v="Critical"/>
    <s v="04-Jan-2009"/>
    <n v="17"/>
    <n v="63.34"/>
    <n v="0.03"/>
    <s v="Regular Air"/>
    <n v="-76.02"/>
    <n v="3.36"/>
    <n v="6.27"/>
    <s v="Tamara Dahlen"/>
    <s v="Ontario"/>
    <x v="3"/>
    <s v="Corporate"/>
    <s v="Office Supplies"/>
    <x v="1"/>
    <x v="27"/>
    <d v="2009-01-05T00:00:00"/>
    <s v="05-Jan-2009"/>
  </r>
  <r>
    <n v="14596"/>
    <d v="2009-01-10T00:00:00"/>
    <s v="Critical"/>
    <s v="10-Jan-2009"/>
    <n v="19"/>
    <n v="63.14"/>
    <n v="0.06"/>
    <s v="Regular Air"/>
    <n v="-53.75"/>
    <n v="3.28"/>
    <n v="3.97"/>
    <s v="Darren Powers"/>
    <s v="Ontario"/>
    <x v="3"/>
    <s v="Corporate"/>
    <s v="Office Supplies"/>
    <x v="13"/>
    <x v="0"/>
    <d v="2009-01-11T00:00:00"/>
    <s v="11-Jan-2009"/>
  </r>
  <r>
    <n v="30915"/>
    <d v="2009-01-16T00:00:00"/>
    <s v="Low"/>
    <s v="16-Jan-2009"/>
    <n v="20"/>
    <n v="62.78"/>
    <n v="0.04"/>
    <s v="Express Air"/>
    <n v="-17.75"/>
    <n v="2.98"/>
    <n v="2.0299999999999998"/>
    <s v="Xylona Price"/>
    <s v="Ontario"/>
    <x v="3"/>
    <s v="Corporate"/>
    <s v="Office Supplies"/>
    <x v="13"/>
    <x v="6"/>
    <d v="2009-01-16T00:00:00"/>
    <s v="16-Jan-2009"/>
  </r>
  <r>
    <n v="32516"/>
    <d v="2010-10-24T00:00:00"/>
    <s v="Critical"/>
    <s v="24-Oct-2010"/>
    <n v="7"/>
    <n v="60.19"/>
    <n v="0.01"/>
    <s v="Regular Air"/>
    <n v="6.44"/>
    <n v="7.78"/>
    <n v="2.5"/>
    <s v="Robert Marley"/>
    <s v="Ontario"/>
    <x v="3"/>
    <s v="Corporate"/>
    <s v="Office Supplies"/>
    <x v="15"/>
    <x v="1"/>
    <d v="2010-10-26T00:00:00"/>
    <s v="26-Oct-2010"/>
  </r>
  <r>
    <n v="43399"/>
    <d v="2009-07-30T00:00:00"/>
    <s v="High"/>
    <s v="30-Jul-2009"/>
    <n v="35"/>
    <n v="59.66"/>
    <n v="0.05"/>
    <s v="Regular Air"/>
    <n v="-33.340000000000003"/>
    <n v="1.68"/>
    <n v="1.57"/>
    <s v="Cari MacIntyre"/>
    <s v="Ontario"/>
    <x v="3"/>
    <s v="Corporate"/>
    <s v="Office Supplies"/>
    <x v="13"/>
    <x v="14"/>
    <d v="2009-07-31T00:00:00"/>
    <s v="31-Jul-2009"/>
  </r>
  <r>
    <n v="15808"/>
    <d v="2010-12-14T00:00:00"/>
    <s v="Critical"/>
    <s v="14-Dec-2010"/>
    <n v="3"/>
    <n v="58.14"/>
    <n v="0.01"/>
    <s v="Regular Air"/>
    <n v="-96.25"/>
    <n v="20.99"/>
    <n v="4.8099999999999996"/>
    <s v="Bill Donatelli"/>
    <s v="Ontario"/>
    <x v="3"/>
    <s v="Corporate"/>
    <s v="Technology"/>
    <x v="10"/>
    <x v="15"/>
    <d v="2010-12-15T00:00:00"/>
    <s v="15-Dec-2010"/>
  </r>
  <r>
    <n v="47303"/>
    <d v="2011-12-05T00:00:00"/>
    <s v="Medium"/>
    <s v="05-Dec-2011"/>
    <n v="7"/>
    <n v="56.9"/>
    <n v="0.03"/>
    <s v="Regular Air"/>
    <n v="12.64"/>
    <n v="7.64"/>
    <n v="1.39"/>
    <s v="Xylona Price"/>
    <s v="Ontario"/>
    <x v="3"/>
    <s v="Corporate"/>
    <s v="Office Supplies"/>
    <x v="15"/>
    <x v="10"/>
    <d v="2011-12-06T00:00:00"/>
    <s v="06-Dec-2011"/>
  </r>
  <r>
    <n v="27557"/>
    <d v="2012-02-08T00:00:00"/>
    <s v="Low"/>
    <s v="08-Feb-2012"/>
    <n v="18"/>
    <n v="56.13"/>
    <n v="0.02"/>
    <s v="Regular Air"/>
    <n v="-58.47"/>
    <n v="2.88"/>
    <n v="5.33"/>
    <s v="Robert Marley"/>
    <s v="Ontario"/>
    <x v="3"/>
    <s v="Corporate"/>
    <s v="Office Supplies"/>
    <x v="9"/>
    <x v="10"/>
    <d v="2012-02-13T00:00:00"/>
    <s v="13-Feb-2012"/>
  </r>
  <r>
    <n v="15718"/>
    <d v="2009-01-27T00:00:00"/>
    <s v="Critical"/>
    <s v="27-Jan-2009"/>
    <n v="50"/>
    <n v="55.89"/>
    <n v="0.06"/>
    <s v="Regular Air"/>
    <n v="-3.05"/>
    <n v="1.1399999999999999"/>
    <n v="0.7"/>
    <s v="Sean O'Donnell"/>
    <s v="Ontario"/>
    <x v="3"/>
    <s v="Corporate"/>
    <s v="Office Supplies"/>
    <x v="16"/>
    <x v="1"/>
    <d v="2009-01-30T00:00:00"/>
    <s v="30-Jan-2009"/>
  </r>
  <r>
    <n v="44614"/>
    <d v="2010-06-14T00:00:00"/>
    <s v="Low"/>
    <s v="14-Jun-2010"/>
    <n v="18"/>
    <n v="55.35"/>
    <n v="0"/>
    <s v="Express Air"/>
    <n v="-56.63"/>
    <n v="2.2200000000000002"/>
    <n v="5"/>
    <s v="George Bell"/>
    <s v="Ontario"/>
    <x v="3"/>
    <s v="Corporate"/>
    <s v="Office Supplies"/>
    <x v="5"/>
    <x v="20"/>
    <d v="2010-06-18T00:00:00"/>
    <s v="18-Jun-2010"/>
  </r>
  <r>
    <n v="12160"/>
    <d v="2010-12-12T00:00:00"/>
    <s v="Low"/>
    <s v="12-Dec-2010"/>
    <n v="2"/>
    <n v="55.21"/>
    <n v="0.08"/>
    <s v="Regular Air"/>
    <n v="-45.3"/>
    <n v="24.98"/>
    <n v="8.7899999999999991"/>
    <s v="Darren Budd"/>
    <s v="Ontario"/>
    <x v="3"/>
    <s v="Corporate"/>
    <s v="Furniture"/>
    <x v="2"/>
    <x v="0"/>
    <d v="2010-12-16T00:00:00"/>
    <s v="16-Dec-2010"/>
  </r>
  <r>
    <n v="16065"/>
    <d v="2010-07-20T00:00:00"/>
    <s v="High"/>
    <s v="20-Jul-2010"/>
    <n v="14"/>
    <n v="54.99"/>
    <n v="0.06"/>
    <s v="Regular Air"/>
    <n v="8.07"/>
    <n v="4"/>
    <n v="1.3"/>
    <s v="Ruben Ausman"/>
    <s v="Ontario"/>
    <x v="3"/>
    <s v="Corporate"/>
    <s v="Office Supplies"/>
    <x v="12"/>
    <x v="7"/>
    <d v="2010-07-21T00:00:00"/>
    <s v="21-Jul-2010"/>
  </r>
  <r>
    <n v="41664"/>
    <d v="2011-12-04T00:00:00"/>
    <s v="Critical"/>
    <s v="04-Dec-2011"/>
    <n v="5"/>
    <n v="54.8"/>
    <n v="0"/>
    <s v="Regular Air"/>
    <n v="-15.3"/>
    <n v="9.7799999999999994"/>
    <n v="1.99"/>
    <s v="Janet Molinari"/>
    <s v="Ontario"/>
    <x v="3"/>
    <s v="Corporate"/>
    <s v="Technology"/>
    <x v="11"/>
    <x v="21"/>
    <d v="2011-12-04T00:00:00"/>
    <s v="04-Dec-2011"/>
  </r>
  <r>
    <n v="3585"/>
    <d v="2009-11-22T00:00:00"/>
    <s v="High"/>
    <s v="22-Nov-2009"/>
    <n v="34"/>
    <n v="54.69"/>
    <n v="7.0000000000000007E-2"/>
    <s v="Regular Air"/>
    <n v="-35.75"/>
    <n v="1.68"/>
    <n v="1.57"/>
    <s v="Ann Blume"/>
    <s v="Ontario"/>
    <x v="3"/>
    <s v="Corporate"/>
    <s v="Office Supplies"/>
    <x v="13"/>
    <x v="14"/>
    <d v="2009-11-23T00:00:00"/>
    <s v="23-Nov-2009"/>
  </r>
  <r>
    <n v="20451"/>
    <d v="2012-05-25T00:00:00"/>
    <s v="Critical"/>
    <s v="25-May-2012"/>
    <n v="6"/>
    <n v="53.72"/>
    <n v="0.1"/>
    <s v="Regular Air"/>
    <n v="2.82"/>
    <n v="8.9499999999999993"/>
    <n v="2.0099999999999998"/>
    <s v="Bill Overfelt"/>
    <s v="Ontario"/>
    <x v="3"/>
    <s v="Corporate"/>
    <s v="Office Supplies"/>
    <x v="12"/>
    <x v="4"/>
    <d v="2012-05-27T00:00:00"/>
    <s v="27-May-2012"/>
  </r>
  <r>
    <n v="46855"/>
    <d v="2010-03-05T00:00:00"/>
    <s v="High"/>
    <s v="05-Mar-2010"/>
    <n v="32"/>
    <n v="53.34"/>
    <n v="0.04"/>
    <s v="Regular Air"/>
    <n v="-4.68"/>
    <n v="1.68"/>
    <n v="0.7"/>
    <s v="Darren Budd"/>
    <s v="Ontario"/>
    <x v="3"/>
    <s v="Corporate"/>
    <s v="Furniture"/>
    <x v="7"/>
    <x v="48"/>
    <d v="2010-03-06T00:00:00"/>
    <s v="06-Mar-2010"/>
  </r>
  <r>
    <n v="48902"/>
    <d v="2012-10-23T00:00:00"/>
    <s v="Medium"/>
    <s v="23-Oct-2012"/>
    <n v="7"/>
    <n v="53.29"/>
    <n v="0.01"/>
    <s v="Regular Air"/>
    <n v="-28.88"/>
    <n v="6.48"/>
    <n v="7.49"/>
    <s v="Benjamin Patterson"/>
    <s v="Ontario"/>
    <x v="3"/>
    <s v="Corporate"/>
    <s v="Office Supplies"/>
    <x v="12"/>
    <x v="7"/>
    <d v="2012-10-25T00:00:00"/>
    <s v="25-Oct-2012"/>
  </r>
  <r>
    <n v="38210"/>
    <d v="2010-12-12T00:00:00"/>
    <s v="Low"/>
    <s v="12-Dec-2010"/>
    <n v="10"/>
    <n v="52.76"/>
    <n v="0.09"/>
    <s v="Regular Air"/>
    <n v="-49.53"/>
    <n v="4.9800000000000004"/>
    <n v="7.44"/>
    <s v="Ben Ferrer"/>
    <s v="Ontario"/>
    <x v="3"/>
    <s v="Corporate"/>
    <s v="Office Supplies"/>
    <x v="12"/>
    <x v="10"/>
    <d v="2010-12-12T00:00:00"/>
    <s v="12-Dec-2010"/>
  </r>
  <r>
    <n v="42596"/>
    <d v="2012-08-14T00:00:00"/>
    <s v="Medium"/>
    <s v="14-Aug-2012"/>
    <n v="9"/>
    <n v="51.75"/>
    <n v="0.05"/>
    <s v="Regular Air"/>
    <n v="4.16"/>
    <n v="5.58"/>
    <n v="0.7"/>
    <s v="Liz Thompson"/>
    <s v="Ontario"/>
    <x v="3"/>
    <s v="Corporate"/>
    <s v="Office Supplies"/>
    <x v="13"/>
    <x v="18"/>
    <d v="2012-08-16T00:00:00"/>
    <s v="16-Aug-2012"/>
  </r>
  <r>
    <n v="51395"/>
    <d v="2010-06-09T00:00:00"/>
    <s v="Low"/>
    <s v="09-Jun-2010"/>
    <n v="10"/>
    <n v="51.65"/>
    <n v="0.1"/>
    <s v="Regular Air"/>
    <n v="-32.130000000000003"/>
    <n v="4.9800000000000004"/>
    <n v="5.49"/>
    <s v="Lena Creighton"/>
    <s v="Ontario"/>
    <x v="3"/>
    <s v="Corporate"/>
    <s v="Office Supplies"/>
    <x v="12"/>
    <x v="1"/>
    <d v="2010-06-13T00:00:00"/>
    <s v="13-Jun-2010"/>
  </r>
  <r>
    <n v="52416"/>
    <d v="2009-01-31T00:00:00"/>
    <s v="Not Specified"/>
    <s v="31-Jan-2009"/>
    <n v="6"/>
    <n v="49.81"/>
    <n v="0.05"/>
    <s v="Regular Air"/>
    <n v="-16.95"/>
    <n v="7.64"/>
    <n v="5.83"/>
    <s v="Dave Brooks"/>
    <s v="Ontario"/>
    <x v="3"/>
    <s v="Corporate"/>
    <s v="Office Supplies"/>
    <x v="12"/>
    <x v="10"/>
    <d v="2009-02-02T00:00:00"/>
    <s v="02-Feb-2009"/>
  </r>
  <r>
    <n v="4354"/>
    <d v="2009-09-29T00:00:00"/>
    <s v="Not Specified"/>
    <s v="29-Sep-2009"/>
    <n v="6"/>
    <n v="49.04"/>
    <n v="0.02"/>
    <s v="Regular Air"/>
    <n v="7.74"/>
    <n v="7.38"/>
    <n v="5.21"/>
    <s v="Erin Creighton"/>
    <s v="Ontario"/>
    <x v="3"/>
    <s v="Corporate"/>
    <s v="Furniture"/>
    <x v="7"/>
    <x v="0"/>
    <d v="2009-09-30T00:00:00"/>
    <s v="30-Sep-2009"/>
  </r>
  <r>
    <n v="44706"/>
    <d v="2010-03-30T00:00:00"/>
    <s v="Low"/>
    <s v="30-Mar-2010"/>
    <n v="33"/>
    <n v="47.48"/>
    <n v="7.0000000000000007E-2"/>
    <s v="Regular Air"/>
    <n v="3.35"/>
    <n v="1.48"/>
    <n v="0.7"/>
    <s v="Ritsa Hightower"/>
    <s v="Ontario"/>
    <x v="3"/>
    <s v="Corporate"/>
    <s v="Office Supplies"/>
    <x v="16"/>
    <x v="7"/>
    <d v="2010-04-04T00:00:00"/>
    <s v="04-Apr-2010"/>
  </r>
  <r>
    <n v="1218"/>
    <d v="2009-06-19T00:00:00"/>
    <s v="Not Specified"/>
    <s v="19-Jun-2009"/>
    <n v="3"/>
    <n v="46.46"/>
    <n v="0.1"/>
    <s v="Regular Air"/>
    <n v="-25.13"/>
    <n v="14.42"/>
    <n v="6.75"/>
    <s v="Craig Carroll"/>
    <s v="Ontario"/>
    <x v="3"/>
    <s v="Corporate"/>
    <s v="Office Supplies"/>
    <x v="5"/>
    <x v="24"/>
    <d v="2009-06-22T00:00:00"/>
    <s v="22-Jun-2009"/>
  </r>
  <r>
    <n v="28420"/>
    <d v="2009-09-24T00:00:00"/>
    <s v="Low"/>
    <s v="24-Sep-2009"/>
    <n v="2"/>
    <n v="45.64"/>
    <n v="0.08"/>
    <s v="Express Air"/>
    <n v="-0.11"/>
    <n v="15.57"/>
    <n v="1.39"/>
    <s v="Bill Donatelli"/>
    <s v="Ontario"/>
    <x v="3"/>
    <s v="Corporate"/>
    <s v="Office Supplies"/>
    <x v="15"/>
    <x v="1"/>
    <d v="2009-09-24T00:00:00"/>
    <s v="24-Sep-2009"/>
  </r>
  <r>
    <n v="32516"/>
    <d v="2010-10-24T00:00:00"/>
    <s v="Critical"/>
    <s v="24-Oct-2010"/>
    <n v="15"/>
    <n v="43.96"/>
    <n v="0.03"/>
    <s v="Regular Air"/>
    <n v="-0.24"/>
    <n v="2.78"/>
    <n v="1.49"/>
    <s v="Robert Marley"/>
    <s v="Ontario"/>
    <x v="3"/>
    <s v="Corporate"/>
    <s v="Office Supplies"/>
    <x v="1"/>
    <x v="4"/>
    <d v="2010-10-26T00:00:00"/>
    <s v="26-Oct-2010"/>
  </r>
  <r>
    <n v="57699"/>
    <d v="2012-11-10T00:00:00"/>
    <s v="Low"/>
    <s v="10-Nov-2012"/>
    <n v="20"/>
    <n v="43.94"/>
    <n v="0.09"/>
    <s v="Regular Air"/>
    <n v="-72.23"/>
    <n v="2.08"/>
    <n v="5.33"/>
    <s v="Pete Takahito"/>
    <s v="Ontario"/>
    <x v="3"/>
    <s v="Corporate"/>
    <s v="Furniture"/>
    <x v="7"/>
    <x v="21"/>
    <d v="2012-11-12T00:00:00"/>
    <s v="12-Nov-2012"/>
  </r>
  <r>
    <n v="38498"/>
    <d v="2012-04-27T00:00:00"/>
    <s v="Critical"/>
    <s v="27-Apr-2012"/>
    <n v="1"/>
    <n v="43.9"/>
    <n v="0.02"/>
    <s v="Regular Air"/>
    <n v="-15.03"/>
    <n v="37.44"/>
    <n v="4.2699999999999996"/>
    <s v="Grant Carroll"/>
    <s v="Ontario"/>
    <x v="3"/>
    <s v="Corporate"/>
    <s v="Office Supplies"/>
    <x v="13"/>
    <x v="29"/>
    <d v="2012-04-30T00:00:00"/>
    <s v="30-Apr-2012"/>
  </r>
  <r>
    <n v="11874"/>
    <d v="2012-09-09T00:00:00"/>
    <s v="Medium"/>
    <s v="09-Sep-2012"/>
    <n v="1"/>
    <n v="40.29"/>
    <n v="0"/>
    <s v="Regular Air"/>
    <n v="-82.13"/>
    <n v="30.42"/>
    <n v="8.65"/>
    <s v="Tracy Poddar"/>
    <s v="Ontario"/>
    <x v="3"/>
    <s v="Corporate"/>
    <s v="Technology"/>
    <x v="11"/>
    <x v="37"/>
    <d v="2012-09-11T00:00:00"/>
    <s v="11-Sep-2012"/>
  </r>
  <r>
    <n v="59392"/>
    <d v="2010-06-26T00:00:00"/>
    <s v="Medium"/>
    <s v="26-Jun-2010"/>
    <n v="19"/>
    <n v="39.42"/>
    <n v="0.08"/>
    <s v="Regular Air"/>
    <n v="-29.02"/>
    <n v="2.12"/>
    <n v="1.99"/>
    <s v="Pauline Chand"/>
    <s v="Ontario"/>
    <x v="3"/>
    <s v="Corporate"/>
    <s v="Technology"/>
    <x v="11"/>
    <x v="20"/>
    <d v="2010-06-27T00:00:00"/>
    <s v="27-Jun-2010"/>
  </r>
  <r>
    <n v="34082"/>
    <d v="2011-10-28T00:00:00"/>
    <s v="Not Specified"/>
    <s v="28-Oct-2011"/>
    <n v="20"/>
    <n v="38.56"/>
    <n v="7.0000000000000007E-2"/>
    <s v="Regular Air"/>
    <n v="-10.25"/>
    <n v="1.88"/>
    <n v="1.49"/>
    <s v="Dan Lawera"/>
    <s v="Ontario"/>
    <x v="3"/>
    <s v="Corporate"/>
    <s v="Office Supplies"/>
    <x v="1"/>
    <x v="7"/>
    <d v="2011-10-29T00:00:00"/>
    <s v="29-Oct-2011"/>
  </r>
  <r>
    <n v="802"/>
    <d v="2011-01-04T00:00:00"/>
    <s v="Critical"/>
    <s v="04-Jan-2011"/>
    <n v="2"/>
    <n v="38.5"/>
    <n v="0.09"/>
    <s v="Regular Air"/>
    <n v="-52.14"/>
    <n v="15.99"/>
    <n v="9.4"/>
    <s v="Kean Nguyen"/>
    <s v="Ontario"/>
    <x v="3"/>
    <s v="Corporate"/>
    <s v="Technology"/>
    <x v="0"/>
    <x v="19"/>
    <d v="2011-01-04T00:00:00"/>
    <s v="04-Jan-2011"/>
  </r>
  <r>
    <n v="12160"/>
    <d v="2010-12-12T00:00:00"/>
    <s v="Low"/>
    <s v="12-Dec-2010"/>
    <n v="9"/>
    <n v="38.299999999999997"/>
    <n v="0.01"/>
    <s v="Regular Air"/>
    <n v="-42.49"/>
    <n v="3.36"/>
    <n v="6.27"/>
    <s v="Darren Budd"/>
    <s v="Ontario"/>
    <x v="3"/>
    <s v="Corporate"/>
    <s v="Furniture"/>
    <x v="7"/>
    <x v="20"/>
    <d v="2010-12-17T00:00:00"/>
    <s v="17-Dec-2010"/>
  </r>
  <r>
    <n v="58372"/>
    <d v="2011-04-02T00:00:00"/>
    <s v="Low"/>
    <s v="02-Apr-2011"/>
    <n v="16"/>
    <n v="38.200000000000003"/>
    <n v="7.0000000000000007E-2"/>
    <s v="Express Air"/>
    <n v="4.34"/>
    <n v="2.21"/>
    <n v="1"/>
    <s v="Brian Stugart"/>
    <s v="Ontario"/>
    <x v="3"/>
    <s v="Corporate"/>
    <s v="Office Supplies"/>
    <x v="13"/>
    <x v="1"/>
    <d v="2011-04-06T00:00:00"/>
    <s v="06-Apr-2011"/>
  </r>
  <r>
    <n v="55172"/>
    <d v="2010-12-03T00:00:00"/>
    <s v="Not Specified"/>
    <s v="03-Dec-2010"/>
    <n v="1"/>
    <n v="37.89"/>
    <n v="0"/>
    <s v="Regular Air"/>
    <n v="-120.97"/>
    <n v="35.409999999999997"/>
    <n v="1.99"/>
    <s v="Katherine Nockton"/>
    <s v="Ontario"/>
    <x v="3"/>
    <s v="Corporate"/>
    <s v="Technology"/>
    <x v="11"/>
    <x v="21"/>
    <d v="2010-12-04T00:00:00"/>
    <s v="04-Dec-2010"/>
  </r>
  <r>
    <n v="13861"/>
    <d v="2010-08-11T00:00:00"/>
    <s v="High"/>
    <s v="11-Aug-2010"/>
    <n v="7"/>
    <n v="37.299999999999997"/>
    <n v="0"/>
    <s v="Regular Air"/>
    <n v="5.03"/>
    <n v="4.84"/>
    <n v="0.71"/>
    <s v="Andy Yotov"/>
    <s v="Ontario"/>
    <x v="3"/>
    <s v="Corporate"/>
    <s v="Office Supplies"/>
    <x v="13"/>
    <x v="24"/>
    <d v="2010-08-11T00:00:00"/>
    <s v="11-Aug-2010"/>
  </r>
  <r>
    <n v="39078"/>
    <d v="2009-06-23T00:00:00"/>
    <s v="Low"/>
    <s v="23-Jun-2009"/>
    <n v="10"/>
    <n v="36.909999999999997"/>
    <n v="7.0000000000000007E-2"/>
    <s v="Regular Air"/>
    <n v="-27.72"/>
    <n v="3.28"/>
    <n v="3.97"/>
    <s v="Matt Connell"/>
    <s v="Ontario"/>
    <x v="3"/>
    <s v="Corporate"/>
    <s v="Office Supplies"/>
    <x v="13"/>
    <x v="0"/>
    <d v="2009-06-23T00:00:00"/>
    <s v="23-Jun-2009"/>
  </r>
  <r>
    <n v="12323"/>
    <d v="2011-04-02T00:00:00"/>
    <s v="Not Specified"/>
    <s v="02-Apr-2011"/>
    <n v="4"/>
    <n v="36.799999999999997"/>
    <n v="0"/>
    <s v="Regular Air"/>
    <n v="14.19"/>
    <n v="7.38"/>
    <n v="5.21"/>
    <s v="Lisa DeCherney"/>
    <s v="Ontario"/>
    <x v="3"/>
    <s v="Corporate"/>
    <s v="Furniture"/>
    <x v="7"/>
    <x v="0"/>
    <d v="2011-04-04T00:00:00"/>
    <s v="04-Apr-2011"/>
  </r>
  <r>
    <n v="17670"/>
    <d v="2009-08-25T00:00:00"/>
    <s v="Medium"/>
    <s v="25-Aug-2009"/>
    <n v="14"/>
    <n v="36.520000000000003"/>
    <n v="7.0000000000000007E-2"/>
    <s v="Regular Air"/>
    <n v="10.050000000000001"/>
    <n v="2.61"/>
    <n v="0.5"/>
    <s v="Sean O'Donnell"/>
    <s v="Ontario"/>
    <x v="3"/>
    <s v="Corporate"/>
    <s v="Office Supplies"/>
    <x v="9"/>
    <x v="4"/>
    <d v="2009-08-27T00:00:00"/>
    <s v="27-Aug-2009"/>
  </r>
  <r>
    <n v="36896"/>
    <d v="2009-11-03T00:00:00"/>
    <s v="Critical"/>
    <s v="03-Nov-2009"/>
    <n v="12"/>
    <n v="34.01"/>
    <n v="0"/>
    <s v="Regular Air"/>
    <n v="10.58"/>
    <n v="2.61"/>
    <n v="0.5"/>
    <s v="Xylona Price"/>
    <s v="Ontario"/>
    <x v="3"/>
    <s v="Corporate"/>
    <s v="Office Supplies"/>
    <x v="9"/>
    <x v="4"/>
    <d v="2009-11-05T00:00:00"/>
    <s v="05-Nov-2009"/>
  </r>
  <r>
    <n v="24679"/>
    <d v="2011-05-07T00:00:00"/>
    <s v="Not Specified"/>
    <s v="07-May-2011"/>
    <n v="7"/>
    <n v="33.99"/>
    <n v="0.09"/>
    <s v="Regular Air"/>
    <n v="-25.86"/>
    <n v="4.7699999999999996"/>
    <n v="2.39"/>
    <s v="Janet Molinari"/>
    <s v="Ontario"/>
    <x v="3"/>
    <s v="Corporate"/>
    <s v="Technology"/>
    <x v="11"/>
    <x v="13"/>
    <d v="2011-05-08T00:00:00"/>
    <s v="08-May-2011"/>
  </r>
  <r>
    <n v="13410"/>
    <d v="2010-06-06T00:00:00"/>
    <s v="Not Specified"/>
    <s v="06-Jun-2010"/>
    <n v="4"/>
    <n v="33.64"/>
    <n v="7.0000000000000007E-2"/>
    <s v="Regular Air"/>
    <n v="-35.17"/>
    <n v="8.1199999999999992"/>
    <n v="2.83"/>
    <s v="Bobby Odegard"/>
    <s v="Ontario"/>
    <x v="3"/>
    <s v="Corporate"/>
    <s v="Technology"/>
    <x v="11"/>
    <x v="36"/>
    <d v="2010-06-08T00:00:00"/>
    <s v="08-Jun-2010"/>
  </r>
  <r>
    <n v="129"/>
    <d v="2012-11-18T00:00:00"/>
    <s v="Low"/>
    <s v="18-Nov-2012"/>
    <n v="4"/>
    <n v="32.72"/>
    <n v="0.09"/>
    <s v="Regular Air"/>
    <n v="-22.59"/>
    <n v="6.48"/>
    <n v="8.19"/>
    <s v="Pauline Chand"/>
    <s v="Ontario"/>
    <x v="3"/>
    <s v="Corporate"/>
    <s v="Office Supplies"/>
    <x v="12"/>
    <x v="7"/>
    <d v="2012-11-27T00:00:00"/>
    <s v="27-Nov-2012"/>
  </r>
  <r>
    <n v="34788"/>
    <d v="2009-11-09T00:00:00"/>
    <s v="High"/>
    <s v="09-Nov-2009"/>
    <n v="4"/>
    <n v="30.47"/>
    <n v="0.02"/>
    <s v="Regular Air"/>
    <n v="-10.7"/>
    <n v="5.98"/>
    <n v="5.15"/>
    <s v="Alan Hwang"/>
    <s v="Ontario"/>
    <x v="3"/>
    <s v="Corporate"/>
    <s v="Office Supplies"/>
    <x v="12"/>
    <x v="10"/>
    <d v="2009-11-11T00:00:00"/>
    <s v="11-Nov-2009"/>
  </r>
  <r>
    <n v="30308"/>
    <d v="2010-03-21T00:00:00"/>
    <s v="Medium"/>
    <s v="21-Mar-2010"/>
    <n v="15"/>
    <n v="30.38"/>
    <n v="0.08"/>
    <s v="Regular Air"/>
    <n v="-59.18"/>
    <n v="1.8"/>
    <n v="4.79"/>
    <s v="George Bell"/>
    <s v="Ontario"/>
    <x v="3"/>
    <s v="Corporate"/>
    <s v="Office Supplies"/>
    <x v="1"/>
    <x v="7"/>
    <d v="2010-03-22T00:00:00"/>
    <s v="22-Mar-2010"/>
  </r>
  <r>
    <n v="42597"/>
    <d v="2010-03-25T00:00:00"/>
    <s v="Medium"/>
    <s v="25-Mar-2010"/>
    <n v="5"/>
    <n v="29.66"/>
    <n v="0.04"/>
    <s v="Regular Air"/>
    <n v="-32.78"/>
    <n v="4.9800000000000004"/>
    <n v="4.32"/>
    <s v="Paul Prost"/>
    <s v="Ontario"/>
    <x v="3"/>
    <s v="Corporate"/>
    <s v="Technology"/>
    <x v="11"/>
    <x v="28"/>
    <d v="2010-03-27T00:00:00"/>
    <s v="27-Mar-2010"/>
  </r>
  <r>
    <n v="1826"/>
    <d v="2012-04-15T00:00:00"/>
    <s v="Not Specified"/>
    <s v="15-Apr-2012"/>
    <n v="5"/>
    <n v="28.32"/>
    <n v="0.09"/>
    <s v="Regular Air"/>
    <n v="-14.35"/>
    <n v="4.9800000000000004"/>
    <n v="4.75"/>
    <s v="Susan Vittorini"/>
    <s v="Ontario"/>
    <x v="3"/>
    <s v="Corporate"/>
    <s v="Office Supplies"/>
    <x v="12"/>
    <x v="10"/>
    <d v="2012-04-16T00:00:00"/>
    <s v="16-Apr-2012"/>
  </r>
  <r>
    <n v="49190"/>
    <d v="2012-12-11T00:00:00"/>
    <s v="High"/>
    <s v="11-Dec-2012"/>
    <n v="4"/>
    <n v="28.04"/>
    <n v="0.09"/>
    <s v="Regular Air"/>
    <n v="-4.45"/>
    <n v="6.88"/>
    <n v="2"/>
    <s v="Evan Henry"/>
    <s v="Ontario"/>
    <x v="3"/>
    <s v="Corporate"/>
    <s v="Office Supplies"/>
    <x v="12"/>
    <x v="4"/>
    <d v="2012-12-12T00:00:00"/>
    <s v="12-Dec-2012"/>
  </r>
  <r>
    <n v="740"/>
    <d v="2011-07-15T00:00:00"/>
    <s v="Medium"/>
    <s v="15-Jul-2011"/>
    <n v="6"/>
    <n v="28.01"/>
    <n v="0.09"/>
    <s v="Regular Air"/>
    <n v="3.46"/>
    <n v="4.9800000000000004"/>
    <n v="0.49"/>
    <s v="Thomas Boland"/>
    <s v="Ontario"/>
    <x v="3"/>
    <s v="Corporate"/>
    <s v="Office Supplies"/>
    <x v="9"/>
    <x v="4"/>
    <d v="2011-07-15T00:00:00"/>
    <s v="15-Jul-2011"/>
  </r>
  <r>
    <n v="41702"/>
    <d v="2010-12-22T00:00:00"/>
    <s v="Not Specified"/>
    <s v="22-Dec-2010"/>
    <n v="5"/>
    <n v="27.9"/>
    <n v="0.02"/>
    <s v="Regular Air"/>
    <n v="-22.82"/>
    <n v="4.28"/>
    <n v="6.72"/>
    <s v="Corinna Mitchell"/>
    <s v="Ontario"/>
    <x v="3"/>
    <s v="Corporate"/>
    <s v="Office Supplies"/>
    <x v="12"/>
    <x v="27"/>
    <d v="2010-12-24T00:00:00"/>
    <s v="24-Dec-2010"/>
  </r>
  <r>
    <n v="28805"/>
    <d v="2011-04-02T00:00:00"/>
    <s v="Medium"/>
    <s v="02-Apr-2011"/>
    <n v="4"/>
    <n v="25.52"/>
    <n v="7.0000000000000007E-2"/>
    <s v="Regular Air"/>
    <n v="-1.99"/>
    <n v="5.98"/>
    <n v="1.49"/>
    <s v="Bill Stewart"/>
    <s v="Ontario"/>
    <x v="3"/>
    <s v="Corporate"/>
    <s v="Office Supplies"/>
    <x v="1"/>
    <x v="4"/>
    <d v="2011-04-04T00:00:00"/>
    <s v="04-Apr-2011"/>
  </r>
  <r>
    <n v="42246"/>
    <d v="2012-04-26T00:00:00"/>
    <s v="Not Specified"/>
    <s v="26-Apr-2012"/>
    <n v="5"/>
    <n v="25.31"/>
    <n v="0.05"/>
    <s v="Regular Air"/>
    <n v="-0.5"/>
    <n v="4.84"/>
    <n v="0.71"/>
    <s v="Ted Trevino"/>
    <s v="Ontario"/>
    <x v="3"/>
    <s v="Corporate"/>
    <s v="Office Supplies"/>
    <x v="13"/>
    <x v="24"/>
    <d v="2012-04-28T00:00:00"/>
    <s v="28-Apr-2012"/>
  </r>
  <r>
    <n v="52611"/>
    <d v="2011-04-25T00:00:00"/>
    <s v="Medium"/>
    <s v="25-Apr-2011"/>
    <n v="11"/>
    <n v="24.95"/>
    <n v="0.09"/>
    <s v="Regular Air"/>
    <n v="-5.14"/>
    <n v="2.1800000000000002"/>
    <n v="1.38"/>
    <s v="Cathy Prescott"/>
    <s v="Ontario"/>
    <x v="3"/>
    <s v="Corporate"/>
    <s v="Office Supplies"/>
    <x v="16"/>
    <x v="47"/>
    <d v="2011-04-25T00:00:00"/>
    <s v="25-Apr-2011"/>
  </r>
  <r>
    <n v="29985"/>
    <d v="2012-07-11T00:00:00"/>
    <s v="Critical"/>
    <s v="11-Jul-2012"/>
    <n v="2"/>
    <n v="24.51"/>
    <n v="0.06"/>
    <s v="Regular Air"/>
    <n v="-18.260000000000002"/>
    <n v="8.0399999999999991"/>
    <n v="8.94"/>
    <s v="Guy Phonely"/>
    <s v="Ontario"/>
    <x v="3"/>
    <s v="Corporate"/>
    <s v="Office Supplies"/>
    <x v="1"/>
    <x v="27"/>
    <d v="2012-07-13T00:00:00"/>
    <s v="13-Jul-2012"/>
  </r>
  <r>
    <n v="42851"/>
    <d v="2009-06-01T00:00:00"/>
    <s v="High"/>
    <s v="01-Jun-2009"/>
    <n v="4"/>
    <n v="24.32"/>
    <n v="0.05"/>
    <s v="Express Air"/>
    <n v="-2.97"/>
    <n v="4.71"/>
    <n v="0.7"/>
    <s v="Robert Marley"/>
    <s v="Ontario"/>
    <x v="3"/>
    <s v="Corporate"/>
    <s v="Office Supplies"/>
    <x v="16"/>
    <x v="12"/>
    <d v="2009-06-02T00:00:00"/>
    <s v="02-Jun-2009"/>
  </r>
  <r>
    <n v="58851"/>
    <d v="2010-06-07T00:00:00"/>
    <s v="Low"/>
    <s v="07-Jun-2010"/>
    <n v="3"/>
    <n v="23.93"/>
    <n v="0.1"/>
    <s v="Regular Air"/>
    <n v="-6.39"/>
    <n v="8.34"/>
    <n v="0.96"/>
    <s v="Alan Hwang"/>
    <s v="Ontario"/>
    <x v="3"/>
    <s v="Corporate"/>
    <s v="Furniture"/>
    <x v="7"/>
    <x v="21"/>
    <d v="2010-06-11T00:00:00"/>
    <s v="11-Jun-2010"/>
  </r>
  <r>
    <n v="40961"/>
    <d v="2011-03-30T00:00:00"/>
    <s v="Medium"/>
    <s v="30-Mar-2011"/>
    <n v="7"/>
    <n v="23.84"/>
    <n v="0.02"/>
    <s v="Regular Air"/>
    <n v="5.88"/>
    <n v="3.15"/>
    <n v="0.5"/>
    <s v="Bill Donatelli"/>
    <s v="Ontario"/>
    <x v="3"/>
    <s v="Corporate"/>
    <s v="Office Supplies"/>
    <x v="9"/>
    <x v="7"/>
    <d v="2011-03-31T00:00:00"/>
    <s v="31-Mar-2011"/>
  </r>
  <r>
    <n v="56101"/>
    <d v="2010-07-19T00:00:00"/>
    <s v="Not Specified"/>
    <s v="19-Jul-2010"/>
    <n v="1"/>
    <n v="21.45"/>
    <n v="0.01"/>
    <s v="Regular Air"/>
    <n v="-7.22"/>
    <n v="14.42"/>
    <n v="6.75"/>
    <s v="Bill Donatelli"/>
    <s v="Ontario"/>
    <x v="3"/>
    <s v="Corporate"/>
    <s v="Office Supplies"/>
    <x v="5"/>
    <x v="24"/>
    <d v="2010-07-21T00:00:00"/>
    <s v="21-Jul-2010"/>
  </r>
  <r>
    <n v="12261"/>
    <d v="2010-10-23T00:00:00"/>
    <s v="Low"/>
    <s v="23-Oct-2010"/>
    <n v="4"/>
    <n v="20.59"/>
    <n v="0.02"/>
    <s v="Express Air"/>
    <n v="1.19"/>
    <n v="3.98"/>
    <n v="0.83"/>
    <s v="Ritsa Hightower"/>
    <s v="Ontario"/>
    <x v="3"/>
    <s v="Corporate"/>
    <s v="Office Supplies"/>
    <x v="13"/>
    <x v="51"/>
    <d v="2010-10-27T00:00:00"/>
    <s v="27-Oct-2010"/>
  </r>
  <r>
    <n v="41185"/>
    <d v="2009-12-06T00:00:00"/>
    <s v="Critical"/>
    <s v="06-Dec-2009"/>
    <n v="2"/>
    <n v="18.809999999999999"/>
    <n v="0.08"/>
    <s v="Regular Air"/>
    <n v="-12.83"/>
    <n v="5.78"/>
    <n v="7.96"/>
    <s v="Ben Ferrer"/>
    <s v="Ontario"/>
    <x v="3"/>
    <s v="Corporate"/>
    <s v="Office Supplies"/>
    <x v="12"/>
    <x v="10"/>
    <d v="2009-12-07T00:00:00"/>
    <s v="07-Dec-2009"/>
  </r>
  <r>
    <n v="3266"/>
    <d v="2011-03-16T00:00:00"/>
    <s v="Low"/>
    <s v="16-Mar-2011"/>
    <n v="4"/>
    <n v="17.12"/>
    <n v="0.03"/>
    <s v="Regular Air"/>
    <n v="-2.5499999999999998"/>
    <n v="3.8"/>
    <n v="1.49"/>
    <s v="Edward Becker"/>
    <s v="Ontario"/>
    <x v="3"/>
    <s v="Corporate"/>
    <s v="Office Supplies"/>
    <x v="1"/>
    <x v="1"/>
    <d v="2011-03-20T00:00:00"/>
    <s v="20-Mar-2011"/>
  </r>
  <r>
    <n v="48615"/>
    <d v="2012-12-03T00:00:00"/>
    <s v="Low"/>
    <s v="03-Dec-2012"/>
    <n v="4"/>
    <n v="16.91"/>
    <n v="0.08"/>
    <s v="Regular Air"/>
    <n v="0.21"/>
    <n v="4.13"/>
    <n v="0.5"/>
    <s v="George Bell"/>
    <s v="Ontario"/>
    <x v="3"/>
    <s v="Corporate"/>
    <s v="Office Supplies"/>
    <x v="9"/>
    <x v="4"/>
    <d v="2012-12-07T00:00:00"/>
    <s v="07-Dec-2012"/>
  </r>
  <r>
    <n v="6053"/>
    <d v="2010-12-11T00:00:00"/>
    <s v="Medium"/>
    <s v="11-Dec-2010"/>
    <n v="4"/>
    <n v="16.079999999999998"/>
    <n v="0.04"/>
    <s v="Regular Air"/>
    <n v="-3.75"/>
    <n v="3.8"/>
    <n v="1.49"/>
    <s v="Maureen Fritzler"/>
    <s v="Ontario"/>
    <x v="3"/>
    <s v="Corporate"/>
    <s v="Office Supplies"/>
    <x v="1"/>
    <x v="1"/>
    <d v="2010-12-13T00:00:00"/>
    <s v="13-Dec-2010"/>
  </r>
  <r>
    <n v="386"/>
    <d v="2011-01-24T00:00:00"/>
    <s v="High"/>
    <s v="24-Jan-2011"/>
    <n v="4"/>
    <n v="15.69"/>
    <n v="0.09"/>
    <s v="Regular Air"/>
    <n v="-1.59"/>
    <n v="3.85"/>
    <n v="0.7"/>
    <s v="Tracy Poddar"/>
    <s v="Ontario"/>
    <x v="3"/>
    <s v="Corporate"/>
    <s v="Office Supplies"/>
    <x v="13"/>
    <x v="47"/>
    <d v="2011-01-26T00:00:00"/>
    <s v="26-Jan-2011"/>
  </r>
  <r>
    <n v="386"/>
    <d v="2011-01-24T00:00:00"/>
    <s v="High"/>
    <s v="24-Jan-2011"/>
    <n v="4"/>
    <n v="14.96"/>
    <n v="0.02"/>
    <s v="Regular Air"/>
    <n v="-0.03"/>
    <n v="3.69"/>
    <n v="0.5"/>
    <s v="Tracy Poddar"/>
    <s v="Ontario"/>
    <x v="3"/>
    <s v="Corporate"/>
    <s v="Office Supplies"/>
    <x v="9"/>
    <x v="1"/>
    <d v="2011-01-26T00:00:00"/>
    <s v="26-Jan-2011"/>
  </r>
  <r>
    <n v="32292"/>
    <d v="2012-02-15T00:00:00"/>
    <s v="Low"/>
    <s v="15-Feb-2012"/>
    <n v="1"/>
    <n v="13.53"/>
    <n v="7.0000000000000007E-2"/>
    <s v="Regular Air"/>
    <n v="-6.73"/>
    <n v="11.55"/>
    <n v="2.36"/>
    <s v="Ben Peterman"/>
    <s v="Ontario"/>
    <x v="3"/>
    <s v="Corporate"/>
    <s v="Office Supplies"/>
    <x v="13"/>
    <x v="20"/>
    <d v="2012-02-17T00:00:00"/>
    <s v="17-Feb-2012"/>
  </r>
  <r>
    <n v="27684"/>
    <d v="2011-09-05T00:00:00"/>
    <s v="Low"/>
    <s v="05-Sep-2011"/>
    <n v="1"/>
    <n v="13.04"/>
    <n v="0.06"/>
    <s v="Regular Air"/>
    <n v="-6.62"/>
    <n v="10.48"/>
    <n v="2.89"/>
    <s v="John Lucas"/>
    <s v="Ontario"/>
    <x v="3"/>
    <s v="Corporate"/>
    <s v="Office Supplies"/>
    <x v="13"/>
    <x v="18"/>
    <d v="2011-09-07T00:00:00"/>
    <s v="07-Sep-2011"/>
  </r>
  <r>
    <n v="35555"/>
    <d v="2011-03-04T00:00:00"/>
    <s v="Medium"/>
    <s v="04-Mar-2011"/>
    <n v="2"/>
    <n v="10.43"/>
    <n v="7.0000000000000007E-2"/>
    <s v="Regular Air"/>
    <n v="-4.72"/>
    <n v="4.9800000000000004"/>
    <n v="0.8"/>
    <s v="James Lanier"/>
    <s v="Ontario"/>
    <x v="3"/>
    <s v="Corporate"/>
    <s v="Office Supplies"/>
    <x v="12"/>
    <x v="10"/>
    <d v="2011-03-04T00:00:00"/>
    <s v="04-Mar-2011"/>
  </r>
  <r>
    <n v="7744"/>
    <d v="2009-11-17T00:00:00"/>
    <s v="Low"/>
    <s v="17-Nov-2009"/>
    <n v="1"/>
    <n v="8.34"/>
    <n v="0.09"/>
    <s v="Regular Air"/>
    <n v="-3.44"/>
    <n v="7.64"/>
    <n v="1.39"/>
    <s v="Kean Nguyen"/>
    <s v="Ontario"/>
    <x v="3"/>
    <s v="Corporate"/>
    <s v="Office Supplies"/>
    <x v="15"/>
    <x v="10"/>
    <d v="2009-11-26T00:00:00"/>
    <s v="26-Nov-2009"/>
  </r>
  <r>
    <n v="24707"/>
    <d v="2012-03-10T00:00:00"/>
    <s v="Medium"/>
    <s v="10-Mar-2012"/>
    <n v="3"/>
    <n v="4.9400000000000004"/>
    <n v="0.1"/>
    <s v="Regular Air"/>
    <n v="-1.76"/>
    <n v="1.48"/>
    <n v="0.7"/>
    <s v="Don Weiss"/>
    <s v="Ontario"/>
    <x v="3"/>
    <s v="Corporate"/>
    <s v="Office Supplies"/>
    <x v="16"/>
    <x v="7"/>
    <d v="2012-03-12T00:00:00"/>
    <s v="12-Mar-2012"/>
  </r>
  <r>
    <n v="46243"/>
    <d v="2012-01-24T00:00:00"/>
    <s v="Low"/>
    <s v="24-Jan-2012"/>
    <n v="1"/>
    <n v="3.63"/>
    <n v="0.03"/>
    <s v="Regular Air"/>
    <n v="-1.56"/>
    <n v="2.88"/>
    <n v="0.7"/>
    <s v="Maria Bertelson"/>
    <s v="Ontario"/>
    <x v="3"/>
    <s v="Corporate"/>
    <s v="Office Supplies"/>
    <x v="13"/>
    <x v="0"/>
    <d v="2012-01-29T00:00:00"/>
    <s v="29-Jan-2012"/>
  </r>
  <r>
    <n v="37252"/>
    <d v="2011-11-19T00:00:00"/>
    <s v="Low"/>
    <s v="19-Nov-2011"/>
    <n v="34"/>
    <n v="29345.27"/>
    <n v="0.03"/>
    <s v="Delivery Truck"/>
    <n v="7497.55"/>
    <n v="880.98"/>
    <n v="44.55"/>
    <s v="Steve Chapman"/>
    <s v="Manitoba"/>
    <x v="4"/>
    <s v="Corporate"/>
    <s v="Furniture"/>
    <x v="8"/>
    <x v="44"/>
    <d v="2011-11-24T00:00:00"/>
    <s v="24-Nov-2011"/>
  </r>
  <r>
    <n v="37124"/>
    <d v="2012-03-30T00:00:00"/>
    <s v="Low"/>
    <s v="30-Mar-2012"/>
    <n v="33"/>
    <n v="21205.5"/>
    <n v="0.1"/>
    <s v="Regular Air"/>
    <n v="241.3"/>
    <n v="699.99"/>
    <n v="24.49"/>
    <s v="Julie Kriz"/>
    <s v="Manitoba"/>
    <x v="4"/>
    <s v="Corporate"/>
    <s v="Technology"/>
    <x v="6"/>
    <x v="25"/>
    <d v="2012-04-01T00:00:00"/>
    <s v="01-Apr-2012"/>
  </r>
  <r>
    <n v="6625"/>
    <d v="2010-08-15T00:00:00"/>
    <s v="High"/>
    <s v="15-Aug-2010"/>
    <n v="23"/>
    <n v="21062.91"/>
    <n v="0.01"/>
    <s v="Delivery Truck"/>
    <n v="5713.53"/>
    <n v="880.98"/>
    <n v="44.55"/>
    <s v="Roy Skaria"/>
    <s v="Manitoba"/>
    <x v="4"/>
    <s v="Corporate"/>
    <s v="Furniture"/>
    <x v="8"/>
    <x v="44"/>
    <d v="2010-08-17T00:00:00"/>
    <s v="17-Aug-2010"/>
  </r>
  <r>
    <n v="42437"/>
    <d v="2012-03-05T00:00:00"/>
    <s v="Critical"/>
    <s v="05-Mar-2012"/>
    <n v="43"/>
    <n v="19461.8"/>
    <n v="0.06"/>
    <s v="Delivery Truck"/>
    <n v="7752.01"/>
    <n v="449.99"/>
    <n v="49"/>
    <s v="Denny Joy"/>
    <s v="Manitoba"/>
    <x v="4"/>
    <s v="Corporate"/>
    <s v="Technology"/>
    <x v="6"/>
    <x v="1"/>
    <d v="2012-03-07T00:00:00"/>
    <s v="07-Mar-2012"/>
  </r>
  <r>
    <n v="25473"/>
    <d v="2012-10-14T00:00:00"/>
    <s v="High"/>
    <s v="14-Oct-2012"/>
    <n v="36"/>
    <n v="17304.849999999999"/>
    <n v="0.05"/>
    <s v="Delivery Truck"/>
    <n v="7434.48"/>
    <n v="500.98"/>
    <n v="28.14"/>
    <s v="Mary Zewe"/>
    <s v="Manitoba"/>
    <x v="4"/>
    <s v="Corporate"/>
    <s v="Technology"/>
    <x v="0"/>
    <x v="1"/>
    <d v="2012-10-16T00:00:00"/>
    <s v="16-Oct-2012"/>
  </r>
  <r>
    <n v="29028"/>
    <d v="2011-02-05T00:00:00"/>
    <s v="Critical"/>
    <s v="05-Feb-2011"/>
    <n v="43"/>
    <n v="17131.36"/>
    <n v="0.08"/>
    <s v="Delivery Truck"/>
    <n v="4722.7700000000004"/>
    <n v="400.97"/>
    <n v="14.7"/>
    <s v="Marc Crier"/>
    <s v="Manitoba"/>
    <x v="4"/>
    <s v="Corporate"/>
    <s v="Technology"/>
    <x v="0"/>
    <x v="14"/>
    <d v="2011-02-07T00:00:00"/>
    <s v="07-Feb-2011"/>
  </r>
  <r>
    <n v="55873"/>
    <d v="2011-11-19T00:00:00"/>
    <s v="Low"/>
    <s v="19-Nov-2011"/>
    <n v="48"/>
    <n v="15602.93"/>
    <n v="0"/>
    <s v="Delivery Truck"/>
    <n v="4875.8900000000003"/>
    <n v="306.14"/>
    <n v="26.53"/>
    <s v="Bart Watters"/>
    <s v="Manitoba"/>
    <x v="4"/>
    <s v="Corporate"/>
    <s v="Technology"/>
    <x v="0"/>
    <x v="0"/>
    <d v="2011-11-26T00:00:00"/>
    <s v="26-Nov-2011"/>
  </r>
  <r>
    <n v="48480"/>
    <d v="2010-01-02T00:00:00"/>
    <s v="Critical"/>
    <s v="02-Jan-2010"/>
    <n v="32"/>
    <n v="11103.75"/>
    <n v="0.1"/>
    <s v="Delivery Truck"/>
    <n v="-522.59"/>
    <n v="370.98"/>
    <n v="99"/>
    <s v="Sean Wendt"/>
    <s v="Manitoba"/>
    <x v="4"/>
    <s v="Corporate"/>
    <s v="Office Supplies"/>
    <x v="4"/>
    <x v="38"/>
    <d v="2010-01-05T00:00:00"/>
    <s v="05-Jan-2010"/>
  </r>
  <r>
    <n v="24448"/>
    <d v="2012-02-06T00:00:00"/>
    <s v="High"/>
    <s v="06-Feb-2012"/>
    <n v="46"/>
    <n v="11036.16"/>
    <n v="0.05"/>
    <s v="Delivery Truck"/>
    <n v="1187.8"/>
    <n v="236.97"/>
    <n v="59.24"/>
    <s v="Roy Skaria"/>
    <s v="Manitoba"/>
    <x v="4"/>
    <s v="Corporate"/>
    <s v="Furniture"/>
    <x v="3"/>
    <x v="9"/>
    <d v="2012-02-08T00:00:00"/>
    <s v="08-Feb-2012"/>
  </r>
  <r>
    <n v="14342"/>
    <d v="2009-04-27T00:00:00"/>
    <s v="Low"/>
    <s v="27-Apr-2009"/>
    <n v="38"/>
    <n v="10823.84"/>
    <n v="0.09"/>
    <s v="Regular Air"/>
    <n v="3857.43"/>
    <n v="300.97000000000003"/>
    <n v="7.18"/>
    <s v="Deborah Brumfield"/>
    <s v="Manitoba"/>
    <x v="4"/>
    <s v="Corporate"/>
    <s v="Technology"/>
    <x v="11"/>
    <x v="23"/>
    <d v="2009-04-27T00:00:00"/>
    <s v="27-Apr-2009"/>
  </r>
  <r>
    <n v="55623"/>
    <d v="2012-10-05T00:00:00"/>
    <s v="Critical"/>
    <s v="05-Oct-2012"/>
    <n v="47"/>
    <n v="10348.73"/>
    <n v="0.09"/>
    <s v="Delivery Truck"/>
    <n v="1094.57"/>
    <n v="227.55"/>
    <n v="32.479999999999997"/>
    <s v="Jack Garza"/>
    <s v="Manitoba"/>
    <x v="4"/>
    <s v="Corporate"/>
    <s v="Furniture"/>
    <x v="3"/>
    <x v="48"/>
    <d v="2012-10-06T00:00:00"/>
    <s v="06-Oct-2012"/>
  </r>
  <r>
    <n v="9954"/>
    <d v="2009-06-19T00:00:00"/>
    <s v="Not Specified"/>
    <s v="19-Jun-2009"/>
    <n v="36"/>
    <n v="10122.719999999999"/>
    <n v="7.0000000000000007E-2"/>
    <s v="Delivery Truck"/>
    <n v="-381.16"/>
    <n v="280.98"/>
    <n v="57"/>
    <s v="Thais Sissman"/>
    <s v="Manitoba"/>
    <x v="4"/>
    <s v="Corporate"/>
    <s v="Furniture"/>
    <x v="2"/>
    <x v="8"/>
    <d v="2009-06-20T00:00:00"/>
    <s v="20-Jun-2009"/>
  </r>
  <r>
    <n v="56708"/>
    <d v="2012-12-02T00:00:00"/>
    <s v="Not Specified"/>
    <s v="02-Dec-2012"/>
    <n v="36"/>
    <n v="10006.280000000001"/>
    <n v="0.1"/>
    <s v="Delivery Truck"/>
    <n v="-760.98"/>
    <n v="286.85000000000002"/>
    <n v="61.76"/>
    <s v="Art Ferguson"/>
    <s v="Manitoba"/>
    <x v="4"/>
    <s v="Corporate"/>
    <s v="Furniture"/>
    <x v="3"/>
    <x v="8"/>
    <d v="2012-12-02T00:00:00"/>
    <s v="02-Dec-2012"/>
  </r>
  <r>
    <n v="22663"/>
    <d v="2012-01-11T00:00:00"/>
    <s v="Low"/>
    <s v="11-Jan-2012"/>
    <n v="35"/>
    <n v="9843.11"/>
    <n v="7.0000000000000007E-2"/>
    <s v="Delivery Truck"/>
    <n v="-384.6"/>
    <n v="280.98"/>
    <n v="57"/>
    <s v="Maria Bertelson"/>
    <s v="Manitoba"/>
    <x v="4"/>
    <s v="Corporate"/>
    <s v="Furniture"/>
    <x v="2"/>
    <x v="8"/>
    <d v="2012-01-11T00:00:00"/>
    <s v="11-Jan-2012"/>
  </r>
  <r>
    <n v="47493"/>
    <d v="2009-02-11T00:00:00"/>
    <s v="Critical"/>
    <s v="11-Feb-2009"/>
    <n v="36"/>
    <n v="9757.48"/>
    <n v="7.0000000000000007E-2"/>
    <s v="Delivery Truck"/>
    <n v="-96.05"/>
    <n v="270.98"/>
    <n v="50"/>
    <s v="Michael Moore"/>
    <s v="Manitoba"/>
    <x v="4"/>
    <s v="Corporate"/>
    <s v="Furniture"/>
    <x v="2"/>
    <x v="36"/>
    <d v="2009-02-13T00:00:00"/>
    <s v="13-Feb-2009"/>
  </r>
  <r>
    <n v="20135"/>
    <d v="2009-06-30T00:00:00"/>
    <s v="Critical"/>
    <s v="30-Jun-2009"/>
    <n v="28"/>
    <n v="9601.94"/>
    <n v="0.08"/>
    <s v="Delivery Truck"/>
    <n v="2428.59"/>
    <n v="349.45"/>
    <n v="60"/>
    <s v="Susan MacKendrick"/>
    <s v="Manitoba"/>
    <x v="4"/>
    <s v="Corporate"/>
    <s v="Furniture"/>
    <x v="3"/>
    <x v="49"/>
    <d v="2009-07-02T00:00:00"/>
    <s v="02-Jul-2009"/>
  </r>
  <r>
    <n v="59684"/>
    <d v="2010-12-29T00:00:00"/>
    <s v="Medium"/>
    <s v="29-Dec-2010"/>
    <n v="50"/>
    <n v="9059.9"/>
    <n v="7.0000000000000007E-2"/>
    <s v="Delivery Truck"/>
    <n v="778.01"/>
    <n v="180.98"/>
    <n v="55.24"/>
    <s v="Susan MacKendrick"/>
    <s v="Manitoba"/>
    <x v="4"/>
    <s v="Corporate"/>
    <s v="Office Supplies"/>
    <x v="5"/>
    <x v="6"/>
    <d v="2011-01-15T00:00:00"/>
    <s v="15-Jan-2011"/>
  </r>
  <r>
    <n v="48167"/>
    <d v="2009-09-06T00:00:00"/>
    <s v="Critical"/>
    <s v="06-Sep-2009"/>
    <n v="27"/>
    <n v="8817.7099999999991"/>
    <n v="0.09"/>
    <s v="Delivery Truck"/>
    <n v="-2946.05"/>
    <n v="349.45"/>
    <n v="60"/>
    <s v="Dana Kaydos"/>
    <s v="Manitoba"/>
    <x v="4"/>
    <s v="Corporate"/>
    <s v="Furniture"/>
    <x v="3"/>
    <x v="49"/>
    <d v="2009-09-07T00:00:00"/>
    <s v="07-Sep-2009"/>
  </r>
  <r>
    <n v="47622"/>
    <d v="2012-09-12T00:00:00"/>
    <s v="Not Specified"/>
    <s v="12-Sep-2012"/>
    <n v="41"/>
    <n v="8188.19"/>
    <n v="0.05"/>
    <s v="Regular Air"/>
    <n v="3702"/>
    <n v="204.1"/>
    <n v="13.99"/>
    <s v="Lindsay Williams"/>
    <s v="Manitoba"/>
    <x v="4"/>
    <s v="Corporate"/>
    <s v="Technology"/>
    <x v="0"/>
    <x v="7"/>
    <d v="2012-09-13T00:00:00"/>
    <s v="13-Sep-2012"/>
  </r>
  <r>
    <n v="53477"/>
    <d v="2012-05-05T00:00:00"/>
    <s v="High"/>
    <s v="05-May-2012"/>
    <n v="27"/>
    <n v="8161.93"/>
    <n v="0.06"/>
    <s v="Delivery Truck"/>
    <n v="1261.44"/>
    <n v="300.98"/>
    <n v="64.73"/>
    <s v="Joy Smith"/>
    <s v="Manitoba"/>
    <x v="4"/>
    <s v="Corporate"/>
    <s v="Furniture"/>
    <x v="2"/>
    <x v="0"/>
    <d v="2012-05-06T00:00:00"/>
    <s v="06-May-2012"/>
  </r>
  <r>
    <n v="48614"/>
    <d v="2012-05-31T00:00:00"/>
    <s v="Critical"/>
    <s v="31-May-2012"/>
    <n v="46"/>
    <n v="7965.9025000000001"/>
    <n v="0.01"/>
    <s v="Regular Air"/>
    <n v="2311.96"/>
    <n v="195.99"/>
    <n v="8.99"/>
    <s v="Nathan Mautz"/>
    <s v="Manitoba"/>
    <x v="4"/>
    <s v="Corporate"/>
    <s v="Technology"/>
    <x v="10"/>
    <x v="18"/>
    <d v="2012-05-31T00:00:00"/>
    <s v="31-May-2012"/>
  </r>
  <r>
    <n v="35813"/>
    <d v="2009-04-21T00:00:00"/>
    <s v="Critical"/>
    <s v="21-Apr-2009"/>
    <n v="21"/>
    <n v="7841.57"/>
    <n v="0.05"/>
    <s v="Express Air"/>
    <n v="2347.1799999999998"/>
    <n v="363.25"/>
    <n v="19.989999999999998"/>
    <s v="Tracy Collins"/>
    <s v="Manitoba"/>
    <x v="4"/>
    <s v="Corporate"/>
    <s v="Office Supplies"/>
    <x v="5"/>
    <x v="6"/>
    <d v="2009-04-21T00:00:00"/>
    <s v="21-Apr-2009"/>
  </r>
  <r>
    <n v="22663"/>
    <d v="2012-01-11T00:00:00"/>
    <s v="Low"/>
    <s v="11-Jan-2012"/>
    <n v="15"/>
    <n v="7190.06"/>
    <n v="0.08"/>
    <s v="Delivery Truck"/>
    <n v="1908.45"/>
    <n v="500.98"/>
    <n v="28.14"/>
    <s v="Maria Bertelson"/>
    <s v="Manitoba"/>
    <x v="4"/>
    <s v="Corporate"/>
    <s v="Technology"/>
    <x v="0"/>
    <x v="1"/>
    <d v="2012-01-16T00:00:00"/>
    <s v="16-Jan-2012"/>
  </r>
  <r>
    <n v="16321"/>
    <d v="2009-10-01T00:00:00"/>
    <s v="Not Specified"/>
    <s v="01-Oct-2009"/>
    <n v="50"/>
    <n v="7156.56"/>
    <n v="0.03"/>
    <s v="Regular Air"/>
    <n v="1871.26"/>
    <n v="142.86000000000001"/>
    <n v="19.989999999999998"/>
    <s v="Roy Skaria"/>
    <s v="Manitoba"/>
    <x v="4"/>
    <s v="Corporate"/>
    <s v="Office Supplies"/>
    <x v="4"/>
    <x v="0"/>
    <d v="2009-10-03T00:00:00"/>
    <s v="03-Oct-2009"/>
  </r>
  <r>
    <n v="46147"/>
    <d v="2011-01-15T00:00:00"/>
    <s v="Critical"/>
    <s v="15-Jan-2011"/>
    <n v="12"/>
    <n v="6502.46"/>
    <n v="0.09"/>
    <s v="Delivery Truck"/>
    <n v="261.66000000000003"/>
    <n v="550.98"/>
    <n v="64.59"/>
    <s v="Mick Crebagga"/>
    <s v="Manitoba"/>
    <x v="4"/>
    <s v="Corporate"/>
    <s v="Furniture"/>
    <x v="3"/>
    <x v="32"/>
    <d v="2011-01-17T00:00:00"/>
    <s v="17-Jan-2011"/>
  </r>
  <r>
    <n v="35782"/>
    <d v="2011-08-05T00:00:00"/>
    <s v="Low"/>
    <s v="05-Aug-2011"/>
    <n v="42"/>
    <n v="6427.18"/>
    <n v="0.09"/>
    <s v="Regular Air"/>
    <n v="2097.1"/>
    <n v="165.98"/>
    <n v="19.989999999999998"/>
    <s v="Julie Kriz"/>
    <s v="Manitoba"/>
    <x v="4"/>
    <s v="Corporate"/>
    <s v="Office Supplies"/>
    <x v="1"/>
    <x v="27"/>
    <d v="2011-08-12T00:00:00"/>
    <s v="12-Aug-2011"/>
  </r>
  <r>
    <n v="27778"/>
    <d v="2011-09-02T00:00:00"/>
    <s v="Critical"/>
    <s v="02-Sep-2011"/>
    <n v="10"/>
    <n v="6350.29"/>
    <n v="0.02"/>
    <s v="Regular Air"/>
    <n v="-735.97"/>
    <n v="599.99"/>
    <n v="24.49"/>
    <s v="Roy Skaria"/>
    <s v="Manitoba"/>
    <x v="4"/>
    <s v="Corporate"/>
    <s v="Technology"/>
    <x v="6"/>
    <x v="31"/>
    <d v="2011-09-04T00:00:00"/>
    <s v="04-Sep-2011"/>
  </r>
  <r>
    <n v="10695"/>
    <d v="2011-05-02T00:00:00"/>
    <s v="High"/>
    <s v="02-May-2011"/>
    <n v="39"/>
    <n v="6330.0860000000002"/>
    <n v="0.1"/>
    <s v="Regular Air"/>
    <n v="1421.89"/>
    <n v="205.99"/>
    <n v="2.5"/>
    <s v="Deborah Brumfield"/>
    <s v="Manitoba"/>
    <x v="4"/>
    <s v="Corporate"/>
    <s v="Technology"/>
    <x v="10"/>
    <x v="14"/>
    <d v="2011-05-03T00:00:00"/>
    <s v="03-May-2011"/>
  </r>
  <r>
    <n v="15296"/>
    <d v="2012-08-07T00:00:00"/>
    <s v="Not Specified"/>
    <s v="07-Aug-2012"/>
    <n v="38"/>
    <n v="6216.6"/>
    <n v="0.02"/>
    <s v="Regular Air"/>
    <n v="1082.21"/>
    <n v="161.55000000000001"/>
    <n v="19.989999999999998"/>
    <s v="Nick Radford"/>
    <s v="Manitoba"/>
    <x v="4"/>
    <s v="Corporate"/>
    <s v="Office Supplies"/>
    <x v="4"/>
    <x v="32"/>
    <d v="2012-08-09T00:00:00"/>
    <s v="09-Aug-2012"/>
  </r>
  <r>
    <n v="41542"/>
    <d v="2009-09-26T00:00:00"/>
    <s v="High"/>
    <s v="26-Sep-2009"/>
    <n v="47"/>
    <n v="6181.48"/>
    <n v="0.03"/>
    <s v="Delivery Truck"/>
    <n v="-194.83"/>
    <n v="124.49"/>
    <n v="51.94"/>
    <s v="Marc Crier"/>
    <s v="Manitoba"/>
    <x v="4"/>
    <s v="Corporate"/>
    <s v="Furniture"/>
    <x v="3"/>
    <x v="50"/>
    <d v="2009-09-27T00:00:00"/>
    <s v="27-Sep-2009"/>
  </r>
  <r>
    <n v="3492"/>
    <d v="2009-11-23T00:00:00"/>
    <s v="Low"/>
    <s v="23-Nov-2009"/>
    <n v="49"/>
    <n v="6177.53"/>
    <n v="0.1"/>
    <s v="Delivery Truck"/>
    <n v="-1195.1199999999999"/>
    <n v="130.97999999999999"/>
    <n v="54.74"/>
    <s v="Roy Skaria"/>
    <s v="Manitoba"/>
    <x v="4"/>
    <s v="Corporate"/>
    <s v="Furniture"/>
    <x v="8"/>
    <x v="39"/>
    <d v="2009-11-23T00:00:00"/>
    <s v="23-Nov-2009"/>
  </r>
  <r>
    <n v="49126"/>
    <d v="2011-07-10T00:00:00"/>
    <s v="Low"/>
    <s v="10-Jul-2011"/>
    <n v="33"/>
    <n v="5661.08"/>
    <n v="0"/>
    <s v="Delivery Truck"/>
    <n v="1055.47"/>
    <n v="160.97999999999999"/>
    <n v="30"/>
    <s v="Mark Cousins"/>
    <s v="Manitoba"/>
    <x v="4"/>
    <s v="Corporate"/>
    <s v="Furniture"/>
    <x v="2"/>
    <x v="44"/>
    <d v="2011-07-17T00:00:00"/>
    <s v="17-Jul-2011"/>
  </r>
  <r>
    <n v="16289"/>
    <d v="2010-07-17T00:00:00"/>
    <s v="High"/>
    <s v="17-Jul-2010"/>
    <n v="49"/>
    <n v="5610.6120000000001"/>
    <n v="0.01"/>
    <s v="Regular Air"/>
    <n v="2040.87"/>
    <n v="125.99"/>
    <n v="2.5"/>
    <s v="John Lee"/>
    <s v="Manitoba"/>
    <x v="4"/>
    <s v="Corporate"/>
    <s v="Technology"/>
    <x v="10"/>
    <x v="15"/>
    <d v="2010-07-19T00:00:00"/>
    <s v="19-Jul-2010"/>
  </r>
  <r>
    <n v="50054"/>
    <d v="2010-09-06T00:00:00"/>
    <s v="Not Specified"/>
    <s v="06-Sep-2010"/>
    <n v="50"/>
    <n v="5369.46"/>
    <n v="0"/>
    <s v="Regular Air"/>
    <n v="1370.26"/>
    <n v="99.99"/>
    <n v="19.989999999999998"/>
    <s v="Cynthia Delaney"/>
    <s v="Manitoba"/>
    <x v="4"/>
    <s v="Corporate"/>
    <s v="Technology"/>
    <x v="0"/>
    <x v="24"/>
    <d v="2010-09-08T00:00:00"/>
    <s v="08-Sep-2010"/>
  </r>
  <r>
    <n v="15872"/>
    <d v="2012-10-30T00:00:00"/>
    <s v="Not Specified"/>
    <s v="30-Oct-2012"/>
    <n v="48"/>
    <n v="5198.12"/>
    <n v="0.01"/>
    <s v="Delivery Truck"/>
    <n v="1481.67"/>
    <n v="100.98"/>
    <n v="15.66"/>
    <s v="Helen Andreada"/>
    <s v="Manitoba"/>
    <x v="4"/>
    <s v="Corporate"/>
    <s v="Office Supplies"/>
    <x v="5"/>
    <x v="6"/>
    <d v="2012-10-30T00:00:00"/>
    <s v="30-Oct-2012"/>
  </r>
  <r>
    <n v="49990"/>
    <d v="2009-09-05T00:00:00"/>
    <s v="Not Specified"/>
    <s v="05-Sep-2009"/>
    <n v="11"/>
    <n v="5155.3500000000004"/>
    <n v="0"/>
    <s v="Delivery Truck"/>
    <n v="501.51"/>
    <n v="442.14"/>
    <n v="14.7"/>
    <s v="Evan Minnotte"/>
    <s v="Manitoba"/>
    <x v="4"/>
    <s v="Corporate"/>
    <s v="Technology"/>
    <x v="0"/>
    <x v="0"/>
    <d v="2009-09-05T00:00:00"/>
    <s v="05-Sep-2009"/>
  </r>
  <r>
    <n v="28928"/>
    <d v="2010-04-30T00:00:00"/>
    <s v="Low"/>
    <s v="30-Apr-2010"/>
    <n v="22"/>
    <n v="5144.9399999999996"/>
    <n v="0.09"/>
    <s v="Regular Air"/>
    <n v="729.06"/>
    <n v="256.99"/>
    <n v="11.25"/>
    <s v="Nora Pelletier"/>
    <s v="Manitoba"/>
    <x v="4"/>
    <s v="Corporate"/>
    <s v="Technology"/>
    <x v="11"/>
    <x v="51"/>
    <d v="2010-04-30T00:00:00"/>
    <s v="30-Apr-2010"/>
  </r>
  <r>
    <n v="48167"/>
    <d v="2009-09-06T00:00:00"/>
    <s v="Critical"/>
    <s v="06-Sep-2009"/>
    <n v="43"/>
    <n v="5041.46"/>
    <n v="0.06"/>
    <s v="Delivery Truck"/>
    <n v="-2136.66"/>
    <n v="122.99"/>
    <n v="70.2"/>
    <s v="Dana Kaydos"/>
    <s v="Manitoba"/>
    <x v="4"/>
    <s v="Corporate"/>
    <s v="Furniture"/>
    <x v="2"/>
    <x v="37"/>
    <d v="2009-09-09T00:00:00"/>
    <s v="09-Sep-2009"/>
  </r>
  <r>
    <n v="45248"/>
    <d v="2011-04-16T00:00:00"/>
    <s v="Medium"/>
    <s v="16-Apr-2011"/>
    <n v="32"/>
    <n v="4941.7725"/>
    <n v="0.1"/>
    <s v="Regular Air"/>
    <n v="704.89"/>
    <n v="195.99"/>
    <n v="8.99"/>
    <s v="Mark Cousins"/>
    <s v="Manitoba"/>
    <x v="4"/>
    <s v="Corporate"/>
    <s v="Technology"/>
    <x v="10"/>
    <x v="18"/>
    <d v="2011-04-18T00:00:00"/>
    <s v="18-Apr-2011"/>
  </r>
  <r>
    <n v="48837"/>
    <d v="2011-07-18T00:00:00"/>
    <s v="Not Specified"/>
    <s v="18-Jul-2011"/>
    <n v="39"/>
    <n v="4799.7884999999997"/>
    <n v="0.09"/>
    <s v="Regular Air"/>
    <n v="1231.8900000000001"/>
    <n v="155.99"/>
    <n v="3.9"/>
    <s v="Tanja Norvell"/>
    <s v="Manitoba"/>
    <x v="4"/>
    <s v="Corporate"/>
    <s v="Technology"/>
    <x v="10"/>
    <x v="20"/>
    <d v="2011-07-20T00:00:00"/>
    <s v="20-Jul-2011"/>
  </r>
  <r>
    <n v="54753"/>
    <d v="2009-04-18T00:00:00"/>
    <s v="Medium"/>
    <s v="18-Apr-2009"/>
    <n v="36"/>
    <n v="4711.2439999999997"/>
    <n v="0.06"/>
    <s v="Regular Air"/>
    <n v="1380.32"/>
    <n v="155.99"/>
    <n v="3.9"/>
    <s v="Christopher Schild"/>
    <s v="Manitoba"/>
    <x v="4"/>
    <s v="Corporate"/>
    <s v="Technology"/>
    <x v="10"/>
    <x v="20"/>
    <d v="2009-04-19T00:00:00"/>
    <s v="19-Apr-2009"/>
  </r>
  <r>
    <n v="57159"/>
    <d v="2010-02-12T00:00:00"/>
    <s v="Critical"/>
    <s v="12-Feb-2010"/>
    <n v="17"/>
    <n v="4621.1000000000004"/>
    <n v="0.09"/>
    <s v="Delivery Truck"/>
    <n v="-635.65"/>
    <n v="280.98"/>
    <n v="57"/>
    <s v="Hilary Holden"/>
    <s v="Manitoba"/>
    <x v="4"/>
    <s v="Corporate"/>
    <s v="Furniture"/>
    <x v="2"/>
    <x v="8"/>
    <d v="2010-02-13T00:00:00"/>
    <s v="13-Feb-2010"/>
  </r>
  <r>
    <n v="24544"/>
    <d v="2009-01-26T00:00:00"/>
    <s v="High"/>
    <s v="26-Jan-2009"/>
    <n v="31"/>
    <n v="4587.3"/>
    <n v="0.08"/>
    <s v="Express Air"/>
    <n v="1771.15"/>
    <n v="150.97999999999999"/>
    <n v="13.99"/>
    <s v="Tanja Norvell"/>
    <s v="Manitoba"/>
    <x v="4"/>
    <s v="Corporate"/>
    <s v="Technology"/>
    <x v="0"/>
    <x v="1"/>
    <d v="2009-01-27T00:00:00"/>
    <s v="27-Jan-2009"/>
  </r>
  <r>
    <n v="53477"/>
    <d v="2012-05-05T00:00:00"/>
    <s v="High"/>
    <s v="05-May-2012"/>
    <n v="28"/>
    <n v="4479.16"/>
    <n v="7.0000000000000007E-2"/>
    <s v="Regular Air"/>
    <n v="610.9"/>
    <n v="161.55000000000001"/>
    <n v="19.989999999999998"/>
    <s v="Joy Smith"/>
    <s v="Manitoba"/>
    <x v="4"/>
    <s v="Corporate"/>
    <s v="Office Supplies"/>
    <x v="4"/>
    <x v="32"/>
    <d v="2012-05-07T00:00:00"/>
    <s v="07-May-2012"/>
  </r>
  <r>
    <n v="20036"/>
    <d v="2010-12-05T00:00:00"/>
    <s v="Not Specified"/>
    <s v="05-Dec-2010"/>
    <n v="28"/>
    <n v="4371.92"/>
    <n v="0.03"/>
    <s v="Delivery Truck"/>
    <n v="-533.44000000000005"/>
    <n v="150.97999999999999"/>
    <n v="66.27"/>
    <s v="John Lee"/>
    <s v="Manitoba"/>
    <x v="4"/>
    <s v="Corporate"/>
    <s v="Furniture"/>
    <x v="8"/>
    <x v="38"/>
    <d v="2010-12-08T00:00:00"/>
    <s v="08-Dec-2010"/>
  </r>
  <r>
    <n v="24386"/>
    <d v="2012-06-26T00:00:00"/>
    <s v="High"/>
    <s v="26-Jun-2012"/>
    <n v="41"/>
    <n v="4256.51"/>
    <n v="0.03"/>
    <s v="Regular Air"/>
    <n v="1653.96"/>
    <n v="100.97"/>
    <n v="7.18"/>
    <s v="Bruce Stewart"/>
    <s v="Manitoba"/>
    <x v="4"/>
    <s v="Corporate"/>
    <s v="Technology"/>
    <x v="11"/>
    <x v="29"/>
    <d v="2012-06-28T00:00:00"/>
    <s v="28-Jun-2012"/>
  </r>
  <r>
    <n v="710"/>
    <d v="2010-01-01T00:00:00"/>
    <s v="Low"/>
    <s v="01-Jan-2010"/>
    <n v="29"/>
    <n v="4192.88"/>
    <n v="0.02"/>
    <s v="Delivery Truck"/>
    <n v="731.32"/>
    <n v="145.44999999999999"/>
    <n v="17.850000000000001"/>
    <s v="Susan MacKendrick"/>
    <s v="Manitoba"/>
    <x v="4"/>
    <s v="Corporate"/>
    <s v="Technology"/>
    <x v="0"/>
    <x v="0"/>
    <d v="2010-01-05T00:00:00"/>
    <s v="05-Jan-2010"/>
  </r>
  <r>
    <n v="51558"/>
    <d v="2010-03-29T00:00:00"/>
    <s v="Not Specified"/>
    <s v="29-Mar-2010"/>
    <n v="47"/>
    <n v="4177.66"/>
    <n v="0.04"/>
    <s v="Delivery Truck"/>
    <n v="85.29"/>
    <n v="85.29"/>
    <n v="60"/>
    <s v="Greg Guthrie"/>
    <s v="Manitoba"/>
    <x v="4"/>
    <s v="Corporate"/>
    <s v="Furniture"/>
    <x v="3"/>
    <x v="0"/>
    <d v="2010-03-29T00:00:00"/>
    <s v="29-Mar-2010"/>
  </r>
  <r>
    <n v="24966"/>
    <d v="2011-12-17T00:00:00"/>
    <s v="Medium"/>
    <s v="17-Dec-2011"/>
    <n v="34"/>
    <n v="4152.12"/>
    <n v="0"/>
    <s v="Regular Air"/>
    <n v="817.98"/>
    <n v="120.33"/>
    <n v="19.989999999999998"/>
    <s v="Deborah Brumfield"/>
    <s v="Manitoba"/>
    <x v="4"/>
    <s v="Corporate"/>
    <s v="Office Supplies"/>
    <x v="4"/>
    <x v="14"/>
    <d v="2011-12-18T00:00:00"/>
    <s v="18-Dec-2011"/>
  </r>
  <r>
    <n v="51365"/>
    <d v="2012-08-07T00:00:00"/>
    <s v="High"/>
    <s v="07-Aug-2012"/>
    <n v="35"/>
    <n v="4051.8"/>
    <n v="0.1"/>
    <s v="Delivery Truck"/>
    <n v="-684.07"/>
    <n v="124.49"/>
    <n v="51.94"/>
    <s v="Theone Pippenger"/>
    <s v="Manitoba"/>
    <x v="4"/>
    <s v="Corporate"/>
    <s v="Furniture"/>
    <x v="3"/>
    <x v="50"/>
    <d v="2012-08-08T00:00:00"/>
    <s v="08-Aug-2012"/>
  </r>
  <r>
    <n v="7878"/>
    <d v="2011-05-01T00:00:00"/>
    <s v="Critical"/>
    <s v="01-May-2011"/>
    <n v="50"/>
    <n v="3904.12"/>
    <n v="7.0000000000000007E-2"/>
    <s v="Delivery Truck"/>
    <n v="-1508.46"/>
    <n v="81.94"/>
    <n v="55.81"/>
    <s v="Meg O'Connel"/>
    <s v="Manitoba"/>
    <x v="4"/>
    <s v="Corporate"/>
    <s v="Furniture"/>
    <x v="8"/>
    <x v="18"/>
    <d v="2011-05-06T00:00:00"/>
    <s v="06-May-2011"/>
  </r>
  <r>
    <n v="50404"/>
    <d v="2011-03-26T00:00:00"/>
    <s v="High"/>
    <s v="26-Mar-2011"/>
    <n v="18"/>
    <n v="3780.43"/>
    <n v="0.05"/>
    <s v="Regular Air"/>
    <n v="905.57"/>
    <n v="210.55"/>
    <n v="9.99"/>
    <s v="Guy Armstrong"/>
    <s v="Manitoba"/>
    <x v="4"/>
    <s v="Corporate"/>
    <s v="Office Supplies"/>
    <x v="4"/>
    <x v="18"/>
    <d v="2011-03-27T00:00:00"/>
    <s v="27-Mar-2011"/>
  </r>
  <r>
    <n v="7335"/>
    <d v="2010-05-29T00:00:00"/>
    <s v="Low"/>
    <s v="29-May-2010"/>
    <n v="43"/>
    <n v="3681.7494999999999"/>
    <n v="0.01"/>
    <s v="Regular Air"/>
    <n v="1196.44"/>
    <n v="95.99"/>
    <n v="4.9000000000000004"/>
    <s v="Maureen Grace"/>
    <s v="Manitoba"/>
    <x v="4"/>
    <s v="Corporate"/>
    <s v="Technology"/>
    <x v="10"/>
    <x v="0"/>
    <d v="2010-06-03T00:00:00"/>
    <s v="03-Jun-2010"/>
  </r>
  <r>
    <n v="2497"/>
    <d v="2012-08-26T00:00:00"/>
    <s v="Critical"/>
    <s v="26-Aug-2012"/>
    <n v="21"/>
    <n v="3629.1174999999998"/>
    <n v="0.06"/>
    <s v="Regular Air"/>
    <n v="636.03"/>
    <n v="205.99"/>
    <n v="5.26"/>
    <s v="Michael Moore"/>
    <s v="Manitoba"/>
    <x v="4"/>
    <s v="Corporate"/>
    <s v="Technology"/>
    <x v="10"/>
    <x v="0"/>
    <d v="2012-08-28T00:00:00"/>
    <s v="28-Aug-2012"/>
  </r>
  <r>
    <n v="43906"/>
    <d v="2012-02-08T00:00:00"/>
    <s v="High"/>
    <s v="08-Feb-2012"/>
    <n v="50"/>
    <n v="3601.07"/>
    <n v="0.04"/>
    <s v="Regular Air"/>
    <n v="174.8"/>
    <n v="73.98"/>
    <n v="14.52"/>
    <s v="Valerie Dominguez"/>
    <s v="Manitoba"/>
    <x v="4"/>
    <s v="Corporate"/>
    <s v="Technology"/>
    <x v="11"/>
    <x v="38"/>
    <d v="2012-02-09T00:00:00"/>
    <s v="09-Feb-2012"/>
  </r>
  <r>
    <n v="39008"/>
    <d v="2011-04-28T00:00:00"/>
    <s v="Not Specified"/>
    <s v="28-Apr-2011"/>
    <n v="28"/>
    <n v="3582.79"/>
    <n v="0"/>
    <s v="Delivery Truck"/>
    <n v="-1177.1400000000001"/>
    <n v="122.99"/>
    <n v="70.2"/>
    <s v="Nick Radford"/>
    <s v="Manitoba"/>
    <x v="4"/>
    <s v="Corporate"/>
    <s v="Furniture"/>
    <x v="2"/>
    <x v="37"/>
    <d v="2011-04-30T00:00:00"/>
    <s v="30-Apr-2011"/>
  </r>
  <r>
    <n v="58278"/>
    <d v="2012-09-10T00:00:00"/>
    <s v="High"/>
    <s v="10-Sep-2012"/>
    <n v="37"/>
    <n v="3512.9"/>
    <n v="0.08"/>
    <s v="Regular Air"/>
    <n v="2093.6999999999998"/>
    <n v="99.23"/>
    <n v="8.99"/>
    <s v="Logan Haushalter"/>
    <s v="Manitoba"/>
    <x v="4"/>
    <s v="Corporate"/>
    <s v="Furniture"/>
    <x v="7"/>
    <x v="2"/>
    <d v="2012-09-12T00:00:00"/>
    <s v="12-Sep-2012"/>
  </r>
  <r>
    <n v="38979"/>
    <d v="2010-02-26T00:00:00"/>
    <s v="Low"/>
    <s v="26-Feb-2010"/>
    <n v="48"/>
    <n v="3355.1"/>
    <n v="7.0000000000000007E-2"/>
    <s v="Delivery Truck"/>
    <n v="-1701.96"/>
    <n v="70.98"/>
    <n v="59.81"/>
    <s v="Steve Chapman"/>
    <s v="Manitoba"/>
    <x v="4"/>
    <s v="Corporate"/>
    <s v="Furniture"/>
    <x v="2"/>
    <x v="18"/>
    <d v="2010-02-26T00:00:00"/>
    <s v="26-Feb-2010"/>
  </r>
  <r>
    <n v="29249"/>
    <d v="2011-06-13T00:00:00"/>
    <s v="Low"/>
    <s v="13-Jun-2011"/>
    <n v="12"/>
    <n v="3156.6"/>
    <n v="0.1"/>
    <s v="Regular Air"/>
    <n v="454.26"/>
    <n v="276.2"/>
    <n v="24.49"/>
    <s v="Joy Daniels"/>
    <s v="Manitoba"/>
    <x v="4"/>
    <s v="Corporate"/>
    <s v="Furniture"/>
    <x v="2"/>
    <x v="49"/>
    <d v="2011-06-17T00:00:00"/>
    <s v="17-Jun-2011"/>
  </r>
  <r>
    <n v="53477"/>
    <d v="2012-05-05T00:00:00"/>
    <s v="High"/>
    <s v="05-May-2012"/>
    <n v="32"/>
    <n v="3114.05"/>
    <n v="0.01"/>
    <s v="Delivery Truck"/>
    <n v="-1207.18"/>
    <n v="95.95"/>
    <n v="74.349999999999994"/>
    <s v="Joy Smith"/>
    <s v="Manitoba"/>
    <x v="4"/>
    <s v="Corporate"/>
    <s v="Furniture"/>
    <x v="2"/>
    <x v="6"/>
    <d v="2012-05-07T00:00:00"/>
    <s v="07-May-2012"/>
  </r>
  <r>
    <n v="38979"/>
    <d v="2010-02-26T00:00:00"/>
    <s v="Low"/>
    <s v="26-Feb-2010"/>
    <n v="34"/>
    <n v="2864.55"/>
    <n v="0.06"/>
    <s v="Regular Air"/>
    <n v="1021.07"/>
    <n v="82.99"/>
    <n v="5.5"/>
    <s v="Steve Chapman"/>
    <s v="Manitoba"/>
    <x v="4"/>
    <s v="Corporate"/>
    <s v="Technology"/>
    <x v="11"/>
    <x v="47"/>
    <d v="2010-03-03T00:00:00"/>
    <s v="03-Mar-2010"/>
  </r>
  <r>
    <n v="22118"/>
    <d v="2009-01-18T00:00:00"/>
    <s v="High"/>
    <s v="18-Jan-2009"/>
    <n v="50"/>
    <n v="2842.54"/>
    <n v="0.05"/>
    <s v="Regular Air"/>
    <n v="1315.75"/>
    <n v="58.1"/>
    <n v="1.49"/>
    <s v="Natalie Webber"/>
    <s v="Manitoba"/>
    <x v="4"/>
    <s v="Corporate"/>
    <s v="Office Supplies"/>
    <x v="1"/>
    <x v="1"/>
    <d v="2009-01-18T00:00:00"/>
    <s v="18-Jan-2009"/>
  </r>
  <r>
    <n v="48230"/>
    <d v="2009-02-25T00:00:00"/>
    <s v="Not Specified"/>
    <s v="25-Feb-2009"/>
    <n v="31"/>
    <n v="2645.8"/>
    <n v="0"/>
    <s v="Regular Air"/>
    <n v="-684.78"/>
    <n v="80.98"/>
    <n v="35"/>
    <s v="Dana Kaydos"/>
    <s v="Manitoba"/>
    <x v="4"/>
    <s v="Corporate"/>
    <s v="Office Supplies"/>
    <x v="4"/>
    <x v="34"/>
    <d v="2009-02-27T00:00:00"/>
    <s v="27-Feb-2009"/>
  </r>
  <r>
    <n v="14855"/>
    <d v="2010-04-30T00:00:00"/>
    <s v="Not Specified"/>
    <s v="30-Apr-2010"/>
    <n v="19"/>
    <n v="2557.5100000000002"/>
    <n v="0.01"/>
    <s v="Delivery Truck"/>
    <n v="-168.48"/>
    <n v="124.49"/>
    <n v="51.94"/>
    <s v="John Lee"/>
    <s v="Manitoba"/>
    <x v="4"/>
    <s v="Corporate"/>
    <s v="Furniture"/>
    <x v="3"/>
    <x v="50"/>
    <d v="2010-05-02T00:00:00"/>
    <s v="02-May-2010"/>
  </r>
  <r>
    <n v="29957"/>
    <d v="2010-03-13T00:00:00"/>
    <s v="Critical"/>
    <s v="13-Mar-2010"/>
    <n v="28"/>
    <n v="2555.37"/>
    <n v="0.08"/>
    <s v="Delivery Truck"/>
    <n v="-824.91"/>
    <n v="95.98"/>
    <n v="58.2"/>
    <s v="Dave Brooks"/>
    <s v="Manitoba"/>
    <x v="4"/>
    <s v="Corporate"/>
    <s v="Furniture"/>
    <x v="2"/>
    <x v="15"/>
    <d v="2010-03-14T00:00:00"/>
    <s v="14-Mar-2010"/>
  </r>
  <r>
    <n v="612"/>
    <d v="2012-10-20T00:00:00"/>
    <s v="Medium"/>
    <s v="20-Oct-2012"/>
    <n v="43"/>
    <n v="2531.0875000000001"/>
    <n v="0.01"/>
    <s v="Regular Air"/>
    <n v="881.68"/>
    <n v="65.989999999999995"/>
    <n v="2.5"/>
    <s v="Sheri Gordon"/>
    <s v="Manitoba"/>
    <x v="4"/>
    <s v="Corporate"/>
    <s v="Technology"/>
    <x v="10"/>
    <x v="20"/>
    <d v="2012-10-22T00:00:00"/>
    <s v="22-Oct-2012"/>
  </r>
  <r>
    <n v="16775"/>
    <d v="2012-11-22T00:00:00"/>
    <s v="Low"/>
    <s v="22-Nov-2012"/>
    <n v="49"/>
    <n v="2469.15"/>
    <n v="0.04"/>
    <s v="Regular Air"/>
    <n v="1244.81"/>
    <n v="48.94"/>
    <n v="5.86"/>
    <s v="Natalie Webber"/>
    <s v="Manitoba"/>
    <x v="4"/>
    <s v="Corporate"/>
    <s v="Office Supplies"/>
    <x v="12"/>
    <x v="2"/>
    <d v="2012-11-26T00:00:00"/>
    <s v="26-Nov-2012"/>
  </r>
  <r>
    <n v="3492"/>
    <d v="2009-11-23T00:00:00"/>
    <s v="Low"/>
    <s v="23-Nov-2009"/>
    <n v="35"/>
    <n v="2393.63"/>
    <n v="0.04"/>
    <s v="Regular Air"/>
    <n v="524.88"/>
    <n v="67.28"/>
    <n v="19.989999999999998"/>
    <s v="Roy Skaria"/>
    <s v="Manitoba"/>
    <x v="4"/>
    <s v="Corporate"/>
    <s v="Office Supplies"/>
    <x v="1"/>
    <x v="27"/>
    <d v="2009-11-28T00:00:00"/>
    <s v="28-Nov-2009"/>
  </r>
  <r>
    <n v="46951"/>
    <d v="2011-11-17T00:00:00"/>
    <s v="Critical"/>
    <s v="17-Nov-2011"/>
    <n v="26"/>
    <n v="2379.3285000000001"/>
    <n v="0.09"/>
    <s v="Regular Air"/>
    <n v="284.58999999999997"/>
    <n v="115.99"/>
    <n v="5.92"/>
    <s v="Katherine Ducich"/>
    <s v="Manitoba"/>
    <x v="4"/>
    <s v="Corporate"/>
    <s v="Technology"/>
    <x v="10"/>
    <x v="15"/>
    <d v="2011-11-18T00:00:00"/>
    <s v="18-Nov-2011"/>
  </r>
  <r>
    <n v="37252"/>
    <d v="2011-11-19T00:00:00"/>
    <s v="Low"/>
    <s v="19-Nov-2011"/>
    <n v="50"/>
    <n v="2337.0300000000002"/>
    <n v="0.1"/>
    <s v="Regular Air"/>
    <n v="-37.19"/>
    <n v="49.99"/>
    <n v="19.989999999999998"/>
    <s v="Steve Chapman"/>
    <s v="Manitoba"/>
    <x v="4"/>
    <s v="Corporate"/>
    <s v="Technology"/>
    <x v="11"/>
    <x v="45"/>
    <d v="2011-11-21T00:00:00"/>
    <s v="21-Nov-2011"/>
  </r>
  <r>
    <n v="49763"/>
    <d v="2011-02-13T00:00:00"/>
    <s v="Critical"/>
    <s v="13-Feb-2011"/>
    <n v="6"/>
    <n v="2320.35"/>
    <n v="0"/>
    <s v="Delivery Truck"/>
    <n v="-237.62"/>
    <n v="348.21"/>
    <n v="84.84"/>
    <s v="Brad Norvell"/>
    <s v="Manitoba"/>
    <x v="4"/>
    <s v="Corporate"/>
    <s v="Furniture"/>
    <x v="3"/>
    <x v="32"/>
    <d v="2011-02-13T00:00:00"/>
    <s v="13-Feb-2011"/>
  </r>
  <r>
    <n v="51333"/>
    <d v="2012-10-04T00:00:00"/>
    <s v="Not Specified"/>
    <s v="04-Oct-2012"/>
    <n v="30"/>
    <n v="2219.79"/>
    <n v="0.1"/>
    <s v="Delivery Truck"/>
    <n v="-9.4499999999999993"/>
    <n v="80.97"/>
    <n v="33.6"/>
    <s v="Theone Pippenger"/>
    <s v="Manitoba"/>
    <x v="4"/>
    <s v="Corporate"/>
    <s v="Technology"/>
    <x v="0"/>
    <x v="7"/>
    <d v="2012-10-06T00:00:00"/>
    <s v="06-Oct-2012"/>
  </r>
  <r>
    <n v="40101"/>
    <d v="2009-01-31T00:00:00"/>
    <s v="Low"/>
    <s v="31-Jan-2009"/>
    <n v="46"/>
    <n v="2188.06"/>
    <n v="0.1"/>
    <s v="Express Air"/>
    <n v="33.770000000000003"/>
    <n v="49.99"/>
    <n v="19.989999999999998"/>
    <s v="John Lee"/>
    <s v="Manitoba"/>
    <x v="4"/>
    <s v="Corporate"/>
    <s v="Technology"/>
    <x v="11"/>
    <x v="45"/>
    <d v="2009-02-05T00:00:00"/>
    <s v="05-Feb-2009"/>
  </r>
  <r>
    <n v="15906"/>
    <d v="2010-09-27T00:00:00"/>
    <s v="Low"/>
    <s v="27-Sep-2010"/>
    <n v="8"/>
    <n v="2174.96"/>
    <n v="0.05"/>
    <s v="Delivery Truck"/>
    <n v="-223.89"/>
    <n v="264.98"/>
    <n v="17.86"/>
    <s v="Ross Baird"/>
    <s v="Manitoba"/>
    <x v="4"/>
    <s v="Corporate"/>
    <s v="Technology"/>
    <x v="0"/>
    <x v="15"/>
    <d v="2010-09-29T00:00:00"/>
    <s v="29-Sep-2010"/>
  </r>
  <r>
    <n v="38340"/>
    <d v="2009-01-20T00:00:00"/>
    <s v="Critical"/>
    <s v="20-Jan-2009"/>
    <n v="36"/>
    <n v="2167.0500000000002"/>
    <n v="0.02"/>
    <s v="Regular Air"/>
    <n v="684.9"/>
    <n v="60.22"/>
    <n v="3.5"/>
    <s v="Tanja Norvell"/>
    <s v="Manitoba"/>
    <x v="4"/>
    <s v="Corporate"/>
    <s v="Office Supplies"/>
    <x v="5"/>
    <x v="6"/>
    <d v="2009-01-21T00:00:00"/>
    <s v="21-Jan-2009"/>
  </r>
  <r>
    <n v="48931"/>
    <d v="2009-06-17T00:00:00"/>
    <s v="Low"/>
    <s v="17-Jun-2009"/>
    <n v="42"/>
    <n v="2149.37"/>
    <n v="0.03"/>
    <s v="Regular Air"/>
    <n v="217.87"/>
    <n v="51.75"/>
    <n v="19.989999999999998"/>
    <s v="Charles Sheldon"/>
    <s v="Manitoba"/>
    <x v="4"/>
    <s v="Corporate"/>
    <s v="Furniture"/>
    <x v="7"/>
    <x v="20"/>
    <d v="2009-06-22T00:00:00"/>
    <s v="22-Jun-2009"/>
  </r>
  <r>
    <n v="29347"/>
    <d v="2012-08-12T00:00:00"/>
    <s v="Medium"/>
    <s v="12-Aug-2012"/>
    <n v="50"/>
    <n v="2040.39"/>
    <n v="7.0000000000000007E-2"/>
    <s v="Regular Air"/>
    <n v="221.09"/>
    <n v="40.99"/>
    <n v="19.989999999999998"/>
    <s v="Tanja Norvell"/>
    <s v="Manitoba"/>
    <x v="4"/>
    <s v="Corporate"/>
    <s v="Office Supplies"/>
    <x v="12"/>
    <x v="10"/>
    <d v="2012-08-14T00:00:00"/>
    <s v="14-Aug-2012"/>
  </r>
  <r>
    <n v="54501"/>
    <d v="2012-11-29T00:00:00"/>
    <s v="Critical"/>
    <s v="29-Nov-2012"/>
    <n v="36"/>
    <n v="2039.0820000000001"/>
    <n v="0.01"/>
    <s v="Regular Air"/>
    <n v="481.7"/>
    <n v="65.989999999999995"/>
    <n v="4.99"/>
    <s v="Guy Armstrong"/>
    <s v="Manitoba"/>
    <x v="4"/>
    <s v="Corporate"/>
    <s v="Technology"/>
    <x v="10"/>
    <x v="6"/>
    <d v="2012-11-30T00:00:00"/>
    <s v="30-Nov-2012"/>
  </r>
  <r>
    <n v="54150"/>
    <d v="2011-06-22T00:00:00"/>
    <s v="Critical"/>
    <s v="22-Jun-2011"/>
    <n v="12"/>
    <n v="2011.6355000000001"/>
    <n v="0.01"/>
    <s v="Express Air"/>
    <n v="-53.69"/>
    <n v="195.99"/>
    <n v="3.99"/>
    <s v="Bart Watters"/>
    <s v="Manitoba"/>
    <x v="4"/>
    <s v="Corporate"/>
    <s v="Technology"/>
    <x v="10"/>
    <x v="14"/>
    <d v="2011-06-22T00:00:00"/>
    <s v="22-Jun-2011"/>
  </r>
  <r>
    <n v="46885"/>
    <d v="2011-06-07T00:00:00"/>
    <s v="Low"/>
    <s v="07-Jun-2011"/>
    <n v="32"/>
    <n v="1997.13"/>
    <n v="0.05"/>
    <s v="Regular Air"/>
    <n v="720.45"/>
    <n v="63.94"/>
    <n v="14.48"/>
    <s v="Mike Kennedy"/>
    <s v="Manitoba"/>
    <x v="4"/>
    <s v="Corporate"/>
    <s v="Furniture"/>
    <x v="7"/>
    <x v="29"/>
    <d v="2011-06-12T00:00:00"/>
    <s v="12-Jun-2011"/>
  </r>
  <r>
    <n v="53703"/>
    <d v="2010-06-14T00:00:00"/>
    <s v="Not Specified"/>
    <s v="14-Jun-2010"/>
    <n v="14"/>
    <n v="1966.26"/>
    <n v="0.06"/>
    <s v="Regular Air"/>
    <n v="-34.79"/>
    <n v="140.85"/>
    <n v="19.989999999999998"/>
    <s v="Guy Armstrong"/>
    <s v="Manitoba"/>
    <x v="4"/>
    <s v="Corporate"/>
    <s v="Office Supplies"/>
    <x v="4"/>
    <x v="33"/>
    <d v="2010-06-15T00:00:00"/>
    <s v="15-Jun-2010"/>
  </r>
  <r>
    <n v="50404"/>
    <d v="2011-03-26T00:00:00"/>
    <s v="High"/>
    <s v="26-Mar-2011"/>
    <n v="10"/>
    <n v="1961.68"/>
    <n v="0.04"/>
    <s v="Regular Air"/>
    <n v="-367"/>
    <n v="182.55"/>
    <n v="69"/>
    <s v="Guy Armstrong"/>
    <s v="Manitoba"/>
    <x v="4"/>
    <s v="Corporate"/>
    <s v="Furniture"/>
    <x v="3"/>
    <x v="13"/>
    <d v="2011-03-28T00:00:00"/>
    <s v="28-Mar-2011"/>
  </r>
  <r>
    <n v="902"/>
    <d v="2009-07-26T00:00:00"/>
    <s v="Not Specified"/>
    <s v="26-Jul-2009"/>
    <n v="10"/>
    <n v="1925.83"/>
    <n v="0.09"/>
    <s v="Regular Air"/>
    <n v="359.83"/>
    <n v="207.48"/>
    <n v="0.99"/>
    <s v="Meg O'Connel"/>
    <s v="Manitoba"/>
    <x v="4"/>
    <s v="Corporate"/>
    <s v="Office Supplies"/>
    <x v="5"/>
    <x v="20"/>
    <d v="2009-07-29T00:00:00"/>
    <s v="29-Jul-2009"/>
  </r>
  <r>
    <n v="46721"/>
    <d v="2009-09-13T00:00:00"/>
    <s v="Medium"/>
    <s v="13-Sep-2009"/>
    <n v="17"/>
    <n v="1912.76"/>
    <n v="0.03"/>
    <s v="Regular Air"/>
    <n v="71.56"/>
    <n v="111.03"/>
    <n v="8.64"/>
    <s v="Nick Radford"/>
    <s v="Manitoba"/>
    <x v="4"/>
    <s v="Corporate"/>
    <s v="Office Supplies"/>
    <x v="4"/>
    <x v="8"/>
    <d v="2009-09-14T00:00:00"/>
    <s v="14-Sep-2009"/>
  </r>
  <r>
    <n v="52225"/>
    <d v="2012-04-12T00:00:00"/>
    <s v="Critical"/>
    <s v="12-Apr-2012"/>
    <n v="33"/>
    <n v="1817.9"/>
    <n v="0.06"/>
    <s v="Regular Air"/>
    <n v="700.31"/>
    <n v="54.96"/>
    <n v="10.75"/>
    <s v="Dana Kaydos"/>
    <s v="Manitoba"/>
    <x v="4"/>
    <s v="Corporate"/>
    <s v="Office Supplies"/>
    <x v="12"/>
    <x v="10"/>
    <d v="2012-04-13T00:00:00"/>
    <s v="13-Apr-2012"/>
  </r>
  <r>
    <n v="20036"/>
    <d v="2010-12-05T00:00:00"/>
    <s v="Not Specified"/>
    <s v="05-Dec-2010"/>
    <n v="21"/>
    <n v="1745.1179999999999"/>
    <n v="0.03"/>
    <s v="Regular Air"/>
    <n v="307.25"/>
    <n v="95.99"/>
    <n v="4.9000000000000004"/>
    <s v="John Lee"/>
    <s v="Manitoba"/>
    <x v="4"/>
    <s v="Corporate"/>
    <s v="Technology"/>
    <x v="10"/>
    <x v="0"/>
    <d v="2010-12-07T00:00:00"/>
    <s v="07-Dec-2010"/>
  </r>
  <r>
    <n v="7107"/>
    <d v="2012-01-04T00:00:00"/>
    <s v="Not Specified"/>
    <s v="04-Jan-2012"/>
    <n v="32"/>
    <n v="1724.82"/>
    <n v="0.1"/>
    <s v="Regular Air"/>
    <n v="407.8"/>
    <n v="55.29"/>
    <n v="5.08"/>
    <s v="Steve Chapman"/>
    <s v="Manitoba"/>
    <x v="4"/>
    <s v="Corporate"/>
    <s v="Office Supplies"/>
    <x v="4"/>
    <x v="14"/>
    <d v="2012-01-05T00:00:00"/>
    <s v="05-Jan-2012"/>
  </r>
  <r>
    <n v="870"/>
    <d v="2010-06-19T00:00:00"/>
    <s v="Not Specified"/>
    <s v="19-Jun-2010"/>
    <n v="23"/>
    <n v="1661.04"/>
    <n v="0.04"/>
    <s v="Regular Air"/>
    <n v="475.54"/>
    <n v="70.97"/>
    <n v="3.5"/>
    <s v="Valerie Dominguez"/>
    <s v="Manitoba"/>
    <x v="4"/>
    <s v="Corporate"/>
    <s v="Office Supplies"/>
    <x v="5"/>
    <x v="14"/>
    <d v="2010-06-19T00:00:00"/>
    <s v="19-Jun-2010"/>
  </r>
  <r>
    <n v="58086"/>
    <d v="2011-03-10T00:00:00"/>
    <s v="Medium"/>
    <s v="10-Mar-2011"/>
    <n v="31"/>
    <n v="1638.2"/>
    <n v="0.1"/>
    <s v="Regular Air"/>
    <n v="471.22"/>
    <n v="55.98"/>
    <n v="13.88"/>
    <s v="Arthur Gainer"/>
    <s v="Manitoba"/>
    <x v="4"/>
    <s v="Corporate"/>
    <s v="Office Supplies"/>
    <x v="12"/>
    <x v="10"/>
    <d v="2011-03-11T00:00:00"/>
    <s v="11-Mar-2011"/>
  </r>
  <r>
    <n v="3110"/>
    <d v="2009-12-16T00:00:00"/>
    <s v="High"/>
    <s v="16-Dec-2009"/>
    <n v="13"/>
    <n v="1601.32"/>
    <n v="0.04"/>
    <s v="Delivery Truck"/>
    <n v="377.81"/>
    <n v="119.99"/>
    <n v="14"/>
    <s v="Helen Andreada"/>
    <s v="Manitoba"/>
    <x v="4"/>
    <s v="Corporate"/>
    <s v="Technology"/>
    <x v="0"/>
    <x v="10"/>
    <d v="2009-12-18T00:00:00"/>
    <s v="18-Dec-2009"/>
  </r>
  <r>
    <n v="43398"/>
    <d v="2011-04-24T00:00:00"/>
    <s v="Not Specified"/>
    <s v="24-Apr-2011"/>
    <n v="10"/>
    <n v="1600.85"/>
    <n v="7.0000000000000007E-2"/>
    <s v="Delivery Truck"/>
    <n v="-193.97"/>
    <n v="159.31"/>
    <n v="60"/>
    <s v="John Lee"/>
    <s v="Manitoba"/>
    <x v="4"/>
    <s v="Corporate"/>
    <s v="Furniture"/>
    <x v="3"/>
    <x v="20"/>
    <d v="2011-04-25T00:00:00"/>
    <s v="25-Apr-2011"/>
  </r>
  <r>
    <n v="13765"/>
    <d v="2009-04-05T00:00:00"/>
    <s v="Not Specified"/>
    <s v="05-Apr-2009"/>
    <n v="45"/>
    <n v="1553.38"/>
    <n v="0.1"/>
    <s v="Regular Air"/>
    <n v="180.88"/>
    <n v="36.549999999999997"/>
    <n v="13.89"/>
    <s v="Scot Wooten"/>
    <s v="Manitoba"/>
    <x v="4"/>
    <s v="Corporate"/>
    <s v="Office Supplies"/>
    <x v="13"/>
    <x v="25"/>
    <d v="2009-04-07T00:00:00"/>
    <s v="07-Apr-2009"/>
  </r>
  <r>
    <n v="27364"/>
    <d v="2011-05-20T00:00:00"/>
    <s v="Medium"/>
    <s v="20-May-2011"/>
    <n v="29"/>
    <n v="1529.0564999999999"/>
    <n v="0.06"/>
    <s v="Regular Air"/>
    <n v="201.73"/>
    <n v="65.989999999999995"/>
    <n v="3.99"/>
    <s v="Joseph Airdo"/>
    <s v="Manitoba"/>
    <x v="4"/>
    <s v="Corporate"/>
    <s v="Technology"/>
    <x v="10"/>
    <x v="14"/>
    <d v="2011-05-22T00:00:00"/>
    <s v="22-May-2011"/>
  </r>
  <r>
    <n v="37252"/>
    <d v="2011-11-19T00:00:00"/>
    <s v="Low"/>
    <s v="19-Nov-2011"/>
    <n v="21"/>
    <n v="1503.49"/>
    <n v="0.03"/>
    <s v="Regular Air"/>
    <n v="408.73"/>
    <n v="70.97"/>
    <n v="3.5"/>
    <s v="Steve Chapman"/>
    <s v="Manitoba"/>
    <x v="4"/>
    <s v="Corporate"/>
    <s v="Office Supplies"/>
    <x v="5"/>
    <x v="14"/>
    <d v="2011-11-21T00:00:00"/>
    <s v="21-Nov-2011"/>
  </r>
  <r>
    <n v="55618"/>
    <d v="2012-01-21T00:00:00"/>
    <s v="Medium"/>
    <s v="21-Jan-2012"/>
    <n v="48"/>
    <n v="1494.232"/>
    <n v="0.04"/>
    <s v="Regular Air"/>
    <n v="479.95"/>
    <n v="35.99"/>
    <n v="1.25"/>
    <s v="Brian Moss"/>
    <s v="Manitoba"/>
    <x v="4"/>
    <s v="Corporate"/>
    <s v="Technology"/>
    <x v="10"/>
    <x v="6"/>
    <d v="2012-01-22T00:00:00"/>
    <s v="22-Jan-2012"/>
  </r>
  <r>
    <n v="50054"/>
    <d v="2010-09-06T00:00:00"/>
    <s v="Not Specified"/>
    <s v="06-Sep-2010"/>
    <n v="41"/>
    <n v="1439.96"/>
    <n v="0.02"/>
    <s v="Regular Air"/>
    <n v="182.46"/>
    <n v="33.29"/>
    <n v="8.74"/>
    <s v="Cynthia Delaney"/>
    <s v="Manitoba"/>
    <x v="4"/>
    <s v="Corporate"/>
    <s v="Office Supplies"/>
    <x v="4"/>
    <x v="9"/>
    <d v="2010-09-08T00:00:00"/>
    <s v="08-Sep-2010"/>
  </r>
  <r>
    <n v="28928"/>
    <d v="2010-04-30T00:00:00"/>
    <s v="Low"/>
    <s v="30-Apr-2010"/>
    <n v="46"/>
    <n v="1397.383"/>
    <n v="0.01"/>
    <s v="Regular Air"/>
    <n v="-135.86000000000001"/>
    <n v="35.99"/>
    <n v="5"/>
    <s v="Nora Pelletier"/>
    <s v="Manitoba"/>
    <x v="4"/>
    <s v="Corporate"/>
    <s v="Technology"/>
    <x v="10"/>
    <x v="5"/>
    <d v="2010-05-02T00:00:00"/>
    <s v="02-May-2010"/>
  </r>
  <r>
    <n v="50242"/>
    <d v="2010-07-19T00:00:00"/>
    <s v="Not Specified"/>
    <s v="19-Jul-2010"/>
    <n v="8"/>
    <n v="1391.7645"/>
    <n v="0.08"/>
    <s v="Regular Air"/>
    <n v="-426.07"/>
    <n v="205.99"/>
    <n v="8.99"/>
    <s v="Ross Baird"/>
    <s v="Manitoba"/>
    <x v="4"/>
    <s v="Corporate"/>
    <s v="Technology"/>
    <x v="10"/>
    <x v="0"/>
    <d v="2010-07-21T00:00:00"/>
    <s v="21-Jul-2010"/>
  </r>
  <r>
    <n v="11908"/>
    <d v="2010-05-25T00:00:00"/>
    <s v="Not Specified"/>
    <s v="25-May-2010"/>
    <n v="5"/>
    <n v="1386.6"/>
    <n v="0.09"/>
    <s v="Delivery Truck"/>
    <n v="-556.17999999999995"/>
    <n v="280.98"/>
    <n v="57"/>
    <s v="Marc Crier"/>
    <s v="Manitoba"/>
    <x v="4"/>
    <s v="Corporate"/>
    <s v="Furniture"/>
    <x v="2"/>
    <x v="8"/>
    <d v="2010-05-27T00:00:00"/>
    <s v="27-May-2010"/>
  </r>
  <r>
    <n v="8288"/>
    <d v="2011-05-09T00:00:00"/>
    <s v="Critical"/>
    <s v="09-May-2011"/>
    <n v="22"/>
    <n v="1337.81"/>
    <n v="0.02"/>
    <s v="Regular Air"/>
    <n v="407.12"/>
    <n v="59.78"/>
    <n v="10.29"/>
    <s v="Marc Crier"/>
    <s v="Manitoba"/>
    <x v="4"/>
    <s v="Corporate"/>
    <s v="Office Supplies"/>
    <x v="1"/>
    <x v="4"/>
    <d v="2011-05-10T00:00:00"/>
    <s v="10-May-2011"/>
  </r>
  <r>
    <n v="35782"/>
    <d v="2011-08-05T00:00:00"/>
    <s v="Low"/>
    <s v="05-Aug-2011"/>
    <n v="13"/>
    <n v="1330.73"/>
    <n v="0.06"/>
    <s v="Delivery Truck"/>
    <n v="-450.1"/>
    <n v="105.49"/>
    <n v="41.64"/>
    <s v="Julie Kriz"/>
    <s v="Manitoba"/>
    <x v="4"/>
    <s v="Corporate"/>
    <s v="Furniture"/>
    <x v="3"/>
    <x v="16"/>
    <d v="2011-08-10T00:00:00"/>
    <s v="10-Aug-2011"/>
  </r>
  <r>
    <n v="53477"/>
    <d v="2012-05-05T00:00:00"/>
    <s v="High"/>
    <s v="05-May-2012"/>
    <n v="36"/>
    <n v="1314.65"/>
    <n v="0.06"/>
    <s v="Regular Air"/>
    <n v="536.87"/>
    <n v="37.94"/>
    <n v="5.08"/>
    <s v="Joy Smith"/>
    <s v="Manitoba"/>
    <x v="4"/>
    <s v="Corporate"/>
    <s v="Office Supplies"/>
    <x v="12"/>
    <x v="1"/>
    <d v="2012-05-07T00:00:00"/>
    <s v="07-May-2012"/>
  </r>
  <r>
    <n v="24544"/>
    <d v="2009-01-26T00:00:00"/>
    <s v="High"/>
    <s v="26-Jan-2009"/>
    <n v="39"/>
    <n v="1243.45"/>
    <n v="0.1"/>
    <s v="Regular Air"/>
    <n v="-1212.55"/>
    <n v="32.479999999999997"/>
    <n v="35"/>
    <s v="Tanja Norvell"/>
    <s v="Manitoba"/>
    <x v="4"/>
    <s v="Corporate"/>
    <s v="Office Supplies"/>
    <x v="4"/>
    <x v="43"/>
    <d v="2009-01-27T00:00:00"/>
    <s v="27-Jan-2009"/>
  </r>
  <r>
    <n v="47941"/>
    <d v="2009-08-08T00:00:00"/>
    <s v="High"/>
    <s v="08-Aug-2009"/>
    <n v="15"/>
    <n v="1187.1524999999999"/>
    <n v="0.03"/>
    <s v="Regular Air"/>
    <n v="33.19"/>
    <n v="95.99"/>
    <n v="4.9000000000000004"/>
    <s v="Evan Bailliet"/>
    <s v="Manitoba"/>
    <x v="4"/>
    <s v="Corporate"/>
    <s v="Technology"/>
    <x v="10"/>
    <x v="0"/>
    <d v="2009-08-08T00:00:00"/>
    <s v="08-Aug-2009"/>
  </r>
  <r>
    <n v="48230"/>
    <d v="2009-02-25T00:00:00"/>
    <s v="Not Specified"/>
    <s v="25-Feb-2009"/>
    <n v="39"/>
    <n v="1140.26"/>
    <n v="0.04"/>
    <s v="Express Air"/>
    <n v="387.2"/>
    <n v="29.18"/>
    <n v="8.5500000000000007"/>
    <s v="Dana Kaydos"/>
    <s v="Manitoba"/>
    <x v="4"/>
    <s v="Corporate"/>
    <s v="Furniture"/>
    <x v="7"/>
    <x v="22"/>
    <d v="2009-02-27T00:00:00"/>
    <s v="27-Feb-2009"/>
  </r>
  <r>
    <n v="55138"/>
    <d v="2009-09-24T00:00:00"/>
    <s v="High"/>
    <s v="24-Sep-2009"/>
    <n v="22"/>
    <n v="1132.54"/>
    <n v="0"/>
    <s v="Regular Air"/>
    <n v="-628.38"/>
    <n v="48.91"/>
    <n v="35"/>
    <s v="Jim Sink"/>
    <s v="Manitoba"/>
    <x v="4"/>
    <s v="Corporate"/>
    <s v="Office Supplies"/>
    <x v="4"/>
    <x v="34"/>
    <d v="2009-09-25T00:00:00"/>
    <s v="25-Sep-2009"/>
  </r>
  <r>
    <n v="56135"/>
    <d v="2010-11-13T00:00:00"/>
    <s v="Medium"/>
    <s v="13-Nov-2010"/>
    <n v="8"/>
    <n v="1118.82"/>
    <n v="0.04"/>
    <s v="Delivery Truck"/>
    <n v="-320.3"/>
    <n v="140.97999999999999"/>
    <n v="36.090000000000003"/>
    <s v="Theone Pippenger"/>
    <s v="Manitoba"/>
    <x v="4"/>
    <s v="Corporate"/>
    <s v="Furniture"/>
    <x v="8"/>
    <x v="36"/>
    <d v="2010-11-15T00:00:00"/>
    <s v="15-Nov-2010"/>
  </r>
  <r>
    <n v="47267"/>
    <d v="2010-12-29T00:00:00"/>
    <s v="Medium"/>
    <s v="29-Dec-2010"/>
    <n v="14"/>
    <n v="1042.06"/>
    <n v="0.04"/>
    <s v="Delivery Truck"/>
    <n v="-931.25"/>
    <n v="70.89"/>
    <n v="89.3"/>
    <s v="Theone Pippenger"/>
    <s v="Manitoba"/>
    <x v="4"/>
    <s v="Corporate"/>
    <s v="Furniture"/>
    <x v="3"/>
    <x v="39"/>
    <d v="2010-12-30T00:00:00"/>
    <s v="30-Dec-2010"/>
  </r>
  <r>
    <n v="4451"/>
    <d v="2009-09-30T00:00:00"/>
    <s v="Critical"/>
    <s v="30-Sep-2009"/>
    <n v="47"/>
    <n v="992.95"/>
    <n v="0.04"/>
    <s v="Regular Air"/>
    <n v="-65.209999999999994"/>
    <n v="21.38"/>
    <n v="8.99"/>
    <s v="Tanja Norvell"/>
    <s v="Manitoba"/>
    <x v="4"/>
    <s v="Corporate"/>
    <s v="Office Supplies"/>
    <x v="13"/>
    <x v="14"/>
    <d v="2009-09-30T00:00:00"/>
    <s v="30-Sep-2009"/>
  </r>
  <r>
    <n v="34400"/>
    <d v="2012-12-24T00:00:00"/>
    <s v="Low"/>
    <s v="24-Dec-2012"/>
    <n v="17"/>
    <n v="988.64350000000002"/>
    <n v="0.04"/>
    <s v="Regular Air"/>
    <n v="89.89"/>
    <n v="65.989999999999995"/>
    <n v="4.2"/>
    <s v="Joy Daniels"/>
    <s v="Manitoba"/>
    <x v="4"/>
    <s v="Corporate"/>
    <s v="Technology"/>
    <x v="10"/>
    <x v="14"/>
    <d v="2012-12-29T00:00:00"/>
    <s v="29-Dec-2012"/>
  </r>
  <r>
    <n v="58788"/>
    <d v="2010-02-01T00:00:00"/>
    <s v="Low"/>
    <s v="01-Feb-2010"/>
    <n v="31"/>
    <n v="983.78"/>
    <n v="0.04"/>
    <s v="Regular Air"/>
    <n v="43.72"/>
    <n v="30.98"/>
    <n v="6.5"/>
    <s v="Christopher Schild"/>
    <s v="Manitoba"/>
    <x v="4"/>
    <s v="Corporate"/>
    <s v="Technology"/>
    <x v="11"/>
    <x v="28"/>
    <d v="2010-02-03T00:00:00"/>
    <s v="03-Feb-2010"/>
  </r>
  <r>
    <n v="57058"/>
    <d v="2012-05-09T00:00:00"/>
    <s v="Medium"/>
    <s v="09-May-2012"/>
    <n v="27"/>
    <n v="979.06"/>
    <n v="7.0000000000000007E-2"/>
    <s v="Regular Air"/>
    <n v="-131.9"/>
    <n v="35.770000000000003"/>
    <n v="9.02"/>
    <s v="Jack Garza"/>
    <s v="Manitoba"/>
    <x v="4"/>
    <s v="Corporate"/>
    <s v="Technology"/>
    <x v="11"/>
    <x v="16"/>
    <d v="2012-05-10T00:00:00"/>
    <s v="10-May-2012"/>
  </r>
  <r>
    <n v="20166"/>
    <d v="2009-03-04T00:00:00"/>
    <s v="Low"/>
    <s v="04-Mar-2009"/>
    <n v="6"/>
    <n v="973.86199999999997"/>
    <n v="0.1"/>
    <s v="Regular Air"/>
    <n v="-693.33"/>
    <n v="205.99"/>
    <n v="8.99"/>
    <s v="Mick Crebagga"/>
    <s v="Manitoba"/>
    <x v="4"/>
    <s v="Corporate"/>
    <s v="Technology"/>
    <x v="10"/>
    <x v="0"/>
    <d v="2009-03-08T00:00:00"/>
    <s v="08-Mar-2009"/>
  </r>
  <r>
    <n v="44325"/>
    <d v="2009-02-10T00:00:00"/>
    <s v="Medium"/>
    <s v="10-Feb-2009"/>
    <n v="44"/>
    <n v="951.33"/>
    <n v="0"/>
    <s v="Regular Air"/>
    <n v="-60.66"/>
    <n v="20.28"/>
    <n v="14.39"/>
    <s v="Maribeth Schnelling"/>
    <s v="Manitoba"/>
    <x v="4"/>
    <s v="Corporate"/>
    <s v="Furniture"/>
    <x v="7"/>
    <x v="26"/>
    <d v="2009-02-12T00:00:00"/>
    <s v="12-Feb-2009"/>
  </r>
  <r>
    <n v="5863"/>
    <d v="2010-11-21T00:00:00"/>
    <s v="Medium"/>
    <s v="21-Nov-2010"/>
    <n v="40"/>
    <n v="933.21"/>
    <n v="0.05"/>
    <s v="Regular Air"/>
    <n v="207.18"/>
    <n v="22.98"/>
    <n v="7.58"/>
    <s v="Guy Thornton"/>
    <s v="Manitoba"/>
    <x v="4"/>
    <s v="Corporate"/>
    <s v="Furniture"/>
    <x v="7"/>
    <x v="51"/>
    <d v="2010-11-22T00:00:00"/>
    <s v="22-Nov-2010"/>
  </r>
  <r>
    <n v="46147"/>
    <d v="2011-01-15T00:00:00"/>
    <s v="Critical"/>
    <s v="15-Jan-2011"/>
    <n v="37"/>
    <n v="925.8"/>
    <n v="0.01"/>
    <s v="Regular Air"/>
    <n v="30.69"/>
    <n v="24.92"/>
    <n v="12.98"/>
    <s v="Mick Crebagga"/>
    <s v="Manitoba"/>
    <x v="4"/>
    <s v="Corporate"/>
    <s v="Office Supplies"/>
    <x v="1"/>
    <x v="4"/>
    <d v="2011-01-17T00:00:00"/>
    <s v="17-Jan-2011"/>
  </r>
  <r>
    <n v="51461"/>
    <d v="2011-02-10T00:00:00"/>
    <s v="Not Specified"/>
    <s v="10-Feb-2011"/>
    <n v="43"/>
    <n v="858.53"/>
    <n v="7.0000000000000007E-2"/>
    <s v="Regular Air"/>
    <n v="-97.54"/>
    <n v="19.989999999999998"/>
    <n v="11.17"/>
    <s v="Greg Guthrie"/>
    <s v="Manitoba"/>
    <x v="4"/>
    <s v="Corporate"/>
    <s v="Furniture"/>
    <x v="7"/>
    <x v="18"/>
    <d v="2011-02-12T00:00:00"/>
    <s v="12-Feb-2011"/>
  </r>
  <r>
    <n v="27460"/>
    <d v="2009-05-12T00:00:00"/>
    <s v="Not Specified"/>
    <s v="12-May-2009"/>
    <n v="7"/>
    <n v="855.03"/>
    <n v="0.08"/>
    <s v="Regular Air"/>
    <n v="-1.68"/>
    <n v="128.24"/>
    <n v="12.65"/>
    <s v="Evan Bailliet"/>
    <s v="Manitoba"/>
    <x v="4"/>
    <s v="Corporate"/>
    <s v="Furniture"/>
    <x v="2"/>
    <x v="49"/>
    <d v="2009-05-13T00:00:00"/>
    <s v="13-May-2009"/>
  </r>
  <r>
    <n v="52482"/>
    <d v="2011-01-31T00:00:00"/>
    <s v="Critical"/>
    <s v="31-Jan-2011"/>
    <n v="21"/>
    <n v="848.2"/>
    <n v="0.06"/>
    <s v="Express Air"/>
    <n v="163.78"/>
    <n v="40.98"/>
    <n v="5.33"/>
    <s v="Greg Guthrie"/>
    <s v="Manitoba"/>
    <x v="4"/>
    <s v="Corporate"/>
    <s v="Office Supplies"/>
    <x v="5"/>
    <x v="6"/>
    <d v="2011-01-31T00:00:00"/>
    <s v="31-Jan-2011"/>
  </r>
  <r>
    <n v="55651"/>
    <d v="2012-03-07T00:00:00"/>
    <s v="Medium"/>
    <s v="07-Mar-2012"/>
    <n v="41"/>
    <n v="830.53"/>
    <n v="0.01"/>
    <s v="Regular Air"/>
    <n v="120.69"/>
    <n v="20.239999999999998"/>
    <n v="8.99"/>
    <s v="Helen Andreada"/>
    <s v="Manitoba"/>
    <x v="4"/>
    <s v="Corporate"/>
    <s v="Furniture"/>
    <x v="7"/>
    <x v="29"/>
    <d v="2012-03-10T00:00:00"/>
    <s v="10-Mar-2012"/>
  </r>
  <r>
    <n v="25473"/>
    <d v="2012-10-14T00:00:00"/>
    <s v="High"/>
    <s v="14-Oct-2012"/>
    <n v="20"/>
    <n v="794.32"/>
    <n v="0.08"/>
    <s v="Regular Air"/>
    <n v="67.61"/>
    <n v="40.99"/>
    <n v="17.48"/>
    <s v="Mary Zewe"/>
    <s v="Manitoba"/>
    <x v="4"/>
    <s v="Corporate"/>
    <s v="Office Supplies"/>
    <x v="12"/>
    <x v="10"/>
    <d v="2012-10-17T00:00:00"/>
    <s v="17-Oct-2012"/>
  </r>
  <r>
    <n v="2816"/>
    <d v="2009-09-19T00:00:00"/>
    <s v="High"/>
    <s v="19-Sep-2009"/>
    <n v="35"/>
    <n v="787.56"/>
    <n v="0"/>
    <s v="Regular Air"/>
    <n v="220.04"/>
    <n v="21.98"/>
    <n v="2.87"/>
    <s v="Ross Baird"/>
    <s v="Manitoba"/>
    <x v="4"/>
    <s v="Corporate"/>
    <s v="Office Supplies"/>
    <x v="13"/>
    <x v="20"/>
    <d v="2009-09-20T00:00:00"/>
    <s v="20-Sep-2009"/>
  </r>
  <r>
    <n v="54501"/>
    <d v="2012-11-29T00:00:00"/>
    <s v="Critical"/>
    <s v="29-Nov-2012"/>
    <n v="38"/>
    <n v="783.96"/>
    <n v="0.05"/>
    <s v="Regular Air"/>
    <n v="-1195.29"/>
    <n v="20.34"/>
    <n v="35"/>
    <s v="Guy Armstrong"/>
    <s v="Manitoba"/>
    <x v="4"/>
    <s v="Corporate"/>
    <s v="Office Supplies"/>
    <x v="4"/>
    <x v="30"/>
    <d v="2012-12-01T00:00:00"/>
    <s v="01-Dec-2012"/>
  </r>
  <r>
    <n v="8996"/>
    <d v="2011-06-02T00:00:00"/>
    <s v="Low"/>
    <s v="02-Jun-2011"/>
    <n v="13"/>
    <n v="772.26750000000004"/>
    <n v="0.02"/>
    <s v="Regular Air"/>
    <n v="-48.85"/>
    <n v="65.989999999999995"/>
    <n v="8.99"/>
    <s v="Tanja Norvell"/>
    <s v="Manitoba"/>
    <x v="4"/>
    <s v="Corporate"/>
    <s v="Technology"/>
    <x v="10"/>
    <x v="14"/>
    <d v="2011-06-06T00:00:00"/>
    <s v="06-Jun-2011"/>
  </r>
  <r>
    <n v="30917"/>
    <d v="2010-11-01T00:00:00"/>
    <s v="Low"/>
    <s v="01-Nov-2010"/>
    <n v="8"/>
    <n v="753.8"/>
    <n v="0.06"/>
    <s v="Regular Air"/>
    <n v="-32.299999999999997"/>
    <n v="96.45"/>
    <n v="13.99"/>
    <s v="Marc Crier"/>
    <s v="Manitoba"/>
    <x v="4"/>
    <s v="Corporate"/>
    <s v="Technology"/>
    <x v="0"/>
    <x v="1"/>
    <d v="2010-11-05T00:00:00"/>
    <s v="05-Nov-2010"/>
  </r>
  <r>
    <n v="48931"/>
    <d v="2009-06-17T00:00:00"/>
    <s v="Low"/>
    <s v="17-Jun-2009"/>
    <n v="33"/>
    <n v="750.66"/>
    <n v="0"/>
    <s v="Regular Air"/>
    <n v="120.05"/>
    <n v="20.95"/>
    <n v="4"/>
    <s v="Charles Sheldon"/>
    <s v="Manitoba"/>
    <x v="4"/>
    <s v="Corporate"/>
    <s v="Technology"/>
    <x v="11"/>
    <x v="18"/>
    <d v="2009-06-24T00:00:00"/>
    <s v="24-Jun-2009"/>
  </r>
  <r>
    <n v="7175"/>
    <d v="2010-02-07T00:00:00"/>
    <s v="Critical"/>
    <s v="07-Feb-2010"/>
    <n v="10"/>
    <n v="748.25"/>
    <n v="0.05"/>
    <s v="Delivery Truck"/>
    <n v="-86.99"/>
    <n v="70.98"/>
    <n v="26.74"/>
    <s v="Helen Andreada"/>
    <s v="Manitoba"/>
    <x v="4"/>
    <s v="Corporate"/>
    <s v="Furniture"/>
    <x v="8"/>
    <x v="18"/>
    <d v="2010-02-09T00:00:00"/>
    <s v="09-Feb-2010"/>
  </r>
  <r>
    <n v="14534"/>
    <d v="2010-07-18T00:00:00"/>
    <s v="Medium"/>
    <s v="18-Jul-2010"/>
    <n v="46"/>
    <n v="745.99"/>
    <n v="0.02"/>
    <s v="Regular Air"/>
    <n v="226.09"/>
    <n v="15.98"/>
    <n v="4"/>
    <s v="Valerie Dominguez"/>
    <s v="Manitoba"/>
    <x v="4"/>
    <s v="Corporate"/>
    <s v="Technology"/>
    <x v="11"/>
    <x v="7"/>
    <d v="2010-07-18T00:00:00"/>
    <s v="18-Jul-2010"/>
  </r>
  <r>
    <n v="4578"/>
    <d v="2012-09-12T00:00:00"/>
    <s v="Low"/>
    <s v="12-Sep-2012"/>
    <n v="48"/>
    <n v="724.13"/>
    <n v="0.01"/>
    <s v="Regular Air"/>
    <n v="-250.53"/>
    <n v="14.81"/>
    <n v="13.32"/>
    <s v="Roy Skaria"/>
    <s v="Manitoba"/>
    <x v="4"/>
    <s v="Corporate"/>
    <s v="Office Supplies"/>
    <x v="5"/>
    <x v="21"/>
    <d v="2012-09-19T00:00:00"/>
    <s v="19-Sep-2012"/>
  </r>
  <r>
    <n v="15872"/>
    <d v="2012-10-30T00:00:00"/>
    <s v="Not Specified"/>
    <s v="30-Oct-2012"/>
    <n v="19"/>
    <n v="718.41"/>
    <n v="0.1"/>
    <s v="Regular Air"/>
    <n v="23.94"/>
    <n v="40.99"/>
    <n v="17.48"/>
    <s v="Helen Andreada"/>
    <s v="Manitoba"/>
    <x v="4"/>
    <s v="Corporate"/>
    <s v="Office Supplies"/>
    <x v="12"/>
    <x v="10"/>
    <d v="2012-10-31T00:00:00"/>
    <s v="31-Oct-2012"/>
  </r>
  <r>
    <n v="52482"/>
    <d v="2011-01-31T00:00:00"/>
    <s v="Critical"/>
    <s v="31-Jan-2011"/>
    <n v="30"/>
    <n v="717.21"/>
    <n v="0"/>
    <s v="Regular Air"/>
    <n v="217.06"/>
    <n v="22.23"/>
    <n v="3.63"/>
    <s v="Greg Guthrie"/>
    <s v="Manitoba"/>
    <x v="4"/>
    <s v="Corporate"/>
    <s v="Furniture"/>
    <x v="7"/>
    <x v="24"/>
    <d v="2011-02-02T00:00:00"/>
    <s v="02-Feb-2011"/>
  </r>
  <r>
    <n v="37987"/>
    <d v="2009-07-03T00:00:00"/>
    <s v="High"/>
    <s v="03-Jul-2009"/>
    <n v="5"/>
    <n v="708.87"/>
    <n v="0.1"/>
    <s v="Delivery Truck"/>
    <n v="-270.85000000000002"/>
    <n v="146.34"/>
    <n v="43.75"/>
    <s v="Michael Moore"/>
    <s v="Manitoba"/>
    <x v="4"/>
    <s v="Corporate"/>
    <s v="Furniture"/>
    <x v="3"/>
    <x v="28"/>
    <d v="2009-07-04T00:00:00"/>
    <s v="04-Jul-2009"/>
  </r>
  <r>
    <n v="30497"/>
    <d v="2011-02-06T00:00:00"/>
    <s v="Critical"/>
    <s v="06-Feb-2011"/>
    <n v="34"/>
    <n v="706.91"/>
    <n v="0.03"/>
    <s v="Express Air"/>
    <n v="85.68"/>
    <n v="20.98"/>
    <n v="8.83"/>
    <s v="Steve Chapman"/>
    <s v="Manitoba"/>
    <x v="4"/>
    <s v="Corporate"/>
    <s v="Office Supplies"/>
    <x v="1"/>
    <x v="7"/>
    <d v="2011-02-08T00:00:00"/>
    <s v="08-Feb-2011"/>
  </r>
  <r>
    <n v="54436"/>
    <d v="2009-09-19T00:00:00"/>
    <s v="High"/>
    <s v="19-Sep-2009"/>
    <n v="17"/>
    <n v="705.85"/>
    <n v="0.04"/>
    <s v="Express Air"/>
    <n v="151.66999999999999"/>
    <n v="39.479999999999997"/>
    <n v="1.99"/>
    <s v="Toby Knight"/>
    <s v="Manitoba"/>
    <x v="4"/>
    <s v="Corporate"/>
    <s v="Technology"/>
    <x v="11"/>
    <x v="41"/>
    <d v="2009-09-19T00:00:00"/>
    <s v="19-Sep-2009"/>
  </r>
  <r>
    <n v="54437"/>
    <d v="2010-12-19T00:00:00"/>
    <s v="High"/>
    <s v="19-Dec-2010"/>
    <n v="15"/>
    <n v="653.87099999999998"/>
    <n v="0.09"/>
    <s v="Regular Air"/>
    <n v="-311.05"/>
    <n v="55.99"/>
    <n v="5"/>
    <s v="Logan Haushalter"/>
    <s v="Manitoba"/>
    <x v="4"/>
    <s v="Corporate"/>
    <s v="Technology"/>
    <x v="10"/>
    <x v="34"/>
    <d v="2010-12-19T00:00:00"/>
    <s v="19-Dec-2010"/>
  </r>
  <r>
    <n v="53410"/>
    <d v="2009-08-07T00:00:00"/>
    <s v="Critical"/>
    <s v="07-Aug-2009"/>
    <n v="44"/>
    <n v="642.79999999999995"/>
    <n v="0.08"/>
    <s v="Regular Air"/>
    <n v="-253.11"/>
    <n v="14.81"/>
    <n v="13.32"/>
    <s v="Christopher Schild"/>
    <s v="Manitoba"/>
    <x v="4"/>
    <s v="Corporate"/>
    <s v="Office Supplies"/>
    <x v="5"/>
    <x v="21"/>
    <d v="2009-08-09T00:00:00"/>
    <s v="09-Aug-2009"/>
  </r>
  <r>
    <n v="37025"/>
    <d v="2009-11-10T00:00:00"/>
    <s v="High"/>
    <s v="10-Nov-2009"/>
    <n v="37"/>
    <n v="641.89"/>
    <n v="0.03"/>
    <s v="Regular Air"/>
    <n v="207.3"/>
    <n v="17.48"/>
    <n v="1.99"/>
    <s v="Tracy Collins"/>
    <s v="Manitoba"/>
    <x v="4"/>
    <s v="Corporate"/>
    <s v="Technology"/>
    <x v="11"/>
    <x v="45"/>
    <d v="2009-11-11T00:00:00"/>
    <s v="11-Nov-2009"/>
  </r>
  <r>
    <n v="50784"/>
    <d v="2012-02-10T00:00:00"/>
    <s v="High"/>
    <s v="10-Feb-2012"/>
    <n v="20"/>
    <n v="638.72"/>
    <n v="0.04"/>
    <s v="Regular Air"/>
    <n v="-130.88"/>
    <n v="32.979999999999997"/>
    <n v="5.5"/>
    <s v="Chuck Magee"/>
    <s v="Manitoba"/>
    <x v="4"/>
    <s v="Corporate"/>
    <s v="Technology"/>
    <x v="11"/>
    <x v="16"/>
    <d v="2012-02-11T00:00:00"/>
    <s v="11-Feb-2012"/>
  </r>
  <r>
    <n v="46656"/>
    <d v="2009-07-16T00:00:00"/>
    <s v="High"/>
    <s v="16-Jul-2009"/>
    <n v="27"/>
    <n v="636.70000000000005"/>
    <n v="0.1"/>
    <s v="Regular Air"/>
    <n v="-29.91"/>
    <n v="24.92"/>
    <n v="12.98"/>
    <s v="Nora Pelletier"/>
    <s v="Manitoba"/>
    <x v="4"/>
    <s v="Corporate"/>
    <s v="Office Supplies"/>
    <x v="1"/>
    <x v="4"/>
    <d v="2009-07-17T00:00:00"/>
    <s v="17-Jul-2009"/>
  </r>
  <r>
    <n v="46885"/>
    <d v="2011-06-07T00:00:00"/>
    <s v="Low"/>
    <s v="07-Jun-2011"/>
    <n v="27"/>
    <n v="632.54999999999995"/>
    <n v="0.05"/>
    <s v="Regular Air"/>
    <n v="165.35"/>
    <n v="22.72"/>
    <n v="8.99"/>
    <s v="Mike Kennedy"/>
    <s v="Manitoba"/>
    <x v="4"/>
    <s v="Corporate"/>
    <s v="Furniture"/>
    <x v="7"/>
    <x v="47"/>
    <d v="2011-06-11T00:00:00"/>
    <s v="11-Jun-2011"/>
  </r>
  <r>
    <n v="52160"/>
    <d v="2011-07-03T00:00:00"/>
    <s v="Critical"/>
    <s v="03-Jul-2011"/>
    <n v="6"/>
    <n v="631.49900000000002"/>
    <n v="0.09"/>
    <s v="Regular Air"/>
    <n v="-403.02"/>
    <n v="125.99"/>
    <n v="8.08"/>
    <s v="Jack Garza"/>
    <s v="Manitoba"/>
    <x v="4"/>
    <s v="Corporate"/>
    <s v="Technology"/>
    <x v="10"/>
    <x v="6"/>
    <d v="2011-07-05T00:00:00"/>
    <s v="05-Jul-2011"/>
  </r>
  <r>
    <n v="2818"/>
    <d v="2009-12-11T00:00:00"/>
    <s v="Medium"/>
    <s v="11-Dec-2009"/>
    <n v="39"/>
    <n v="593.21"/>
    <n v="0"/>
    <s v="Regular Air"/>
    <n v="44.71"/>
    <n v="14.98"/>
    <n v="8.99"/>
    <s v="Ross Baird"/>
    <s v="Manitoba"/>
    <x v="4"/>
    <s v="Corporate"/>
    <s v="Furniture"/>
    <x v="7"/>
    <x v="4"/>
    <d v="2009-12-12T00:00:00"/>
    <s v="12-Dec-2009"/>
  </r>
  <r>
    <n v="10272"/>
    <d v="2009-01-17T00:00:00"/>
    <s v="Medium"/>
    <s v="17-Jan-2009"/>
    <n v="26"/>
    <n v="566.39"/>
    <n v="0.06"/>
    <s v="Regular Air"/>
    <n v="76.430000000000007"/>
    <n v="22.84"/>
    <n v="8.18"/>
    <s v="Katherine Ducich"/>
    <s v="Manitoba"/>
    <x v="4"/>
    <s v="Corporate"/>
    <s v="Office Supplies"/>
    <x v="12"/>
    <x v="4"/>
    <d v="2009-01-17T00:00:00"/>
    <s v="17-Jan-2009"/>
  </r>
  <r>
    <n v="2818"/>
    <d v="2009-12-11T00:00:00"/>
    <s v="Medium"/>
    <s v="11-Dec-2009"/>
    <n v="37"/>
    <n v="565.91"/>
    <n v="0.05"/>
    <s v="Regular Air"/>
    <n v="192.39"/>
    <n v="15.68"/>
    <n v="3.73"/>
    <s v="Ross Baird"/>
    <s v="Manitoba"/>
    <x v="4"/>
    <s v="Corporate"/>
    <s v="Furniture"/>
    <x v="7"/>
    <x v="29"/>
    <d v="2009-12-13T00:00:00"/>
    <s v="13-Dec-2009"/>
  </r>
  <r>
    <n v="32710"/>
    <d v="2009-11-16T00:00:00"/>
    <s v="High"/>
    <s v="16-Nov-2009"/>
    <n v="43"/>
    <n v="540.33000000000004"/>
    <n v="0.04"/>
    <s v="Regular Air"/>
    <n v="-59.06"/>
    <n v="12.44"/>
    <n v="6.27"/>
    <s v="John Lee"/>
    <s v="Manitoba"/>
    <x v="4"/>
    <s v="Corporate"/>
    <s v="Office Supplies"/>
    <x v="4"/>
    <x v="6"/>
    <d v="2009-11-17T00:00:00"/>
    <s v="17-Nov-2009"/>
  </r>
  <r>
    <n v="50081"/>
    <d v="2009-11-03T00:00:00"/>
    <s v="Not Specified"/>
    <s v="03-Nov-2009"/>
    <n v="7"/>
    <n v="538.51"/>
    <n v="0"/>
    <s v="Delivery Truck"/>
    <n v="-88.75"/>
    <n v="70.98"/>
    <n v="26.74"/>
    <s v="Guy Armstrong"/>
    <s v="Manitoba"/>
    <x v="4"/>
    <s v="Corporate"/>
    <s v="Furniture"/>
    <x v="8"/>
    <x v="18"/>
    <d v="2009-11-04T00:00:00"/>
    <s v="04-Nov-2009"/>
  </r>
  <r>
    <n v="24386"/>
    <d v="2012-06-26T00:00:00"/>
    <s v="High"/>
    <s v="26-Jun-2012"/>
    <n v="12"/>
    <n v="503.08"/>
    <n v="0.01"/>
    <s v="Regular Air"/>
    <n v="-102.74"/>
    <n v="40.98"/>
    <n v="6.5"/>
    <s v="Bruce Stewart"/>
    <s v="Manitoba"/>
    <x v="4"/>
    <s v="Corporate"/>
    <s v="Technology"/>
    <x v="11"/>
    <x v="37"/>
    <d v="2012-06-28T00:00:00"/>
    <s v="28-Jun-2012"/>
  </r>
  <r>
    <n v="47267"/>
    <d v="2010-12-29T00:00:00"/>
    <s v="Medium"/>
    <s v="29-Dec-2010"/>
    <n v="24"/>
    <n v="492.71"/>
    <n v="0.02"/>
    <s v="Regular Air"/>
    <n v="67.010000000000005"/>
    <n v="19.98"/>
    <n v="8.68"/>
    <s v="Theone Pippenger"/>
    <s v="Manitoba"/>
    <x v="4"/>
    <s v="Corporate"/>
    <s v="Office Supplies"/>
    <x v="12"/>
    <x v="7"/>
    <d v="2010-12-30T00:00:00"/>
    <s v="30-Dec-2010"/>
  </r>
  <r>
    <n v="58182"/>
    <d v="2009-02-20T00:00:00"/>
    <s v="High"/>
    <s v="20-Feb-2009"/>
    <n v="24"/>
    <n v="479.13"/>
    <n v="0.05"/>
    <s v="Express Air"/>
    <n v="166.92"/>
    <n v="19.23"/>
    <n v="6.15"/>
    <s v="Tracy Collins"/>
    <s v="Manitoba"/>
    <x v="4"/>
    <s v="Corporate"/>
    <s v="Furniture"/>
    <x v="7"/>
    <x v="47"/>
    <d v="2009-02-22T00:00:00"/>
    <s v="22-Feb-2009"/>
  </r>
  <r>
    <n v="14884"/>
    <d v="2011-09-27T00:00:00"/>
    <s v="High"/>
    <s v="27-Sep-2011"/>
    <n v="6"/>
    <n v="473.9855"/>
    <n v="0.06"/>
    <s v="Regular Air"/>
    <n v="-301.68"/>
    <n v="95.99"/>
    <n v="4.9000000000000004"/>
    <s v="Michael Moore"/>
    <s v="Manitoba"/>
    <x v="4"/>
    <s v="Corporate"/>
    <s v="Technology"/>
    <x v="10"/>
    <x v="0"/>
    <d v="2011-09-29T00:00:00"/>
    <s v="29-Sep-2011"/>
  </r>
  <r>
    <n v="57159"/>
    <d v="2010-02-12T00:00:00"/>
    <s v="Critical"/>
    <s v="12-Feb-2010"/>
    <n v="42"/>
    <n v="460.2"/>
    <n v="0.01"/>
    <s v="Regular Air"/>
    <n v="-214.39"/>
    <n v="9.99"/>
    <n v="11.59"/>
    <s v="Hilary Holden"/>
    <s v="Manitoba"/>
    <x v="4"/>
    <s v="Corporate"/>
    <s v="Office Supplies"/>
    <x v="12"/>
    <x v="27"/>
    <d v="2010-02-12T00:00:00"/>
    <s v="12-Feb-2010"/>
  </r>
  <r>
    <n v="710"/>
    <d v="2010-01-01T00:00:00"/>
    <s v="Low"/>
    <s v="01-Jan-2010"/>
    <n v="11"/>
    <n v="447.09"/>
    <n v="0.09"/>
    <s v="Regular Air"/>
    <n v="89.03"/>
    <n v="41.32"/>
    <n v="8.66"/>
    <s v="Susan MacKendrick"/>
    <s v="Manitoba"/>
    <x v="4"/>
    <s v="Corporate"/>
    <s v="Furniture"/>
    <x v="7"/>
    <x v="40"/>
    <d v="2010-01-03T00:00:00"/>
    <s v="03-Jan-2010"/>
  </r>
  <r>
    <n v="14503"/>
    <d v="2011-02-05T00:00:00"/>
    <s v="Not Specified"/>
    <s v="05-Feb-2011"/>
    <n v="14"/>
    <n v="438.47"/>
    <n v="0.02"/>
    <s v="Express Air"/>
    <n v="157.88999999999999"/>
    <n v="30.56"/>
    <n v="2.99"/>
    <s v="Bruce Stewart"/>
    <s v="Manitoba"/>
    <x v="4"/>
    <s v="Corporate"/>
    <s v="Office Supplies"/>
    <x v="1"/>
    <x v="2"/>
    <d v="2011-02-06T00:00:00"/>
    <s v="06-Feb-2011"/>
  </r>
  <r>
    <n v="53221"/>
    <d v="2012-02-26T00:00:00"/>
    <s v="Not Specified"/>
    <s v="26-Feb-2012"/>
    <n v="29"/>
    <n v="433.44"/>
    <n v="0.1"/>
    <s v="Regular Air"/>
    <n v="147.46"/>
    <n v="15.68"/>
    <n v="3.73"/>
    <s v="Art Ferguson"/>
    <s v="Manitoba"/>
    <x v="4"/>
    <s v="Corporate"/>
    <s v="Furniture"/>
    <x v="7"/>
    <x v="29"/>
    <d v="2012-02-27T00:00:00"/>
    <s v="27-Feb-2012"/>
  </r>
  <r>
    <n v="16103"/>
    <d v="2012-07-15T00:00:00"/>
    <s v="Not Specified"/>
    <s v="15-Jul-2012"/>
    <n v="22"/>
    <n v="426.7"/>
    <n v="0.06"/>
    <s v="Regular Air"/>
    <n v="104.77"/>
    <n v="19.84"/>
    <n v="4.0999999999999996"/>
    <s v="Maria Zettner"/>
    <s v="Manitoba"/>
    <x v="4"/>
    <s v="Corporate"/>
    <s v="Office Supplies"/>
    <x v="13"/>
    <x v="47"/>
    <d v="2012-07-17T00:00:00"/>
    <s v="17-Jul-2012"/>
  </r>
  <r>
    <n v="48032"/>
    <d v="2010-08-26T00:00:00"/>
    <s v="High"/>
    <s v="26-Aug-2010"/>
    <n v="29"/>
    <n v="412.86"/>
    <n v="7.0000000000000007E-2"/>
    <s v="Regular Air"/>
    <n v="-104.43"/>
    <n v="15.14"/>
    <n v="4.53"/>
    <s v="John Lee"/>
    <s v="Manitoba"/>
    <x v="4"/>
    <s v="Corporate"/>
    <s v="Office Supplies"/>
    <x v="4"/>
    <x v="43"/>
    <d v="2010-08-27T00:00:00"/>
    <s v="27-Aug-2010"/>
  </r>
  <r>
    <n v="49220"/>
    <d v="2011-08-13T00:00:00"/>
    <s v="Critical"/>
    <s v="13-Aug-2011"/>
    <n v="13"/>
    <n v="409.97"/>
    <n v="7.0000000000000007E-2"/>
    <s v="Regular Air"/>
    <n v="39.36"/>
    <n v="33.619999999999997"/>
    <n v="3.5"/>
    <s v="Evan Bailliet"/>
    <s v="Manitoba"/>
    <x v="4"/>
    <s v="Corporate"/>
    <s v="Office Supplies"/>
    <x v="5"/>
    <x v="14"/>
    <d v="2011-08-14T00:00:00"/>
    <s v="14-Aug-2011"/>
  </r>
  <r>
    <n v="56708"/>
    <d v="2012-12-02T00:00:00"/>
    <s v="Not Specified"/>
    <s v="02-Dec-2012"/>
    <n v="36"/>
    <n v="407.17"/>
    <n v="0.04"/>
    <s v="Regular Air"/>
    <n v="-12.82"/>
    <n v="11.58"/>
    <n v="6.97"/>
    <s v="Art Ferguson"/>
    <s v="Manitoba"/>
    <x v="4"/>
    <s v="Corporate"/>
    <s v="Office Supplies"/>
    <x v="15"/>
    <x v="2"/>
    <d v="2012-12-05T00:00:00"/>
    <s v="05-Dec-2012"/>
  </r>
  <r>
    <n v="24544"/>
    <d v="2009-01-26T00:00:00"/>
    <s v="High"/>
    <s v="26-Jan-2009"/>
    <n v="15"/>
    <n v="403.71"/>
    <n v="0.03"/>
    <s v="Delivery Truck"/>
    <n v="-97.47"/>
    <n v="25.98"/>
    <n v="14.36"/>
    <s v="Tanja Norvell"/>
    <s v="Manitoba"/>
    <x v="4"/>
    <s v="Corporate"/>
    <s v="Furniture"/>
    <x v="2"/>
    <x v="18"/>
    <d v="2009-01-27T00:00:00"/>
    <s v="27-Jan-2009"/>
  </r>
  <r>
    <n v="5921"/>
    <d v="2009-04-06T00:00:00"/>
    <s v="Low"/>
    <s v="06-Apr-2009"/>
    <n v="27"/>
    <n v="384.74"/>
    <n v="0.01"/>
    <s v="Express Air"/>
    <n v="2.69"/>
    <n v="13.43"/>
    <n v="5.5"/>
    <s v="Maurice Satty"/>
    <s v="Manitoba"/>
    <x v="4"/>
    <s v="Corporate"/>
    <s v="Office Supplies"/>
    <x v="4"/>
    <x v="6"/>
    <d v="2009-04-13T00:00:00"/>
    <s v="13-Apr-2009"/>
  </r>
  <r>
    <n v="59684"/>
    <d v="2010-12-29T00:00:00"/>
    <s v="Medium"/>
    <s v="29-Dec-2010"/>
    <n v="41"/>
    <n v="368.17"/>
    <n v="0"/>
    <s v="Express Air"/>
    <n v="-15.12"/>
    <n v="8.32"/>
    <n v="2.38"/>
    <s v="Susan MacKendrick"/>
    <s v="Manitoba"/>
    <x v="4"/>
    <s v="Corporate"/>
    <s v="Technology"/>
    <x v="11"/>
    <x v="37"/>
    <d v="2011-01-16T00:00:00"/>
    <s v="16-Jan-2011"/>
  </r>
  <r>
    <n v="55749"/>
    <d v="2012-05-03T00:00:00"/>
    <s v="Critical"/>
    <s v="03-May-2012"/>
    <n v="42"/>
    <n v="364.8"/>
    <n v="0.01"/>
    <s v="Regular Air"/>
    <n v="149.44999999999999"/>
    <n v="8.74"/>
    <n v="1.39"/>
    <s v="Brad Norvell"/>
    <s v="Manitoba"/>
    <x v="4"/>
    <s v="Corporate"/>
    <s v="Office Supplies"/>
    <x v="15"/>
    <x v="1"/>
    <d v="2012-05-04T00:00:00"/>
    <s v="04-May-2012"/>
  </r>
  <r>
    <n v="7878"/>
    <d v="2011-05-01T00:00:00"/>
    <s v="Critical"/>
    <s v="01-May-2011"/>
    <n v="41"/>
    <n v="343.64"/>
    <n v="0.06"/>
    <s v="Regular Air"/>
    <n v="13.29"/>
    <n v="8.57"/>
    <n v="3.44"/>
    <s v="Meg O'Connel"/>
    <s v="Manitoba"/>
    <x v="4"/>
    <s v="Corporate"/>
    <s v="Furniture"/>
    <x v="7"/>
    <x v="19"/>
    <d v="2011-05-03T00:00:00"/>
    <s v="03-May-2011"/>
  </r>
  <r>
    <n v="57922"/>
    <d v="2011-02-08T00:00:00"/>
    <s v="Critical"/>
    <s v="08-Feb-2011"/>
    <n v="50"/>
    <n v="343.26"/>
    <n v="0.04"/>
    <s v="Regular Air"/>
    <n v="-287.27999999999997"/>
    <n v="6.84"/>
    <n v="8.3699999999999992"/>
    <s v="Guy Armstrong"/>
    <s v="Manitoba"/>
    <x v="4"/>
    <s v="Corporate"/>
    <s v="Office Supplies"/>
    <x v="14"/>
    <x v="15"/>
    <d v="2011-02-08T00:00:00"/>
    <s v="08-Feb-2011"/>
  </r>
  <r>
    <n v="58725"/>
    <d v="2010-05-20T00:00:00"/>
    <s v="Not Specified"/>
    <s v="20-May-2010"/>
    <n v="39"/>
    <n v="335.35"/>
    <n v="0.05"/>
    <s v="Regular Air"/>
    <n v="-134.97"/>
    <n v="8.74"/>
    <n v="8.2899999999999991"/>
    <s v="Joel Jenkins"/>
    <s v="Manitoba"/>
    <x v="4"/>
    <s v="Corporate"/>
    <s v="Office Supplies"/>
    <x v="15"/>
    <x v="1"/>
    <d v="2010-05-21T00:00:00"/>
    <s v="21-May-2010"/>
  </r>
  <r>
    <n v="57506"/>
    <d v="2009-02-13T00:00:00"/>
    <s v="Medium"/>
    <s v="13-Feb-2009"/>
    <n v="48"/>
    <n v="332.55"/>
    <n v="0.1"/>
    <s v="Regular Air"/>
    <n v="-66.87"/>
    <n v="7.28"/>
    <n v="5.47"/>
    <s v="Thais Sissman"/>
    <s v="Manitoba"/>
    <x v="4"/>
    <s v="Corporate"/>
    <s v="Office Supplies"/>
    <x v="12"/>
    <x v="2"/>
    <d v="2009-02-13T00:00:00"/>
    <s v="13-Feb-2009"/>
  </r>
  <r>
    <n v="40261"/>
    <d v="2009-11-04T00:00:00"/>
    <s v="Critical"/>
    <s v="04-Nov-2009"/>
    <n v="36"/>
    <n v="331.37"/>
    <n v="0.03"/>
    <s v="Express Air"/>
    <n v="-172.17"/>
    <n v="9.06"/>
    <n v="9.86"/>
    <s v="Evan Bailliet"/>
    <s v="Manitoba"/>
    <x v="4"/>
    <s v="Corporate"/>
    <s v="Office Supplies"/>
    <x v="12"/>
    <x v="27"/>
    <d v="2009-11-06T00:00:00"/>
    <s v="06-Nov-2009"/>
  </r>
  <r>
    <n v="15142"/>
    <d v="2012-04-04T00:00:00"/>
    <s v="Not Specified"/>
    <s v="04-Apr-2012"/>
    <n v="21"/>
    <n v="330.22"/>
    <n v="7.0000000000000007E-2"/>
    <s v="Regular Air"/>
    <n v="-51.72"/>
    <n v="15.28"/>
    <n v="10.91"/>
    <s v="Meg O'Connel"/>
    <s v="Manitoba"/>
    <x v="4"/>
    <s v="Corporate"/>
    <s v="Office Supplies"/>
    <x v="1"/>
    <x v="10"/>
    <d v="2012-04-06T00:00:00"/>
    <s v="06-Apr-2012"/>
  </r>
  <r>
    <n v="54436"/>
    <d v="2009-09-19T00:00:00"/>
    <s v="High"/>
    <s v="19-Sep-2009"/>
    <n v="37"/>
    <n v="321.3"/>
    <n v="0"/>
    <s v="Regular Air"/>
    <n v="-47.23"/>
    <n v="8.1199999999999992"/>
    <n v="2.83"/>
    <s v="Toby Knight"/>
    <s v="Manitoba"/>
    <x v="4"/>
    <s v="Corporate"/>
    <s v="Technology"/>
    <x v="11"/>
    <x v="36"/>
    <d v="2009-09-20T00:00:00"/>
    <s v="20-Sep-2009"/>
  </r>
  <r>
    <n v="44002"/>
    <d v="2009-02-07T00:00:00"/>
    <s v="Medium"/>
    <s v="07-Feb-2009"/>
    <n v="46"/>
    <n v="320.93"/>
    <n v="0.05"/>
    <s v="Regular Air"/>
    <n v="-66.48"/>
    <n v="6.68"/>
    <n v="5.66"/>
    <s v="John Lee"/>
    <s v="Manitoba"/>
    <x v="4"/>
    <s v="Corporate"/>
    <s v="Office Supplies"/>
    <x v="12"/>
    <x v="7"/>
    <d v="2009-02-09T00:00:00"/>
    <s v="09-Feb-2009"/>
  </r>
  <r>
    <n v="42437"/>
    <d v="2012-03-05T00:00:00"/>
    <s v="Critical"/>
    <s v="05-Mar-2012"/>
    <n v="14"/>
    <n v="313.85000000000002"/>
    <n v="0.03"/>
    <s v="Regular Air"/>
    <n v="-31.37"/>
    <n v="21.38"/>
    <n v="8.99"/>
    <s v="Denny Joy"/>
    <s v="Manitoba"/>
    <x v="4"/>
    <s v="Corporate"/>
    <s v="Office Supplies"/>
    <x v="13"/>
    <x v="14"/>
    <d v="2012-03-06T00:00:00"/>
    <s v="06-Mar-2012"/>
  </r>
  <r>
    <n v="44422"/>
    <d v="2012-04-13T00:00:00"/>
    <s v="Medium"/>
    <s v="13-Apr-2012"/>
    <n v="36"/>
    <n v="313.83"/>
    <n v="0.08"/>
    <s v="Regular Air"/>
    <n v="56.78"/>
    <n v="8.69"/>
    <n v="2.99"/>
    <s v="Thais Sissman"/>
    <s v="Manitoba"/>
    <x v="4"/>
    <s v="Corporate"/>
    <s v="Office Supplies"/>
    <x v="1"/>
    <x v="4"/>
    <d v="2012-04-15T00:00:00"/>
    <s v="15-Apr-2012"/>
  </r>
  <r>
    <n v="19557"/>
    <d v="2011-10-30T00:00:00"/>
    <s v="Low"/>
    <s v="30-Oct-2011"/>
    <n v="9"/>
    <n v="312.25"/>
    <n v="0.05"/>
    <s v="Regular Air"/>
    <n v="15.56"/>
    <n v="33.89"/>
    <n v="5.0999999999999996"/>
    <s v="Valerie Dominguez"/>
    <s v="Manitoba"/>
    <x v="4"/>
    <s v="Corporate"/>
    <s v="Office Supplies"/>
    <x v="4"/>
    <x v="18"/>
    <d v="2011-10-30T00:00:00"/>
    <s v="30-Oct-2011"/>
  </r>
  <r>
    <n v="48032"/>
    <d v="2010-08-26T00:00:00"/>
    <s v="High"/>
    <s v="26-Aug-2010"/>
    <n v="42"/>
    <n v="309.17"/>
    <n v="0.09"/>
    <s v="Regular Air"/>
    <n v="-283.31"/>
    <n v="7.77"/>
    <n v="9.23"/>
    <s v="John Lee"/>
    <s v="Manitoba"/>
    <x v="4"/>
    <s v="Corporate"/>
    <s v="Office Supplies"/>
    <x v="5"/>
    <x v="15"/>
    <d v="2010-08-27T00:00:00"/>
    <s v="27-Aug-2010"/>
  </r>
  <r>
    <n v="49123"/>
    <d v="2009-02-25T00:00:00"/>
    <s v="High"/>
    <s v="25-Feb-2009"/>
    <n v="31"/>
    <n v="305.76"/>
    <n v="0.1"/>
    <s v="Regular Air"/>
    <n v="-22.53"/>
    <n v="10.44"/>
    <n v="5.75"/>
    <s v="Mick Crebagga"/>
    <s v="Manitoba"/>
    <x v="4"/>
    <s v="Corporate"/>
    <s v="Office Supplies"/>
    <x v="1"/>
    <x v="4"/>
    <d v="2009-02-26T00:00:00"/>
    <s v="26-Feb-2009"/>
  </r>
  <r>
    <n v="29249"/>
    <d v="2011-06-13T00:00:00"/>
    <s v="Low"/>
    <s v="13-Jun-2011"/>
    <n v="47"/>
    <n v="302.69"/>
    <n v="0.05"/>
    <s v="Express Air"/>
    <n v="125.65"/>
    <n v="6.35"/>
    <n v="1.02"/>
    <s v="Joy Daniels"/>
    <s v="Manitoba"/>
    <x v="4"/>
    <s v="Corporate"/>
    <s v="Office Supplies"/>
    <x v="12"/>
    <x v="4"/>
    <d v="2011-06-18T00:00:00"/>
    <s v="18-Jun-2011"/>
  </r>
  <r>
    <n v="40964"/>
    <d v="2011-05-23T00:00:00"/>
    <s v="Critical"/>
    <s v="23-May-2011"/>
    <n v="40"/>
    <n v="301.12"/>
    <n v="0"/>
    <s v="Regular Air"/>
    <n v="-206.05"/>
    <n v="6.84"/>
    <n v="8.3699999999999992"/>
    <s v="Nick Radford"/>
    <s v="Manitoba"/>
    <x v="4"/>
    <s v="Corporate"/>
    <s v="Office Supplies"/>
    <x v="14"/>
    <x v="15"/>
    <d v="2011-05-26T00:00:00"/>
    <s v="26-May-2011"/>
  </r>
  <r>
    <n v="10272"/>
    <d v="2009-01-17T00:00:00"/>
    <s v="Medium"/>
    <s v="17-Jan-2009"/>
    <n v="3"/>
    <n v="299.08"/>
    <n v="0.03"/>
    <s v="Regular Air"/>
    <n v="-50.43"/>
    <n v="90.48"/>
    <n v="19.989999999999998"/>
    <s v="Katherine Ducich"/>
    <s v="Manitoba"/>
    <x v="4"/>
    <s v="Corporate"/>
    <s v="Office Supplies"/>
    <x v="15"/>
    <x v="27"/>
    <d v="2009-01-19T00:00:00"/>
    <s v="19-Jan-2009"/>
  </r>
  <r>
    <n v="37987"/>
    <d v="2009-07-03T00:00:00"/>
    <s v="High"/>
    <s v="03-Jul-2009"/>
    <n v="26"/>
    <n v="299.07"/>
    <n v="0.1"/>
    <s v="Regular Air"/>
    <n v="137.47"/>
    <n v="12.53"/>
    <n v="0.49"/>
    <s v="Michael Moore"/>
    <s v="Manitoba"/>
    <x v="4"/>
    <s v="Corporate"/>
    <s v="Office Supplies"/>
    <x v="9"/>
    <x v="1"/>
    <d v="2009-07-04T00:00:00"/>
    <s v="04-Jul-2009"/>
  </r>
  <r>
    <n v="4578"/>
    <d v="2012-09-12T00:00:00"/>
    <s v="Low"/>
    <s v="12-Sep-2012"/>
    <n v="15"/>
    <n v="294.66000000000003"/>
    <n v="7.0000000000000007E-2"/>
    <s v="Regular Air"/>
    <n v="86.33"/>
    <n v="20.239999999999998"/>
    <n v="6.67"/>
    <s v="Roy Skaria"/>
    <s v="Manitoba"/>
    <x v="4"/>
    <s v="Corporate"/>
    <s v="Furniture"/>
    <x v="7"/>
    <x v="19"/>
    <d v="2012-09-19T00:00:00"/>
    <s v="19-Sep-2012"/>
  </r>
  <r>
    <n v="47938"/>
    <d v="2009-06-24T00:00:00"/>
    <s v="Low"/>
    <s v="24-Jun-2009"/>
    <n v="17"/>
    <n v="283.65350000000001"/>
    <n v="0.09"/>
    <s v="Regular Air"/>
    <n v="-113.05"/>
    <n v="20.99"/>
    <n v="2.5"/>
    <s v="Lindsay Williams"/>
    <s v="Manitoba"/>
    <x v="4"/>
    <s v="Corporate"/>
    <s v="Technology"/>
    <x v="10"/>
    <x v="43"/>
    <d v="2009-07-01T00:00:00"/>
    <s v="01-Jul-2009"/>
  </r>
  <r>
    <n v="48167"/>
    <d v="2009-09-06T00:00:00"/>
    <s v="Critical"/>
    <s v="06-Sep-2009"/>
    <n v="45"/>
    <n v="282.98"/>
    <n v="0.06"/>
    <s v="Regular Air"/>
    <n v="-237.47"/>
    <n v="6.48"/>
    <n v="8.8800000000000008"/>
    <s v="Dana Kaydos"/>
    <s v="Manitoba"/>
    <x v="4"/>
    <s v="Corporate"/>
    <s v="Office Supplies"/>
    <x v="12"/>
    <x v="7"/>
    <d v="2009-09-07T00:00:00"/>
    <s v="07-Sep-2009"/>
  </r>
  <r>
    <n v="4578"/>
    <d v="2012-09-12T00:00:00"/>
    <s v="Low"/>
    <s v="12-Sep-2012"/>
    <n v="45"/>
    <n v="282.70999999999998"/>
    <n v="0.09"/>
    <s v="Regular Air"/>
    <n v="-141.44"/>
    <n v="6.48"/>
    <n v="6.74"/>
    <s v="Roy Skaria"/>
    <s v="Manitoba"/>
    <x v="4"/>
    <s v="Corporate"/>
    <s v="Office Supplies"/>
    <x v="12"/>
    <x v="7"/>
    <d v="2012-09-17T00:00:00"/>
    <s v="17-Sep-2012"/>
  </r>
  <r>
    <n v="46147"/>
    <d v="2011-01-15T00:00:00"/>
    <s v="Critical"/>
    <s v="15-Jan-2011"/>
    <n v="39"/>
    <n v="282.48"/>
    <n v="0.08"/>
    <s v="Express Air"/>
    <n v="-87.01"/>
    <n v="7.1"/>
    <n v="6.05"/>
    <s v="Mick Crebagga"/>
    <s v="Manitoba"/>
    <x v="4"/>
    <s v="Corporate"/>
    <s v="Office Supplies"/>
    <x v="1"/>
    <x v="4"/>
    <d v="2011-01-17T00:00:00"/>
    <s v="17-Jan-2011"/>
  </r>
  <r>
    <n v="5635"/>
    <d v="2012-08-15T00:00:00"/>
    <s v="Medium"/>
    <s v="15-Aug-2012"/>
    <n v="50"/>
    <n v="281.58"/>
    <n v="0.09"/>
    <s v="Regular Air"/>
    <n v="-161.56"/>
    <n v="5.77"/>
    <n v="5.92"/>
    <s v="Nick Radford"/>
    <s v="Manitoba"/>
    <x v="4"/>
    <s v="Corporate"/>
    <s v="Furniture"/>
    <x v="7"/>
    <x v="20"/>
    <d v="2012-08-17T00:00:00"/>
    <s v="17-Aug-2012"/>
  </r>
  <r>
    <n v="58278"/>
    <d v="2012-09-10T00:00:00"/>
    <s v="High"/>
    <s v="10-Sep-2012"/>
    <n v="4"/>
    <n v="281.5455"/>
    <n v="0.1"/>
    <s v="Regular Air"/>
    <n v="-434.56"/>
    <n v="85.99"/>
    <n v="0.99"/>
    <s v="Logan Haushalter"/>
    <s v="Manitoba"/>
    <x v="4"/>
    <s v="Corporate"/>
    <s v="Technology"/>
    <x v="10"/>
    <x v="42"/>
    <d v="2012-09-13T00:00:00"/>
    <s v="13-Sep-2012"/>
  </r>
  <r>
    <n v="36295"/>
    <d v="2010-09-04T00:00:00"/>
    <s v="Medium"/>
    <s v="04-Sep-2010"/>
    <n v="10"/>
    <n v="278.10000000000002"/>
    <n v="0.09"/>
    <s v="Regular Air"/>
    <n v="68.099999999999994"/>
    <n v="30.56"/>
    <n v="2.99"/>
    <s v="Nora Pelletier"/>
    <s v="Manitoba"/>
    <x v="4"/>
    <s v="Corporate"/>
    <s v="Office Supplies"/>
    <x v="1"/>
    <x v="2"/>
    <d v="2010-09-06T00:00:00"/>
    <s v="06-Sep-2010"/>
  </r>
  <r>
    <n v="612"/>
    <d v="2012-10-20T00:00:00"/>
    <s v="Medium"/>
    <s v="20-Oct-2012"/>
    <n v="50"/>
    <n v="262.87"/>
    <n v="0.1"/>
    <s v="Regular Air"/>
    <n v="-166.29"/>
    <n v="5.28"/>
    <n v="6.26"/>
    <s v="Sheri Gordon"/>
    <s v="Manitoba"/>
    <x v="4"/>
    <s v="Corporate"/>
    <s v="Office Supplies"/>
    <x v="12"/>
    <x v="27"/>
    <d v="2012-10-22T00:00:00"/>
    <s v="22-Oct-2012"/>
  </r>
  <r>
    <n v="44002"/>
    <d v="2009-02-07T00:00:00"/>
    <s v="Medium"/>
    <s v="07-Feb-2009"/>
    <n v="14"/>
    <n v="261.85000000000002"/>
    <n v="0.03"/>
    <s v="Regular Air"/>
    <n v="-52.33"/>
    <n v="17.7"/>
    <n v="9.4700000000000006"/>
    <s v="John Lee"/>
    <s v="Manitoba"/>
    <x v="4"/>
    <s v="Corporate"/>
    <s v="Office Supplies"/>
    <x v="4"/>
    <x v="14"/>
    <d v="2009-02-07T00:00:00"/>
    <s v="07-Feb-2009"/>
  </r>
  <r>
    <n v="7364"/>
    <d v="2009-05-08T00:00:00"/>
    <s v="High"/>
    <s v="08-May-2009"/>
    <n v="15"/>
    <n v="260.39"/>
    <n v="0.09"/>
    <s v="Regular Air"/>
    <n v="-48.57"/>
    <n v="16.98"/>
    <n v="12.39"/>
    <s v="Mary Zewe"/>
    <s v="Manitoba"/>
    <x v="4"/>
    <s v="Corporate"/>
    <s v="Office Supplies"/>
    <x v="15"/>
    <x v="2"/>
    <d v="2009-05-10T00:00:00"/>
    <s v="10-May-2009"/>
  </r>
  <r>
    <n v="15270"/>
    <d v="2009-01-31T00:00:00"/>
    <s v="Not Specified"/>
    <s v="31-Jan-2009"/>
    <n v="36"/>
    <n v="257.91000000000003"/>
    <n v="0"/>
    <s v="Regular Air"/>
    <n v="90.86"/>
    <n v="6.98"/>
    <n v="1.6"/>
    <s v="Maria Zettner"/>
    <s v="Manitoba"/>
    <x v="4"/>
    <s v="Corporate"/>
    <s v="Office Supplies"/>
    <x v="12"/>
    <x v="1"/>
    <d v="2009-02-02T00:00:00"/>
    <s v="02-Feb-2009"/>
  </r>
  <r>
    <n v="25601"/>
    <d v="2009-01-05T00:00:00"/>
    <s v="Medium"/>
    <s v="05-Jan-2009"/>
    <n v="43"/>
    <n v="257.41000000000003"/>
    <n v="0.09"/>
    <s v="Regular Air"/>
    <n v="-131.08000000000001"/>
    <n v="5.98"/>
    <n v="4.6900000000000004"/>
    <s v="Valerie Dominguez"/>
    <s v="Manitoba"/>
    <x v="4"/>
    <s v="Corporate"/>
    <s v="Office Supplies"/>
    <x v="4"/>
    <x v="48"/>
    <d v="2009-01-06T00:00:00"/>
    <s v="06-Jan-2009"/>
  </r>
  <r>
    <n v="7878"/>
    <d v="2011-05-01T00:00:00"/>
    <s v="Low"/>
    <s v="01-May-2011"/>
    <n v="42"/>
    <n v="256.64"/>
    <n v="0.03"/>
    <s v="Regular Air"/>
    <n v="-28.29"/>
    <n v="5.81"/>
    <n v="3.37"/>
    <s v="Meg O'Connel"/>
    <s v="Manitoba"/>
    <x v="4"/>
    <s v="Corporate"/>
    <s v="Office Supplies"/>
    <x v="16"/>
    <x v="41"/>
    <d v="2011-05-08T00:00:00"/>
    <s v="08-May-2011"/>
  </r>
  <r>
    <n v="48931"/>
    <d v="2009-06-17T00:00:00"/>
    <s v="Low"/>
    <s v="17-Jun-2009"/>
    <n v="8"/>
    <n v="254.32"/>
    <n v="0.01"/>
    <s v="Regular Air"/>
    <n v="-117.39"/>
    <n v="30.98"/>
    <n v="6.5"/>
    <s v="Charles Sheldon"/>
    <s v="Manitoba"/>
    <x v="4"/>
    <s v="Corporate"/>
    <s v="Technology"/>
    <x v="11"/>
    <x v="11"/>
    <d v="2009-06-19T00:00:00"/>
    <s v="19-Jun-2009"/>
  </r>
  <r>
    <n v="20069"/>
    <d v="2009-09-26T00:00:00"/>
    <s v="Critical"/>
    <s v="26-Sep-2009"/>
    <n v="6"/>
    <n v="247.15"/>
    <n v="7.0000000000000007E-2"/>
    <s v="Regular Air"/>
    <n v="-88.35"/>
    <n v="40.89"/>
    <n v="18.98"/>
    <s v="Jack Garza"/>
    <s v="Manitoba"/>
    <x v="4"/>
    <s v="Corporate"/>
    <s v="Furniture"/>
    <x v="7"/>
    <x v="6"/>
    <d v="2009-09-28T00:00:00"/>
    <s v="28-Sep-2009"/>
  </r>
  <r>
    <n v="51558"/>
    <d v="2010-03-29T00:00:00"/>
    <s v="Not Specified"/>
    <s v="29-Mar-2010"/>
    <n v="34"/>
    <n v="245.4"/>
    <n v="0"/>
    <s v="Regular Air"/>
    <n v="-87.27"/>
    <n v="6.68"/>
    <n v="6.92"/>
    <s v="Greg Guthrie"/>
    <s v="Manitoba"/>
    <x v="4"/>
    <s v="Corporate"/>
    <s v="Office Supplies"/>
    <x v="12"/>
    <x v="7"/>
    <d v="2010-03-29T00:00:00"/>
    <s v="29-Mar-2010"/>
  </r>
  <r>
    <n v="46721"/>
    <d v="2009-09-13T00:00:00"/>
    <s v="Medium"/>
    <s v="13-Sep-2009"/>
    <n v="35"/>
    <n v="240.61"/>
    <n v="0.05"/>
    <s v="Regular Air"/>
    <n v="-133.12"/>
    <n v="6.48"/>
    <n v="7.91"/>
    <s v="Nick Radford"/>
    <s v="Manitoba"/>
    <x v="4"/>
    <s v="Corporate"/>
    <s v="Office Supplies"/>
    <x v="12"/>
    <x v="7"/>
    <d v="2009-09-14T00:00:00"/>
    <s v="14-Sep-2009"/>
  </r>
  <r>
    <n v="51333"/>
    <d v="2012-10-04T00:00:00"/>
    <s v="Not Specified"/>
    <s v="04-Oct-2012"/>
    <n v="25"/>
    <n v="237.36"/>
    <n v="7.0000000000000007E-2"/>
    <s v="Regular Air"/>
    <n v="-117.86"/>
    <n v="9.06"/>
    <n v="9.86"/>
    <s v="Theone Pippenger"/>
    <s v="Manitoba"/>
    <x v="4"/>
    <s v="Corporate"/>
    <s v="Office Supplies"/>
    <x v="12"/>
    <x v="27"/>
    <d v="2012-10-06T00:00:00"/>
    <s v="06-Oct-2012"/>
  </r>
  <r>
    <n v="10659"/>
    <d v="2009-05-14T00:00:00"/>
    <s v="Critical"/>
    <s v="14-May-2009"/>
    <n v="40"/>
    <n v="227.37"/>
    <n v="0"/>
    <s v="Regular Air"/>
    <n v="-92.07"/>
    <n v="5.28"/>
    <n v="5.61"/>
    <s v="Dave Brooks"/>
    <s v="Manitoba"/>
    <x v="4"/>
    <s v="Corporate"/>
    <s v="Office Supplies"/>
    <x v="12"/>
    <x v="27"/>
    <d v="2009-05-14T00:00:00"/>
    <s v="14-May-2009"/>
  </r>
  <r>
    <n v="8551"/>
    <d v="2009-07-29T00:00:00"/>
    <s v="Critical"/>
    <s v="29-Jul-2009"/>
    <n v="34"/>
    <n v="225.98"/>
    <n v="0.01"/>
    <s v="Regular Air"/>
    <n v="-135.74"/>
    <n v="6.48"/>
    <n v="7.86"/>
    <s v="Meg O'Connel"/>
    <s v="Manitoba"/>
    <x v="4"/>
    <s v="Corporate"/>
    <s v="Office Supplies"/>
    <x v="12"/>
    <x v="7"/>
    <d v="2009-07-31T00:00:00"/>
    <s v="31-Jul-2009"/>
  </r>
  <r>
    <n v="54501"/>
    <d v="2012-11-29T00:00:00"/>
    <s v="Critical"/>
    <s v="29-Nov-2012"/>
    <n v="16"/>
    <n v="225.46"/>
    <n v="0.09"/>
    <s v="Regular Air"/>
    <n v="-33.03"/>
    <n v="13.99"/>
    <n v="7.51"/>
    <s v="Guy Armstrong"/>
    <s v="Manitoba"/>
    <x v="4"/>
    <s v="Corporate"/>
    <s v="Technology"/>
    <x v="0"/>
    <x v="4"/>
    <d v="2012-12-01T00:00:00"/>
    <s v="01-Dec-2012"/>
  </r>
  <r>
    <n v="3810"/>
    <d v="2012-09-16T00:00:00"/>
    <s v="Critical"/>
    <s v="16-Sep-2012"/>
    <n v="40"/>
    <n v="221.86"/>
    <n v="0.09"/>
    <s v="Regular Air"/>
    <n v="-1845.66"/>
    <n v="4.4800000000000004"/>
    <n v="49"/>
    <s v="Tanja Norvell"/>
    <s v="Manitoba"/>
    <x v="4"/>
    <s v="Corporate"/>
    <s v="Office Supplies"/>
    <x v="5"/>
    <x v="18"/>
    <d v="2012-09-18T00:00:00"/>
    <s v="18-Sep-2012"/>
  </r>
  <r>
    <n v="31681"/>
    <d v="2012-11-07T00:00:00"/>
    <s v="Not Specified"/>
    <s v="07-Nov-2012"/>
    <n v="38"/>
    <n v="212.12"/>
    <n v="0.02"/>
    <s v="Regular Air"/>
    <n v="-93.78"/>
    <n v="5.28"/>
    <n v="5.66"/>
    <s v="Steve Chapman"/>
    <s v="Manitoba"/>
    <x v="4"/>
    <s v="Corporate"/>
    <s v="Office Supplies"/>
    <x v="12"/>
    <x v="27"/>
    <d v="2012-11-08T00:00:00"/>
    <s v="08-Nov-2012"/>
  </r>
  <r>
    <n v="487"/>
    <d v="2012-08-17T00:00:00"/>
    <s v="Critical"/>
    <s v="17-Aug-2012"/>
    <n v="19"/>
    <n v="210.4"/>
    <n v="7.0000000000000007E-2"/>
    <s v="Regular Air"/>
    <n v="-18.96"/>
    <n v="10.89"/>
    <n v="4.5"/>
    <s v="Valerie Dominguez"/>
    <s v="Manitoba"/>
    <x v="4"/>
    <s v="Corporate"/>
    <s v="Office Supplies"/>
    <x v="5"/>
    <x v="14"/>
    <d v="2012-08-18T00:00:00"/>
    <s v="18-Aug-2012"/>
  </r>
  <r>
    <n v="22051"/>
    <d v="2011-12-30T00:00:00"/>
    <s v="Not Specified"/>
    <s v="30-Dec-2011"/>
    <n v="39"/>
    <n v="209.33"/>
    <n v="0.01"/>
    <s v="Regular Air"/>
    <n v="-160.71"/>
    <n v="4.9800000000000004"/>
    <n v="7.44"/>
    <s v="Michael Moore"/>
    <s v="Manitoba"/>
    <x v="4"/>
    <s v="Corporate"/>
    <s v="Office Supplies"/>
    <x v="12"/>
    <x v="10"/>
    <d v="2012-01-01T00:00:00"/>
    <s v="01-Jan-2012"/>
  </r>
  <r>
    <n v="57058"/>
    <d v="2012-05-09T00:00:00"/>
    <s v="Medium"/>
    <s v="09-May-2012"/>
    <n v="28"/>
    <n v="205.43"/>
    <n v="0"/>
    <s v="Express Air"/>
    <n v="-24.3"/>
    <n v="6.54"/>
    <n v="5.27"/>
    <s v="Jack Garza"/>
    <s v="Manitoba"/>
    <x v="4"/>
    <s v="Corporate"/>
    <s v="Office Supplies"/>
    <x v="1"/>
    <x v="10"/>
    <d v="2012-05-09T00:00:00"/>
    <s v="09-May-2012"/>
  </r>
  <r>
    <n v="9954"/>
    <d v="2009-06-19T00:00:00"/>
    <s v="Not Specified"/>
    <s v="19-Jun-2009"/>
    <n v="39"/>
    <n v="203.6"/>
    <n v="0"/>
    <s v="Regular Air"/>
    <n v="-166.44"/>
    <n v="4.9800000000000004"/>
    <n v="7.44"/>
    <s v="Thais Sissman"/>
    <s v="Manitoba"/>
    <x v="4"/>
    <s v="Corporate"/>
    <s v="Office Supplies"/>
    <x v="12"/>
    <x v="10"/>
    <d v="2009-06-21T00:00:00"/>
    <s v="21-Jun-2009"/>
  </r>
  <r>
    <n v="44422"/>
    <d v="2012-04-13T00:00:00"/>
    <s v="Medium"/>
    <s v="13-Apr-2012"/>
    <n v="11"/>
    <n v="201.59450000000001"/>
    <n v="0.04"/>
    <s v="Regular Air"/>
    <n v="32.31"/>
    <n v="20.99"/>
    <n v="0.99"/>
    <s v="Thais Sissman"/>
    <s v="Manitoba"/>
    <x v="4"/>
    <s v="Corporate"/>
    <s v="Technology"/>
    <x v="10"/>
    <x v="7"/>
    <d v="2012-04-15T00:00:00"/>
    <s v="15-Apr-2012"/>
  </r>
  <r>
    <n v="5635"/>
    <d v="2012-08-15T00:00:00"/>
    <s v="Medium"/>
    <s v="15-Aug-2012"/>
    <n v="17"/>
    <n v="198.78"/>
    <n v="0.02"/>
    <s v="Regular Air"/>
    <n v="-28.35"/>
    <n v="11.5"/>
    <n v="7.19"/>
    <s v="Nick Radford"/>
    <s v="Manitoba"/>
    <x v="4"/>
    <s v="Corporate"/>
    <s v="Office Supplies"/>
    <x v="1"/>
    <x v="27"/>
    <d v="2012-08-17T00:00:00"/>
    <s v="17-Aug-2012"/>
  </r>
  <r>
    <n v="44224"/>
    <d v="2010-08-09T00:00:00"/>
    <s v="High"/>
    <s v="09-Aug-2010"/>
    <n v="32"/>
    <n v="198.7"/>
    <n v="0.1"/>
    <s v="Regular Air"/>
    <n v="-62.13"/>
    <n v="6.48"/>
    <n v="2.74"/>
    <s v="Natalie Webber"/>
    <s v="Manitoba"/>
    <x v="4"/>
    <s v="Corporate"/>
    <s v="Technology"/>
    <x v="11"/>
    <x v="35"/>
    <d v="2010-08-10T00:00:00"/>
    <s v="10-Aug-2010"/>
  </r>
  <r>
    <n v="54115"/>
    <d v="2012-01-07T00:00:00"/>
    <s v="Low"/>
    <s v="07-Jan-2012"/>
    <n v="39"/>
    <n v="197.11"/>
    <n v="0.03"/>
    <s v="Regular Air"/>
    <n v="-89.42"/>
    <n v="4.9800000000000004"/>
    <n v="4.95"/>
    <s v="Brian Moss"/>
    <s v="Manitoba"/>
    <x v="4"/>
    <s v="Corporate"/>
    <s v="Office Supplies"/>
    <x v="1"/>
    <x v="7"/>
    <d v="2012-01-12T00:00:00"/>
    <s v="12-Jan-2012"/>
  </r>
  <r>
    <n v="27460"/>
    <d v="2009-05-12T00:00:00"/>
    <s v="Not Specified"/>
    <s v="12-May-2009"/>
    <n v="31"/>
    <n v="196.58"/>
    <n v="0.04"/>
    <s v="Regular Air"/>
    <n v="-102.16"/>
    <n v="5.98"/>
    <n v="4.38"/>
    <s v="Evan Bailliet"/>
    <s v="Manitoba"/>
    <x v="4"/>
    <s v="Corporate"/>
    <s v="Technology"/>
    <x v="11"/>
    <x v="16"/>
    <d v="2009-05-14T00:00:00"/>
    <s v="14-May-2009"/>
  </r>
  <r>
    <n v="51365"/>
    <d v="2012-08-07T00:00:00"/>
    <s v="High"/>
    <s v="07-Aug-2012"/>
    <n v="35"/>
    <n v="195.23"/>
    <n v="0.08"/>
    <s v="Regular Air"/>
    <n v="-72.459999999999994"/>
    <n v="5.89"/>
    <n v="5.57"/>
    <s v="Theone Pippenger"/>
    <s v="Manitoba"/>
    <x v="4"/>
    <s v="Corporate"/>
    <s v="Furniture"/>
    <x v="7"/>
    <x v="25"/>
    <d v="2012-08-09T00:00:00"/>
    <s v="09-Aug-2012"/>
  </r>
  <r>
    <n v="30497"/>
    <d v="2011-02-06T00:00:00"/>
    <s v="Critical"/>
    <s v="06-Feb-2011"/>
    <n v="31"/>
    <n v="190.06"/>
    <n v="0.06"/>
    <s v="Regular Air"/>
    <n v="-61.9"/>
    <n v="5.98"/>
    <n v="5.35"/>
    <s v="Steve Chapman"/>
    <s v="Manitoba"/>
    <x v="4"/>
    <s v="Corporate"/>
    <s v="Office Supplies"/>
    <x v="12"/>
    <x v="27"/>
    <d v="2011-02-08T00:00:00"/>
    <s v="08-Feb-2011"/>
  </r>
  <r>
    <n v="15872"/>
    <d v="2012-10-30T00:00:00"/>
    <s v="Not Specified"/>
    <s v="30-Oct-2012"/>
    <n v="23"/>
    <n v="188.53"/>
    <n v="0"/>
    <s v="Regular Air"/>
    <n v="-27.49"/>
    <n v="7.35"/>
    <n v="5.96"/>
    <s v="Helen Andreada"/>
    <s v="Manitoba"/>
    <x v="4"/>
    <s v="Corporate"/>
    <s v="Office Supplies"/>
    <x v="12"/>
    <x v="1"/>
    <d v="2012-11-01T00:00:00"/>
    <s v="01-Nov-2012"/>
  </r>
  <r>
    <n v="4037"/>
    <d v="2010-03-23T00:00:00"/>
    <s v="High"/>
    <s v="23-Mar-2010"/>
    <n v="27"/>
    <n v="188.07"/>
    <n v="0"/>
    <s v="Regular Air"/>
    <n v="-101.85"/>
    <n v="6.48"/>
    <n v="7.86"/>
    <s v="Bruce Stewart"/>
    <s v="Manitoba"/>
    <x v="4"/>
    <s v="Corporate"/>
    <s v="Office Supplies"/>
    <x v="12"/>
    <x v="7"/>
    <d v="2010-03-24T00:00:00"/>
    <s v="24-Mar-2010"/>
  </r>
  <r>
    <n v="8551"/>
    <d v="2009-07-29T00:00:00"/>
    <s v="Critical"/>
    <s v="29-Jul-2009"/>
    <n v="25"/>
    <n v="185.64"/>
    <n v="0.1"/>
    <s v="Regular Air"/>
    <n v="-69.87"/>
    <n v="7.45"/>
    <n v="6.28"/>
    <s v="Meg O'Connel"/>
    <s v="Manitoba"/>
    <x v="4"/>
    <s v="Corporate"/>
    <s v="Office Supplies"/>
    <x v="1"/>
    <x v="27"/>
    <d v="2009-08-01T00:00:00"/>
    <s v="01-Aug-2009"/>
  </r>
  <r>
    <n v="28928"/>
    <d v="2010-04-30T00:00:00"/>
    <s v="Low"/>
    <s v="30-Apr-2010"/>
    <n v="3"/>
    <n v="185.16"/>
    <n v="0.02"/>
    <s v="Regular Air"/>
    <n v="-49.34"/>
    <n v="59.98"/>
    <n v="3.99"/>
    <s v="Nora Pelletier"/>
    <s v="Manitoba"/>
    <x v="4"/>
    <s v="Corporate"/>
    <s v="Office Supplies"/>
    <x v="5"/>
    <x v="6"/>
    <d v="2010-05-02T00:00:00"/>
    <s v="02-May-2010"/>
  </r>
  <r>
    <n v="24577"/>
    <d v="2010-03-01T00:00:00"/>
    <s v="Medium"/>
    <s v="01-Mar-2010"/>
    <n v="8"/>
    <n v="180.79"/>
    <n v="0.05"/>
    <s v="Regular Air"/>
    <n v="20.09"/>
    <n v="22.84"/>
    <n v="5.47"/>
    <s v="Steve Chapman"/>
    <s v="Manitoba"/>
    <x v="4"/>
    <s v="Corporate"/>
    <s v="Office Supplies"/>
    <x v="12"/>
    <x v="4"/>
    <d v="2010-03-02T00:00:00"/>
    <s v="02-Mar-2010"/>
  </r>
  <r>
    <n v="14855"/>
    <d v="2010-04-30T00:00:00"/>
    <s v="Not Specified"/>
    <s v="30-Apr-2010"/>
    <n v="44"/>
    <n v="174.9"/>
    <n v="0.06"/>
    <s v="Express Air"/>
    <n v="-150.9"/>
    <n v="3.58"/>
    <n v="5.47"/>
    <s v="John Lee"/>
    <s v="Manitoba"/>
    <x v="4"/>
    <s v="Corporate"/>
    <s v="Office Supplies"/>
    <x v="1"/>
    <x v="7"/>
    <d v="2010-05-02T00:00:00"/>
    <s v="02-May-2010"/>
  </r>
  <r>
    <n v="37696"/>
    <d v="2009-07-09T00:00:00"/>
    <s v="Not Specified"/>
    <s v="09-Jul-2009"/>
    <n v="41"/>
    <n v="173.27"/>
    <n v="0.02"/>
    <s v="Regular Air"/>
    <n v="51.29"/>
    <n v="4"/>
    <n v="1.3"/>
    <s v="Valerie Dominguez"/>
    <s v="Manitoba"/>
    <x v="4"/>
    <s v="Corporate"/>
    <s v="Office Supplies"/>
    <x v="12"/>
    <x v="7"/>
    <d v="2009-07-09T00:00:00"/>
    <s v="09-Jul-2009"/>
  </r>
  <r>
    <n v="8993"/>
    <d v="2011-05-28T00:00:00"/>
    <s v="Medium"/>
    <s v="28-May-2011"/>
    <n v="41"/>
    <n v="172.15"/>
    <n v="0.02"/>
    <s v="Express Air"/>
    <n v="86.78"/>
    <n v="3.69"/>
    <n v="0.5"/>
    <s v="Stewart Visinsky"/>
    <s v="Manitoba"/>
    <x v="4"/>
    <s v="Corporate"/>
    <s v="Office Supplies"/>
    <x v="9"/>
    <x v="1"/>
    <d v="2011-05-30T00:00:00"/>
    <s v="30-May-2011"/>
  </r>
  <r>
    <n v="7107"/>
    <d v="2012-01-04T00:00:00"/>
    <s v="Not Specified"/>
    <s v="04-Jan-2012"/>
    <n v="3"/>
    <n v="172.04"/>
    <n v="0.02"/>
    <s v="Regular Air"/>
    <n v="143.08000000000001"/>
    <n v="54.2"/>
    <n v="11.1"/>
    <s v="Steve Chapman"/>
    <s v="Manitoba"/>
    <x v="4"/>
    <s v="Corporate"/>
    <s v="Furniture"/>
    <x v="7"/>
    <x v="28"/>
    <d v="2012-01-04T00:00:00"/>
    <s v="04-Jan-2012"/>
  </r>
  <r>
    <n v="59684"/>
    <d v="2010-12-29T00:00:00"/>
    <s v="Medium"/>
    <s v="29-Dec-2010"/>
    <n v="25"/>
    <n v="168.39"/>
    <n v="0.03"/>
    <s v="Regular Air"/>
    <n v="-144.88999999999999"/>
    <n v="6.48"/>
    <n v="9.68"/>
    <s v="Susan MacKendrick"/>
    <s v="Manitoba"/>
    <x v="4"/>
    <s v="Corporate"/>
    <s v="Office Supplies"/>
    <x v="12"/>
    <x v="10"/>
    <d v="2010-12-30T00:00:00"/>
    <s v="30-Dec-2010"/>
  </r>
  <r>
    <n v="25638"/>
    <d v="2009-08-06T00:00:00"/>
    <s v="High"/>
    <s v="06-Aug-2009"/>
    <n v="31"/>
    <n v="163.89"/>
    <n v="0.02"/>
    <s v="Regular Air"/>
    <n v="-108.55"/>
    <n v="4.8899999999999997"/>
    <n v="4.93"/>
    <s v="Ivan Gibson"/>
    <s v="Manitoba"/>
    <x v="4"/>
    <s v="Corporate"/>
    <s v="Technology"/>
    <x v="11"/>
    <x v="32"/>
    <d v="2009-08-07T00:00:00"/>
    <s v="07-Aug-2009"/>
  </r>
  <r>
    <n v="33537"/>
    <d v="2010-08-13T00:00:00"/>
    <s v="Medium"/>
    <s v="13-Aug-2010"/>
    <n v="9"/>
    <n v="163.31049999999999"/>
    <n v="0.02"/>
    <s v="Regular Air"/>
    <n v="-105.09"/>
    <n v="20.99"/>
    <n v="3.3"/>
    <s v="Mick Crebagga"/>
    <s v="Manitoba"/>
    <x v="4"/>
    <s v="Corporate"/>
    <s v="Technology"/>
    <x v="10"/>
    <x v="43"/>
    <d v="2010-08-14T00:00:00"/>
    <s v="14-Aug-2010"/>
  </r>
  <r>
    <n v="710"/>
    <d v="2010-01-01T00:00:00"/>
    <s v="Low"/>
    <s v="01-Jan-2010"/>
    <n v="42"/>
    <n v="161.77000000000001"/>
    <n v="0.01"/>
    <s v="Regular Air"/>
    <n v="-150.37"/>
    <n v="3.58"/>
    <n v="5.47"/>
    <s v="Susan MacKendrick"/>
    <s v="Manitoba"/>
    <x v="4"/>
    <s v="Corporate"/>
    <s v="Office Supplies"/>
    <x v="1"/>
    <x v="7"/>
    <d v="2010-01-05T00:00:00"/>
    <s v="05-Jan-2010"/>
  </r>
  <r>
    <n v="31842"/>
    <d v="2010-07-16T00:00:00"/>
    <s v="Medium"/>
    <s v="16-Jul-2010"/>
    <n v="9"/>
    <n v="157.26"/>
    <n v="0.06"/>
    <s v="Regular Air"/>
    <n v="-18.84"/>
    <n v="17.48"/>
    <n v="1.99"/>
    <s v="Joy Daniels"/>
    <s v="Manitoba"/>
    <x v="4"/>
    <s v="Corporate"/>
    <s v="Technology"/>
    <x v="11"/>
    <x v="45"/>
    <d v="2010-07-17T00:00:00"/>
    <s v="17-Jul-2010"/>
  </r>
  <r>
    <n v="35813"/>
    <d v="2009-04-21T00:00:00"/>
    <s v="Critical"/>
    <s v="21-Apr-2009"/>
    <n v="21"/>
    <n v="156.31"/>
    <n v="0.06"/>
    <s v="Express Air"/>
    <n v="-9.81"/>
    <n v="7.59"/>
    <n v="4"/>
    <s v="Tracy Collins"/>
    <s v="Manitoba"/>
    <x v="4"/>
    <s v="Corporate"/>
    <s v="Furniture"/>
    <x v="7"/>
    <x v="22"/>
    <d v="2009-04-21T00:00:00"/>
    <s v="21-Apr-2009"/>
  </r>
  <r>
    <n v="57507"/>
    <d v="2009-06-26T00:00:00"/>
    <s v="Critical"/>
    <s v="26-Jun-2009"/>
    <n v="10"/>
    <n v="155.44999999999999"/>
    <n v="0.03"/>
    <s v="Regular Air"/>
    <n v="-19.68"/>
    <n v="15.01"/>
    <n v="8.4"/>
    <s v="Logan Haushalter"/>
    <s v="Manitoba"/>
    <x v="4"/>
    <s v="Corporate"/>
    <s v="Office Supplies"/>
    <x v="1"/>
    <x v="4"/>
    <d v="2009-06-29T00:00:00"/>
    <s v="29-Jun-2009"/>
  </r>
  <r>
    <n v="45248"/>
    <d v="2011-04-16T00:00:00"/>
    <s v="Medium"/>
    <s v="16-Apr-2011"/>
    <n v="38"/>
    <n v="154.85"/>
    <n v="0.05"/>
    <s v="Regular Air"/>
    <n v="-136.55000000000001"/>
    <n v="3.95"/>
    <n v="5.13"/>
    <s v="Mark Cousins"/>
    <s v="Manitoba"/>
    <x v="4"/>
    <s v="Corporate"/>
    <s v="Office Supplies"/>
    <x v="5"/>
    <x v="14"/>
    <d v="2011-04-18T00:00:00"/>
    <s v="18-Apr-2011"/>
  </r>
  <r>
    <n v="58086"/>
    <d v="2011-03-10T00:00:00"/>
    <s v="Medium"/>
    <s v="10-Mar-2011"/>
    <n v="27"/>
    <n v="154.62"/>
    <n v="0.04"/>
    <s v="Regular Air"/>
    <n v="-118.6"/>
    <n v="5.53"/>
    <n v="6.98"/>
    <s v="Arthur Gainer"/>
    <s v="Manitoba"/>
    <x v="4"/>
    <s v="Corporate"/>
    <s v="Office Supplies"/>
    <x v="1"/>
    <x v="4"/>
    <d v="2011-03-11T00:00:00"/>
    <s v="11-Mar-2011"/>
  </r>
  <r>
    <n v="33605"/>
    <d v="2012-04-03T00:00:00"/>
    <s v="Critical"/>
    <s v="03-Apr-2012"/>
    <n v="42"/>
    <n v="153.01"/>
    <n v="0.04"/>
    <s v="Regular Air"/>
    <n v="-218.53"/>
    <n v="3.52"/>
    <n v="6.83"/>
    <s v="John Lee"/>
    <s v="Manitoba"/>
    <x v="4"/>
    <s v="Corporate"/>
    <s v="Office Supplies"/>
    <x v="1"/>
    <x v="1"/>
    <d v="2012-04-05T00:00:00"/>
    <s v="05-Apr-2012"/>
  </r>
  <r>
    <n v="2630"/>
    <d v="2012-10-23T00:00:00"/>
    <s v="Low"/>
    <s v="23-Oct-2012"/>
    <n v="31"/>
    <n v="146.51"/>
    <n v="0.04"/>
    <s v="Regular Air"/>
    <n v="37.14"/>
    <n v="4.7300000000000004"/>
    <n v="1.52"/>
    <s v="Patrick Ryan"/>
    <s v="Manitoba"/>
    <x v="4"/>
    <s v="Corporate"/>
    <s v="Office Supplies"/>
    <x v="12"/>
    <x v="10"/>
    <d v="2012-10-23T00:00:00"/>
    <s v="23-Oct-2012"/>
  </r>
  <r>
    <n v="46721"/>
    <d v="2009-09-13T00:00:00"/>
    <s v="Medium"/>
    <s v="13-Sep-2009"/>
    <n v="17"/>
    <n v="142.94"/>
    <n v="0.03"/>
    <s v="Regular Air"/>
    <n v="-129.56"/>
    <n v="7.38"/>
    <n v="11.51"/>
    <s v="Nick Radford"/>
    <s v="Manitoba"/>
    <x v="4"/>
    <s v="Corporate"/>
    <s v="Office Supplies"/>
    <x v="1"/>
    <x v="10"/>
    <d v="2009-09-14T00:00:00"/>
    <s v="14-Sep-2009"/>
  </r>
  <r>
    <n v="50403"/>
    <d v="2012-05-12T00:00:00"/>
    <s v="Not Specified"/>
    <s v="12-May-2012"/>
    <n v="22"/>
    <n v="142.88"/>
    <n v="0.08"/>
    <s v="Regular Air"/>
    <n v="35.369999999999997"/>
    <n v="6.98"/>
    <n v="1.6"/>
    <s v="Katherine Ducich"/>
    <s v="Manitoba"/>
    <x v="4"/>
    <s v="Corporate"/>
    <s v="Office Supplies"/>
    <x v="12"/>
    <x v="1"/>
    <d v="2012-05-13T00:00:00"/>
    <s v="13-May-2012"/>
  </r>
  <r>
    <n v="19621"/>
    <d v="2011-09-07T00:00:00"/>
    <s v="Critical"/>
    <s v="07-Sep-2011"/>
    <n v="15"/>
    <n v="140.82"/>
    <n v="0.08"/>
    <s v="Express Air"/>
    <n v="-43.26"/>
    <n v="7.98"/>
    <n v="6.5"/>
    <s v="Marc Crier"/>
    <s v="Manitoba"/>
    <x v="4"/>
    <s v="Corporate"/>
    <s v="Office Supplies"/>
    <x v="4"/>
    <x v="14"/>
    <d v="2011-09-08T00:00:00"/>
    <s v="08-Sep-2011"/>
  </r>
  <r>
    <n v="11270"/>
    <d v="2011-06-30T00:00:00"/>
    <s v="High"/>
    <s v="30-Jun-2011"/>
    <n v="15"/>
    <n v="140.07"/>
    <n v="0.04"/>
    <s v="Express Air"/>
    <n v="-21.85"/>
    <n v="8.6"/>
    <n v="6.19"/>
    <s v="Tanja Norvell"/>
    <s v="Manitoba"/>
    <x v="4"/>
    <s v="Corporate"/>
    <s v="Office Supplies"/>
    <x v="1"/>
    <x v="1"/>
    <d v="2011-07-01T00:00:00"/>
    <s v="01-Jul-2011"/>
  </r>
  <r>
    <n v="52868"/>
    <d v="2011-02-16T00:00:00"/>
    <s v="Low"/>
    <s v="16-Feb-2011"/>
    <n v="19"/>
    <n v="138.05000000000001"/>
    <n v="0.09"/>
    <s v="Regular Air"/>
    <n v="-100.49"/>
    <n v="7.37"/>
    <n v="5.53"/>
    <s v="Ken Heidel"/>
    <s v="Manitoba"/>
    <x v="4"/>
    <s v="Corporate"/>
    <s v="Technology"/>
    <x v="11"/>
    <x v="39"/>
    <d v="2011-02-18T00:00:00"/>
    <s v="18-Feb-2011"/>
  </r>
  <r>
    <n v="58117"/>
    <d v="2011-02-20T00:00:00"/>
    <s v="Critical"/>
    <s v="20-Feb-2011"/>
    <n v="42"/>
    <n v="134.86000000000001"/>
    <n v="0.04"/>
    <s v="Regular Air"/>
    <n v="-62.84"/>
    <n v="3.14"/>
    <n v="1.92"/>
    <s v="Erica Bern"/>
    <s v="Manitoba"/>
    <x v="4"/>
    <s v="Corporate"/>
    <s v="Office Supplies"/>
    <x v="14"/>
    <x v="30"/>
    <d v="2011-02-21T00:00:00"/>
    <s v="21-Feb-2011"/>
  </r>
  <r>
    <n v="52225"/>
    <d v="2012-04-12T00:00:00"/>
    <s v="Critical"/>
    <s v="12-Apr-2012"/>
    <n v="10"/>
    <n v="131.09"/>
    <n v="0.01"/>
    <s v="Regular Air"/>
    <n v="10.94"/>
    <n v="12.22"/>
    <n v="2.85"/>
    <s v="Dana Kaydos"/>
    <s v="Manitoba"/>
    <x v="4"/>
    <s v="Corporate"/>
    <s v="Furniture"/>
    <x v="7"/>
    <x v="20"/>
    <d v="2012-04-13T00:00:00"/>
    <s v="13-Apr-2012"/>
  </r>
  <r>
    <n v="12867"/>
    <d v="2011-03-11T00:00:00"/>
    <s v="Not Specified"/>
    <s v="11-Mar-2011"/>
    <n v="6"/>
    <n v="127.49"/>
    <n v="0.08"/>
    <s v="Express Air"/>
    <n v="-57.95"/>
    <n v="19.98"/>
    <n v="4"/>
    <s v="Thais Sissman"/>
    <s v="Manitoba"/>
    <x v="4"/>
    <s v="Corporate"/>
    <s v="Technology"/>
    <x v="11"/>
    <x v="48"/>
    <d v="2011-03-11T00:00:00"/>
    <s v="11-Mar-2011"/>
  </r>
  <r>
    <n v="4774"/>
    <d v="2010-04-19T00:00:00"/>
    <s v="Medium"/>
    <s v="19-Apr-2010"/>
    <n v="4"/>
    <n v="126.87"/>
    <n v="0.08"/>
    <s v="Regular Air"/>
    <n v="-125.99"/>
    <n v="32.979999999999997"/>
    <n v="5.5"/>
    <s v="Lindsay Williams"/>
    <s v="Manitoba"/>
    <x v="4"/>
    <s v="Corporate"/>
    <s v="Technology"/>
    <x v="11"/>
    <x v="16"/>
    <d v="2010-04-20T00:00:00"/>
    <s v="20-Apr-2010"/>
  </r>
  <r>
    <n v="52487"/>
    <d v="2009-06-01T00:00:00"/>
    <s v="Critical"/>
    <s v="01-Jun-2009"/>
    <n v="17"/>
    <n v="124.06"/>
    <n v="0.09"/>
    <s v="Regular Air"/>
    <n v="15.74"/>
    <n v="7.78"/>
    <n v="2.5"/>
    <s v="Nathan Mautz"/>
    <s v="Manitoba"/>
    <x v="4"/>
    <s v="Corporate"/>
    <s v="Office Supplies"/>
    <x v="15"/>
    <x v="1"/>
    <d v="2009-06-02T00:00:00"/>
    <s v="02-Jun-2009"/>
  </r>
  <r>
    <n v="50370"/>
    <d v="2012-11-06T00:00:00"/>
    <s v="Critical"/>
    <s v="06-Nov-2012"/>
    <n v="25"/>
    <n v="122.05"/>
    <n v="0"/>
    <s v="Express Air"/>
    <n v="-67.599999999999994"/>
    <n v="4.24"/>
    <n v="5.41"/>
    <s v="Marc Crier"/>
    <s v="Manitoba"/>
    <x v="4"/>
    <s v="Corporate"/>
    <s v="Office Supplies"/>
    <x v="1"/>
    <x v="2"/>
    <d v="2012-11-07T00:00:00"/>
    <s v="07-Nov-2012"/>
  </r>
  <r>
    <n v="54371"/>
    <d v="2012-02-15T00:00:00"/>
    <s v="Not Specified"/>
    <s v="15-Feb-2012"/>
    <n v="7"/>
    <n v="118.63"/>
    <n v="0.05"/>
    <s v="Regular Air"/>
    <n v="6.3"/>
    <n v="16.739999999999998"/>
    <n v="5.08"/>
    <s v="Toby Knight"/>
    <s v="Manitoba"/>
    <x v="4"/>
    <s v="Corporate"/>
    <s v="Office Supplies"/>
    <x v="1"/>
    <x v="10"/>
    <d v="2012-02-17T00:00:00"/>
    <s v="17-Feb-2012"/>
  </r>
  <r>
    <n v="9954"/>
    <d v="2009-06-19T00:00:00"/>
    <s v="Not Specified"/>
    <s v="19-Jun-2009"/>
    <n v="30"/>
    <n v="115.81"/>
    <n v="0.1"/>
    <s v="Regular Air"/>
    <n v="22.06"/>
    <n v="3.98"/>
    <n v="0.83"/>
    <s v="Thais Sissman"/>
    <s v="Manitoba"/>
    <x v="4"/>
    <s v="Corporate"/>
    <s v="Office Supplies"/>
    <x v="13"/>
    <x v="51"/>
    <d v="2009-06-21T00:00:00"/>
    <s v="21-Jun-2009"/>
  </r>
  <r>
    <n v="25638"/>
    <d v="2009-08-06T00:00:00"/>
    <s v="High"/>
    <s v="06-Aug-2009"/>
    <n v="12"/>
    <n v="115.45"/>
    <n v="7.0000000000000007E-2"/>
    <s v="Regular Air"/>
    <n v="23.53"/>
    <n v="10.06"/>
    <n v="2.06"/>
    <s v="Ivan Gibson"/>
    <s v="Manitoba"/>
    <x v="4"/>
    <s v="Corporate"/>
    <s v="Office Supplies"/>
    <x v="12"/>
    <x v="4"/>
    <d v="2009-08-07T00:00:00"/>
    <s v="07-Aug-2009"/>
  </r>
  <r>
    <n v="20135"/>
    <d v="2009-06-30T00:00:00"/>
    <s v="Critical"/>
    <s v="30-Jun-2009"/>
    <n v="44"/>
    <n v="115.24"/>
    <n v="0.03"/>
    <s v="Regular Air"/>
    <n v="43.23"/>
    <n v="2.61"/>
    <n v="0.5"/>
    <s v="Susan MacKendrick"/>
    <s v="Manitoba"/>
    <x v="4"/>
    <s v="Corporate"/>
    <s v="Office Supplies"/>
    <x v="9"/>
    <x v="4"/>
    <d v="2009-06-30T00:00:00"/>
    <s v="30-Jun-2009"/>
  </r>
  <r>
    <n v="54371"/>
    <d v="2012-02-15T00:00:00"/>
    <s v="Not Specified"/>
    <s v="15-Feb-2012"/>
    <n v="28"/>
    <n v="115.02"/>
    <n v="0"/>
    <s v="Regular Air"/>
    <n v="46.3"/>
    <n v="3.78"/>
    <n v="0.71"/>
    <s v="Toby Knight"/>
    <s v="Manitoba"/>
    <x v="4"/>
    <s v="Corporate"/>
    <s v="Office Supplies"/>
    <x v="16"/>
    <x v="4"/>
    <d v="2012-02-15T00:00:00"/>
    <s v="15-Feb-2012"/>
  </r>
  <r>
    <n v="54115"/>
    <d v="2012-01-07T00:00:00"/>
    <s v="Low"/>
    <s v="07-Jan-2012"/>
    <n v="24"/>
    <n v="114.17"/>
    <n v="0.01"/>
    <s v="Regular Air"/>
    <n v="-80.05"/>
    <n v="4.37"/>
    <n v="5.15"/>
    <s v="Brian Moss"/>
    <s v="Manitoba"/>
    <x v="4"/>
    <s v="Corporate"/>
    <s v="Office Supplies"/>
    <x v="5"/>
    <x v="14"/>
    <d v="2012-01-12T00:00:00"/>
    <s v="12-Jan-2012"/>
  </r>
  <r>
    <n v="2306"/>
    <d v="2011-07-25T00:00:00"/>
    <s v="High"/>
    <s v="25-Jul-2011"/>
    <n v="15"/>
    <n v="113.5"/>
    <n v="0.05"/>
    <s v="Regular Air"/>
    <n v="-46.35"/>
    <n v="7.45"/>
    <n v="6.28"/>
    <s v="Liz Thompson"/>
    <s v="Manitoba"/>
    <x v="4"/>
    <s v="Corporate"/>
    <s v="Office Supplies"/>
    <x v="1"/>
    <x v="27"/>
    <d v="2011-07-27T00:00:00"/>
    <s v="27-Jul-2011"/>
  </r>
  <r>
    <n v="7107"/>
    <d v="2012-01-04T00:00:00"/>
    <s v="Not Specified"/>
    <s v="04-Jan-2012"/>
    <n v="3"/>
    <n v="113.14"/>
    <n v="0.06"/>
    <s v="Regular Air"/>
    <n v="-21.23"/>
    <n v="37.94"/>
    <n v="5.08"/>
    <s v="Steve Chapman"/>
    <s v="Manitoba"/>
    <x v="4"/>
    <s v="Corporate"/>
    <s v="Office Supplies"/>
    <x v="12"/>
    <x v="1"/>
    <d v="2012-01-06T00:00:00"/>
    <s v="06-Jan-2012"/>
  </r>
  <r>
    <n v="35461"/>
    <d v="2009-06-01T00:00:00"/>
    <s v="Critical"/>
    <s v="01-Jun-2009"/>
    <n v="30"/>
    <n v="112.6"/>
    <n v="0.04"/>
    <s v="Regular Air"/>
    <n v="-25.99"/>
    <n v="3.68"/>
    <n v="1.32"/>
    <s v="Julie Kriz"/>
    <s v="Manitoba"/>
    <x v="4"/>
    <s v="Corporate"/>
    <s v="Office Supplies"/>
    <x v="14"/>
    <x v="34"/>
    <d v="2009-06-02T00:00:00"/>
    <s v="02-Jun-2009"/>
  </r>
  <r>
    <n v="13762"/>
    <d v="2010-06-21T00:00:00"/>
    <s v="Medium"/>
    <s v="21-Jun-2010"/>
    <n v="37"/>
    <n v="107.73"/>
    <n v="0.08"/>
    <s v="Regular Air"/>
    <n v="39.81"/>
    <n v="3.15"/>
    <n v="0.5"/>
    <s v="Denny Joy"/>
    <s v="Manitoba"/>
    <x v="4"/>
    <s v="Corporate"/>
    <s v="Office Supplies"/>
    <x v="9"/>
    <x v="7"/>
    <d v="2010-06-23T00:00:00"/>
    <s v="23-Jun-2010"/>
  </r>
  <r>
    <n v="50464"/>
    <d v="2011-09-27T00:00:00"/>
    <s v="Critical"/>
    <s v="27-Sep-2011"/>
    <n v="7"/>
    <n v="105.94"/>
    <n v="7.0000000000000007E-2"/>
    <s v="Regular Air"/>
    <n v="-13.33"/>
    <n v="14.45"/>
    <n v="7.17"/>
    <s v="Natalie Webber"/>
    <s v="Manitoba"/>
    <x v="4"/>
    <s v="Corporate"/>
    <s v="Office Supplies"/>
    <x v="1"/>
    <x v="1"/>
    <d v="2011-09-30T00:00:00"/>
    <s v="30-Sep-2011"/>
  </r>
  <r>
    <n v="31078"/>
    <d v="2009-02-10T00:00:00"/>
    <s v="Critical"/>
    <s v="10-Feb-2009"/>
    <n v="7"/>
    <n v="104.46"/>
    <n v="0.01"/>
    <s v="Regular Air"/>
    <n v="-36.770000000000003"/>
    <n v="13.99"/>
    <n v="7.51"/>
    <s v="Evan Bailliet"/>
    <s v="Manitoba"/>
    <x v="4"/>
    <s v="Corporate"/>
    <s v="Technology"/>
    <x v="0"/>
    <x v="4"/>
    <d v="2009-02-11T00:00:00"/>
    <s v="11-Feb-2009"/>
  </r>
  <r>
    <n v="14855"/>
    <d v="2010-04-30T00:00:00"/>
    <s v="Not Specified"/>
    <s v="30-Apr-2010"/>
    <n v="48"/>
    <n v="103.8"/>
    <n v="0.1"/>
    <s v="Regular Air"/>
    <n v="-150.53"/>
    <n v="2.23"/>
    <n v="4.57"/>
    <s v="John Lee"/>
    <s v="Manitoba"/>
    <x v="4"/>
    <s v="Corporate"/>
    <s v="Furniture"/>
    <x v="7"/>
    <x v="25"/>
    <d v="2010-05-02T00:00:00"/>
    <s v="02-May-2010"/>
  </r>
  <r>
    <n v="40708"/>
    <d v="2009-10-12T00:00:00"/>
    <s v="Not Specified"/>
    <s v="12-Oct-2009"/>
    <n v="15"/>
    <n v="103.55"/>
    <n v="0.03"/>
    <s v="Regular Air"/>
    <n v="19.59"/>
    <n v="6.68"/>
    <n v="1.5"/>
    <s v="Toby Knight"/>
    <s v="Manitoba"/>
    <x v="4"/>
    <s v="Corporate"/>
    <s v="Office Supplies"/>
    <x v="13"/>
    <x v="23"/>
    <d v="2009-10-13T00:00:00"/>
    <s v="13-Oct-2009"/>
  </r>
  <r>
    <n v="15712"/>
    <d v="2012-12-04T00:00:00"/>
    <s v="High"/>
    <s v="04-Dec-2012"/>
    <n v="1"/>
    <n v="102.9"/>
    <n v="7.0000000000000007E-2"/>
    <s v="Delivery Truck"/>
    <n v="-81.89"/>
    <n v="48.58"/>
    <n v="54.11"/>
    <s v="Natalie Webber"/>
    <s v="Manitoba"/>
    <x v="4"/>
    <s v="Corporate"/>
    <s v="Furniture"/>
    <x v="8"/>
    <x v="39"/>
    <d v="2012-12-06T00:00:00"/>
    <s v="06-Dec-2012"/>
  </r>
  <r>
    <n v="17508"/>
    <d v="2012-06-27T00:00:00"/>
    <s v="Low"/>
    <s v="27-Jun-2012"/>
    <n v="50"/>
    <n v="99.08"/>
    <n v="0.01"/>
    <s v="Express Air"/>
    <n v="11.28"/>
    <n v="1.76"/>
    <n v="0.7"/>
    <s v="Roy Skaria"/>
    <s v="Manitoba"/>
    <x v="4"/>
    <s v="Corporate"/>
    <s v="Office Supplies"/>
    <x v="13"/>
    <x v="0"/>
    <d v="2012-06-29T00:00:00"/>
    <s v="29-Jun-2012"/>
  </r>
  <r>
    <n v="3492"/>
    <d v="2009-11-23T00:00:00"/>
    <s v="Low"/>
    <s v="23-Nov-2009"/>
    <n v="33"/>
    <n v="94.6"/>
    <n v="0.04"/>
    <s v="Regular Air"/>
    <n v="-6.34"/>
    <n v="2.78"/>
    <n v="1.25"/>
    <s v="Roy Skaria"/>
    <s v="Manitoba"/>
    <x v="4"/>
    <s v="Corporate"/>
    <s v="Office Supplies"/>
    <x v="13"/>
    <x v="14"/>
    <d v="2009-11-23T00:00:00"/>
    <s v="23-Nov-2009"/>
  </r>
  <r>
    <n v="34400"/>
    <d v="2012-12-24T00:00:00"/>
    <s v="Low"/>
    <s v="24-Dec-2012"/>
    <n v="25"/>
    <n v="92.53"/>
    <n v="0.01"/>
    <s v="Regular Air"/>
    <n v="-71.52"/>
    <n v="3.57"/>
    <n v="4.17"/>
    <s v="Joy Daniels"/>
    <s v="Manitoba"/>
    <x v="4"/>
    <s v="Corporate"/>
    <s v="Office Supplies"/>
    <x v="13"/>
    <x v="14"/>
    <d v="2012-12-28T00:00:00"/>
    <s v="28-Dec-2012"/>
  </r>
  <r>
    <n v="46885"/>
    <d v="2011-06-07T00:00:00"/>
    <s v="Low"/>
    <s v="07-Jun-2011"/>
    <n v="48"/>
    <n v="90.96"/>
    <n v="0.02"/>
    <s v="Regular Air"/>
    <n v="-30.11"/>
    <n v="1.81"/>
    <n v="1.56"/>
    <s v="Mike Kennedy"/>
    <s v="Manitoba"/>
    <x v="4"/>
    <s v="Corporate"/>
    <s v="Office Supplies"/>
    <x v="16"/>
    <x v="19"/>
    <d v="2011-06-11T00:00:00"/>
    <s v="11-Jun-2011"/>
  </r>
  <r>
    <n v="2818"/>
    <d v="2009-12-11T00:00:00"/>
    <s v="Medium"/>
    <s v="11-Dec-2009"/>
    <n v="2"/>
    <n v="89.23"/>
    <n v="0.02"/>
    <s v="Regular Air"/>
    <n v="-42.72"/>
    <n v="38.76"/>
    <n v="13.26"/>
    <s v="Ross Baird"/>
    <s v="Manitoba"/>
    <x v="4"/>
    <s v="Corporate"/>
    <s v="Office Supplies"/>
    <x v="12"/>
    <x v="10"/>
    <d v="2009-12-12T00:00:00"/>
    <s v="12-Dec-2009"/>
  </r>
  <r>
    <n v="30917"/>
    <d v="2010-11-01T00:00:00"/>
    <s v="Low"/>
    <s v="01-Nov-2010"/>
    <n v="11"/>
    <n v="86.79"/>
    <n v="0.06"/>
    <s v="Regular Air"/>
    <n v="-45.6"/>
    <n v="8.1199999999999992"/>
    <n v="2.83"/>
    <s v="Marc Crier"/>
    <s v="Manitoba"/>
    <x v="4"/>
    <s v="Corporate"/>
    <s v="Technology"/>
    <x v="11"/>
    <x v="36"/>
    <d v="2010-11-03T00:00:00"/>
    <s v="03-Nov-2010"/>
  </r>
  <r>
    <n v="36323"/>
    <d v="2010-10-18T00:00:00"/>
    <s v="High"/>
    <s v="18-Oct-2010"/>
    <n v="5"/>
    <n v="85.89"/>
    <n v="0.08"/>
    <s v="Regular Air"/>
    <n v="-48.88"/>
    <n v="15.98"/>
    <n v="6.5"/>
    <s v="Maurice Satty"/>
    <s v="Manitoba"/>
    <x v="4"/>
    <s v="Corporate"/>
    <s v="Technology"/>
    <x v="11"/>
    <x v="23"/>
    <d v="2010-10-20T00:00:00"/>
    <s v="20-Oct-2010"/>
  </r>
  <r>
    <n v="55651"/>
    <d v="2012-03-07T00:00:00"/>
    <s v="Medium"/>
    <s v="07-Mar-2012"/>
    <n v="2"/>
    <n v="79.930000000000007"/>
    <n v="0"/>
    <s v="Regular Air"/>
    <n v="-52.73"/>
    <n v="27.75"/>
    <n v="19.989999999999998"/>
    <s v="Helen Andreada"/>
    <s v="Manitoba"/>
    <x v="4"/>
    <s v="Corporate"/>
    <s v="Office Supplies"/>
    <x v="4"/>
    <x v="46"/>
    <d v="2012-03-08T00:00:00"/>
    <s v="08-Mar-2012"/>
  </r>
  <r>
    <n v="56135"/>
    <d v="2010-11-13T00:00:00"/>
    <s v="Medium"/>
    <s v="13-Nov-2010"/>
    <n v="48"/>
    <n v="79.75"/>
    <n v="0.1"/>
    <s v="Regular Air"/>
    <n v="-41.32"/>
    <n v="1.81"/>
    <n v="1.56"/>
    <s v="Theone Pippenger"/>
    <s v="Manitoba"/>
    <x v="4"/>
    <s v="Corporate"/>
    <s v="Office Supplies"/>
    <x v="16"/>
    <x v="19"/>
    <d v="2010-11-14T00:00:00"/>
    <s v="14-Nov-2010"/>
  </r>
  <r>
    <n v="19300"/>
    <d v="2009-12-16T00:00:00"/>
    <s v="Critical"/>
    <s v="16-Dec-2009"/>
    <n v="10"/>
    <n v="78.72"/>
    <n v="0.1"/>
    <s v="Regular Air"/>
    <n v="-22.36"/>
    <n v="7.64"/>
    <n v="5.83"/>
    <s v="Denny Joy"/>
    <s v="Manitoba"/>
    <x v="4"/>
    <s v="Corporate"/>
    <s v="Office Supplies"/>
    <x v="12"/>
    <x v="10"/>
    <d v="2009-12-17T00:00:00"/>
    <s v="17-Dec-2009"/>
  </r>
  <r>
    <n v="3810"/>
    <d v="2012-09-16T00:00:00"/>
    <s v="Critical"/>
    <s v="16-Sep-2012"/>
    <n v="25"/>
    <n v="78.260000000000005"/>
    <n v="0.04"/>
    <s v="Express Air"/>
    <n v="35.090000000000003"/>
    <n v="2.61"/>
    <n v="0.5"/>
    <s v="Tanja Norvell"/>
    <s v="Manitoba"/>
    <x v="4"/>
    <s v="Corporate"/>
    <s v="Office Supplies"/>
    <x v="9"/>
    <x v="4"/>
    <d v="2012-09-18T00:00:00"/>
    <s v="18-Sep-2012"/>
  </r>
  <r>
    <n v="40261"/>
    <d v="2009-11-04T00:00:00"/>
    <s v="Critical"/>
    <s v="04-Nov-2009"/>
    <n v="26"/>
    <n v="78.03"/>
    <n v="0.05"/>
    <s v="Regular Air"/>
    <n v="0.51"/>
    <n v="2.94"/>
    <n v="1.05"/>
    <s v="Evan Bailliet"/>
    <s v="Manitoba"/>
    <x v="4"/>
    <s v="Corporate"/>
    <s v="Office Supplies"/>
    <x v="13"/>
    <x v="15"/>
    <d v="2009-11-06T00:00:00"/>
    <s v="06-Nov-2009"/>
  </r>
  <r>
    <n v="45570"/>
    <d v="2010-08-09T00:00:00"/>
    <s v="Critical"/>
    <s v="09-Aug-2010"/>
    <n v="19"/>
    <n v="77.569999999999993"/>
    <n v="0"/>
    <s v="Regular Air"/>
    <n v="-67.489999999999995"/>
    <n v="3.58"/>
    <n v="5.47"/>
    <s v="Bart Watters"/>
    <s v="Manitoba"/>
    <x v="4"/>
    <s v="Corporate"/>
    <s v="Office Supplies"/>
    <x v="1"/>
    <x v="7"/>
    <d v="2010-08-10T00:00:00"/>
    <s v="10-Aug-2010"/>
  </r>
  <r>
    <n v="24386"/>
    <d v="2012-06-26T00:00:00"/>
    <s v="High"/>
    <s v="26-Jun-2012"/>
    <n v="15"/>
    <n v="76.94"/>
    <n v="0"/>
    <s v="Express Air"/>
    <n v="29.67"/>
    <n v="4.13"/>
    <n v="0.99"/>
    <s v="Bruce Stewart"/>
    <s v="Manitoba"/>
    <x v="4"/>
    <s v="Corporate"/>
    <s v="Office Supplies"/>
    <x v="9"/>
    <x v="4"/>
    <d v="2012-06-27T00:00:00"/>
    <s v="27-Jun-2012"/>
  </r>
  <r>
    <n v="27717"/>
    <d v="2011-10-26T00:00:00"/>
    <s v="Critical"/>
    <s v="26-Oct-2011"/>
    <n v="19"/>
    <n v="75.19"/>
    <n v="0.05"/>
    <s v="Regular Air"/>
    <n v="-93.67"/>
    <n v="3.75"/>
    <n v="7.5"/>
    <s v="Tracy Collins"/>
    <s v="Manitoba"/>
    <x v="4"/>
    <s v="Corporate"/>
    <s v="Office Supplies"/>
    <x v="9"/>
    <x v="7"/>
    <d v="2011-10-29T00:00:00"/>
    <s v="29-Oct-2011"/>
  </r>
  <r>
    <n v="27364"/>
    <d v="2011-05-20T00:00:00"/>
    <s v="Medium"/>
    <s v="20-May-2011"/>
    <n v="25"/>
    <n v="74.069999999999993"/>
    <n v="0.04"/>
    <s v="Regular Air"/>
    <n v="4.37"/>
    <n v="2.88"/>
    <n v="1.49"/>
    <s v="Joseph Airdo"/>
    <s v="Manitoba"/>
    <x v="4"/>
    <s v="Corporate"/>
    <s v="Office Supplies"/>
    <x v="1"/>
    <x v="10"/>
    <d v="2011-05-22T00:00:00"/>
    <s v="22-May-2011"/>
  </r>
  <r>
    <n v="45025"/>
    <d v="2011-04-11T00:00:00"/>
    <s v="High"/>
    <s v="11-Apr-2011"/>
    <n v="26"/>
    <n v="73.819999999999993"/>
    <n v="0.08"/>
    <s v="Regular Air"/>
    <n v="2.0099999999999998"/>
    <n v="2.88"/>
    <n v="1.49"/>
    <s v="Mike Kennedy"/>
    <s v="Manitoba"/>
    <x v="4"/>
    <s v="Corporate"/>
    <s v="Office Supplies"/>
    <x v="1"/>
    <x v="10"/>
    <d v="2011-04-14T00:00:00"/>
    <s v="14-Apr-2011"/>
  </r>
  <r>
    <n v="17632"/>
    <d v="2010-02-21T00:00:00"/>
    <s v="Medium"/>
    <s v="21-Feb-2010"/>
    <n v="38"/>
    <n v="71.12"/>
    <n v="0.1"/>
    <s v="Regular Air"/>
    <n v="-21.89"/>
    <n v="1.98"/>
    <n v="0.7"/>
    <s v="Liz Thompson"/>
    <s v="Manitoba"/>
    <x v="4"/>
    <s v="Corporate"/>
    <s v="Office Supplies"/>
    <x v="16"/>
    <x v="34"/>
    <d v="2010-02-22T00:00:00"/>
    <s v="22-Feb-2010"/>
  </r>
  <r>
    <n v="52070"/>
    <d v="2009-12-01T00:00:00"/>
    <s v="Not Specified"/>
    <s v="01-Dec-2009"/>
    <n v="29"/>
    <n v="67.97"/>
    <n v="0.06"/>
    <s v="Regular Air"/>
    <n v="-109.94"/>
    <n v="2.2799999999999998"/>
    <n v="5.2"/>
    <s v="Natalie Webber"/>
    <s v="Manitoba"/>
    <x v="4"/>
    <s v="Corporate"/>
    <s v="Office Supplies"/>
    <x v="13"/>
    <x v="25"/>
    <d v="2009-12-03T00:00:00"/>
    <s v="03-Dec-2009"/>
  </r>
  <r>
    <n v="19621"/>
    <d v="2011-09-07T00:00:00"/>
    <s v="Critical"/>
    <s v="07-Sep-2011"/>
    <n v="20"/>
    <n v="67.03"/>
    <n v="0.04"/>
    <s v="Regular Air"/>
    <n v="-30.4"/>
    <n v="3.14"/>
    <n v="1.92"/>
    <s v="Marc Crier"/>
    <s v="Manitoba"/>
    <x v="4"/>
    <s v="Corporate"/>
    <s v="Office Supplies"/>
    <x v="14"/>
    <x v="30"/>
    <d v="2011-09-08T00:00:00"/>
    <s v="08-Sep-2011"/>
  </r>
  <r>
    <n v="19557"/>
    <d v="2011-10-30T00:00:00"/>
    <s v="Low"/>
    <s v="30-Oct-2011"/>
    <n v="26"/>
    <n v="66.599999999999994"/>
    <n v="0.08"/>
    <s v="Regular Air"/>
    <n v="13.99"/>
    <n v="2.62"/>
    <n v="0.8"/>
    <s v="Valerie Dominguez"/>
    <s v="Manitoba"/>
    <x v="4"/>
    <s v="Corporate"/>
    <s v="Office Supplies"/>
    <x v="16"/>
    <x v="4"/>
    <d v="2011-11-03T00:00:00"/>
    <s v="03-Nov-2011"/>
  </r>
  <r>
    <n v="38979"/>
    <d v="2010-02-26T00:00:00"/>
    <s v="Low"/>
    <s v="26-Feb-2010"/>
    <n v="31"/>
    <n v="65.61"/>
    <n v="0.02"/>
    <s v="Regular Air"/>
    <n v="-16.63"/>
    <n v="1.95"/>
    <n v="1.63"/>
    <s v="Steve Chapman"/>
    <s v="Manitoba"/>
    <x v="4"/>
    <s v="Corporate"/>
    <s v="Office Supplies"/>
    <x v="13"/>
    <x v="29"/>
    <d v="2010-03-03T00:00:00"/>
    <s v="03-Mar-2010"/>
  </r>
  <r>
    <n v="3108"/>
    <d v="2010-08-04T00:00:00"/>
    <s v="Critical"/>
    <s v="04-Aug-2010"/>
    <n v="36"/>
    <n v="65.39"/>
    <n v="0.09"/>
    <s v="Regular Air"/>
    <n v="-0.46"/>
    <n v="1.82"/>
    <n v="1"/>
    <s v="Jack Garza"/>
    <s v="Manitoba"/>
    <x v="4"/>
    <s v="Corporate"/>
    <s v="Office Supplies"/>
    <x v="13"/>
    <x v="27"/>
    <d v="2010-08-05T00:00:00"/>
    <s v="05-Aug-2010"/>
  </r>
  <r>
    <n v="46948"/>
    <d v="2010-05-20T00:00:00"/>
    <s v="Low"/>
    <s v="20-May-2010"/>
    <n v="10"/>
    <n v="64.13"/>
    <n v="0.1"/>
    <s v="Regular Air"/>
    <n v="-28.97"/>
    <n v="6.54"/>
    <n v="5.27"/>
    <s v="Mike Kennedy"/>
    <s v="Manitoba"/>
    <x v="4"/>
    <s v="Corporate"/>
    <s v="Office Supplies"/>
    <x v="1"/>
    <x v="10"/>
    <d v="2010-05-24T00:00:00"/>
    <s v="24-May-2010"/>
  </r>
  <r>
    <n v="801"/>
    <d v="2012-02-17T00:00:00"/>
    <s v="Critical"/>
    <s v="17-Feb-2012"/>
    <n v="20"/>
    <n v="59.85"/>
    <n v="0.03"/>
    <s v="Regular Air"/>
    <n v="-47.41"/>
    <n v="2.74"/>
    <n v="3.5"/>
    <s v="Thais Sissman"/>
    <s v="Manitoba"/>
    <x v="4"/>
    <s v="Corporate"/>
    <s v="Office Supplies"/>
    <x v="13"/>
    <x v="15"/>
    <d v="2012-02-20T00:00:00"/>
    <s v="20-Feb-2012"/>
  </r>
  <r>
    <n v="44196"/>
    <d v="2009-08-22T00:00:00"/>
    <s v="Not Specified"/>
    <s v="22-Aug-2009"/>
    <n v="10"/>
    <n v="56.91"/>
    <n v="0.01"/>
    <s v="Regular Air"/>
    <n v="7.5"/>
    <n v="5.18"/>
    <n v="2.04"/>
    <s v="Cynthia Delaney"/>
    <s v="Manitoba"/>
    <x v="4"/>
    <s v="Corporate"/>
    <s v="Office Supplies"/>
    <x v="12"/>
    <x v="10"/>
    <d v="2009-08-24T00:00:00"/>
    <s v="24-Aug-2009"/>
  </r>
  <r>
    <n v="13762"/>
    <d v="2010-06-21T00:00:00"/>
    <s v="Medium"/>
    <s v="21-Jun-2010"/>
    <n v="8"/>
    <n v="55"/>
    <n v="0.05"/>
    <s v="Regular Air"/>
    <n v="-23.62"/>
    <n v="6.28"/>
    <n v="5.36"/>
    <s v="Denny Joy"/>
    <s v="Manitoba"/>
    <x v="4"/>
    <s v="Corporate"/>
    <s v="Office Supplies"/>
    <x v="1"/>
    <x v="27"/>
    <d v="2010-06-24T00:00:00"/>
    <s v="24-Jun-2010"/>
  </r>
  <r>
    <n v="13762"/>
    <d v="2010-06-21T00:00:00"/>
    <s v="Medium"/>
    <s v="21-Jun-2010"/>
    <n v="7"/>
    <n v="51.66"/>
    <n v="0.06"/>
    <s v="Regular Air"/>
    <n v="7.4"/>
    <n v="7.64"/>
    <n v="1.39"/>
    <s v="Denny Joy"/>
    <s v="Manitoba"/>
    <x v="4"/>
    <s v="Corporate"/>
    <s v="Office Supplies"/>
    <x v="15"/>
    <x v="10"/>
    <d v="2010-06-23T00:00:00"/>
    <s v="23-Jun-2010"/>
  </r>
  <r>
    <n v="16005"/>
    <d v="2012-12-24T00:00:00"/>
    <s v="Not Specified"/>
    <s v="24-Dec-2012"/>
    <n v="7"/>
    <n v="51.03"/>
    <n v="0.09"/>
    <s v="Regular Air"/>
    <n v="-21.38"/>
    <n v="6.81"/>
    <n v="5.48"/>
    <s v="Maurice Satty"/>
    <s v="Manitoba"/>
    <x v="4"/>
    <s v="Corporate"/>
    <s v="Office Supplies"/>
    <x v="1"/>
    <x v="7"/>
    <d v="2012-12-26T00:00:00"/>
    <s v="26-Dec-2012"/>
  </r>
  <r>
    <n v="42823"/>
    <d v="2010-06-25T00:00:00"/>
    <s v="Medium"/>
    <s v="25-Jun-2010"/>
    <n v="8"/>
    <n v="49.14"/>
    <n v="0.05"/>
    <s v="Express Air"/>
    <n v="-22.56"/>
    <n v="4.28"/>
    <n v="6.18"/>
    <s v="Steve Chapman"/>
    <s v="Manitoba"/>
    <x v="4"/>
    <s v="Corporate"/>
    <s v="Office Supplies"/>
    <x v="12"/>
    <x v="27"/>
    <d v="2010-06-27T00:00:00"/>
    <s v="27-Jun-2010"/>
  </r>
  <r>
    <n v="49763"/>
    <d v="2011-02-13T00:00:00"/>
    <s v="Critical"/>
    <s v="13-Feb-2011"/>
    <n v="8"/>
    <n v="49.04"/>
    <n v="0.02"/>
    <s v="Regular Air"/>
    <n v="9.2899999999999991"/>
    <n v="5.68"/>
    <n v="1.39"/>
    <s v="Brad Norvell"/>
    <s v="Manitoba"/>
    <x v="4"/>
    <s v="Corporate"/>
    <s v="Office Supplies"/>
    <x v="15"/>
    <x v="1"/>
    <d v="2011-02-14T00:00:00"/>
    <s v="14-Feb-2011"/>
  </r>
  <r>
    <n v="35461"/>
    <d v="2009-06-01T00:00:00"/>
    <s v="Critical"/>
    <s v="01-Jun-2009"/>
    <n v="11"/>
    <n v="48.75"/>
    <n v="0.08"/>
    <s v="Regular Air"/>
    <n v="3.5"/>
    <n v="4.49"/>
    <n v="1.49"/>
    <s v="Julie Kriz"/>
    <s v="Manitoba"/>
    <x v="4"/>
    <s v="Corporate"/>
    <s v="Office Supplies"/>
    <x v="1"/>
    <x v="4"/>
    <d v="2009-06-01T00:00:00"/>
    <s v="01-Jun-2009"/>
  </r>
  <r>
    <n v="51009"/>
    <d v="2011-11-05T00:00:00"/>
    <s v="Not Specified"/>
    <s v="05-Nov-2011"/>
    <n v="10"/>
    <n v="48"/>
    <n v="0.09"/>
    <s v="Regular Air"/>
    <n v="-29.14"/>
    <n v="4.18"/>
    <n v="6.92"/>
    <s v="Scot Wooten"/>
    <s v="Manitoba"/>
    <x v="4"/>
    <s v="Corporate"/>
    <s v="Furniture"/>
    <x v="7"/>
    <x v="19"/>
    <d v="2011-11-07T00:00:00"/>
    <s v="07-Nov-2011"/>
  </r>
  <r>
    <n v="33537"/>
    <d v="2010-08-13T00:00:00"/>
    <s v="Medium"/>
    <s v="13-Aug-2010"/>
    <n v="26"/>
    <n v="45.38"/>
    <n v="7.0000000000000007E-2"/>
    <s v="Regular Air"/>
    <n v="-1.97"/>
    <n v="1.76"/>
    <n v="0.7"/>
    <s v="Mick Crebagga"/>
    <s v="Manitoba"/>
    <x v="4"/>
    <s v="Corporate"/>
    <s v="Office Supplies"/>
    <x v="13"/>
    <x v="0"/>
    <d v="2010-08-15T00:00:00"/>
    <s v="15-Aug-2010"/>
  </r>
  <r>
    <n v="14756"/>
    <d v="2009-08-31T00:00:00"/>
    <s v="Low"/>
    <s v="31-Aug-2009"/>
    <n v="2"/>
    <n v="42.3"/>
    <n v="0.06"/>
    <s v="Regular Air"/>
    <n v="-25.38"/>
    <n v="19.23"/>
    <n v="6.15"/>
    <s v="Steve Chapman"/>
    <s v="Manitoba"/>
    <x v="4"/>
    <s v="Corporate"/>
    <s v="Furniture"/>
    <x v="7"/>
    <x v="47"/>
    <d v="2009-08-31T00:00:00"/>
    <s v="31-Aug-2009"/>
  </r>
  <r>
    <n v="50048"/>
    <d v="2010-01-18T00:00:00"/>
    <s v="High"/>
    <s v="18-Jan-2010"/>
    <n v="14"/>
    <n v="35.479999999999997"/>
    <n v="0.09"/>
    <s v="Regular Air"/>
    <n v="-9.19"/>
    <n v="2.58"/>
    <n v="1.3"/>
    <s v="Chad Sievert"/>
    <s v="Manitoba"/>
    <x v="4"/>
    <s v="Corporate"/>
    <s v="Office Supplies"/>
    <x v="13"/>
    <x v="14"/>
    <d v="2010-01-20T00:00:00"/>
    <s v="20-Jan-2010"/>
  </r>
  <r>
    <n v="29282"/>
    <d v="2012-11-28T00:00:00"/>
    <s v="Medium"/>
    <s v="28-Nov-2012"/>
    <n v="4"/>
    <n v="34.270000000000003"/>
    <n v="0.1"/>
    <s v="Regular Air"/>
    <n v="-26.44"/>
    <n v="6.48"/>
    <n v="9.5399999999999991"/>
    <s v="Scot Wooten"/>
    <s v="Manitoba"/>
    <x v="4"/>
    <s v="Corporate"/>
    <s v="Office Supplies"/>
    <x v="12"/>
    <x v="7"/>
    <d v="2012-11-30T00:00:00"/>
    <s v="30-Nov-2012"/>
  </r>
  <r>
    <n v="21444"/>
    <d v="2011-04-15T00:00:00"/>
    <s v="Medium"/>
    <s v="15-Apr-2011"/>
    <n v="17"/>
    <n v="34.159999999999997"/>
    <n v="0.09"/>
    <s v="Regular Air"/>
    <n v="-2.29"/>
    <n v="2.1"/>
    <n v="0.7"/>
    <s v="Maurice Satty"/>
    <s v="Manitoba"/>
    <x v="4"/>
    <s v="Corporate"/>
    <s v="Office Supplies"/>
    <x v="13"/>
    <x v="6"/>
    <d v="2011-04-16T00:00:00"/>
    <s v="16-Apr-2011"/>
  </r>
  <r>
    <n v="36838"/>
    <d v="2009-04-08T00:00:00"/>
    <s v="Low"/>
    <s v="08-Apr-2009"/>
    <n v="3"/>
    <n v="32.76"/>
    <n v="0.06"/>
    <s v="Express Air"/>
    <n v="11.29"/>
    <n v="6.3"/>
    <n v="0.5"/>
    <s v="Marc Crier"/>
    <s v="Manitoba"/>
    <x v="4"/>
    <s v="Corporate"/>
    <s v="Office Supplies"/>
    <x v="9"/>
    <x v="4"/>
    <d v="2009-04-17T00:00:00"/>
    <s v="17-Apr-2009"/>
  </r>
  <r>
    <n v="7783"/>
    <d v="2012-01-12T00:00:00"/>
    <s v="Medium"/>
    <s v="12-Jan-2012"/>
    <n v="3"/>
    <n v="31.35"/>
    <n v="0.03"/>
    <s v="Regular Air"/>
    <n v="-14.62"/>
    <n v="8.85"/>
    <n v="5.6"/>
    <s v="Evan Bailliet"/>
    <s v="Manitoba"/>
    <x v="4"/>
    <s v="Corporate"/>
    <s v="Office Supplies"/>
    <x v="1"/>
    <x v="10"/>
    <d v="2012-01-13T00:00:00"/>
    <s v="13-Jan-2012"/>
  </r>
  <r>
    <n v="34180"/>
    <d v="2011-09-03T00:00:00"/>
    <s v="High"/>
    <s v="03-Sep-2011"/>
    <n v="2"/>
    <n v="27"/>
    <n v="0.02"/>
    <s v="Express Air"/>
    <n v="-4.9000000000000004"/>
    <n v="5.78"/>
    <n v="8.09"/>
    <s v="Marc Crier"/>
    <s v="Manitoba"/>
    <x v="4"/>
    <s v="Corporate"/>
    <s v="Office Supplies"/>
    <x v="12"/>
    <x v="10"/>
    <d v="2011-09-03T00:00:00"/>
    <s v="03-Sep-2011"/>
  </r>
  <r>
    <n v="18592"/>
    <d v="2012-09-30T00:00:00"/>
    <s v="Critical"/>
    <s v="30-Sep-2012"/>
    <n v="2"/>
    <n v="25.72"/>
    <n v="0.04"/>
    <s v="Regular Air"/>
    <n v="-15.5"/>
    <n v="10.98"/>
    <n v="3.37"/>
    <s v="Nora Pelletier"/>
    <s v="Manitoba"/>
    <x v="4"/>
    <s v="Corporate"/>
    <s v="Office Supplies"/>
    <x v="14"/>
    <x v="6"/>
    <d v="2012-10-01T00:00:00"/>
    <s v="01-Oct-2012"/>
  </r>
  <r>
    <n v="49123"/>
    <d v="2009-02-25T00:00:00"/>
    <s v="High"/>
    <s v="25-Feb-2009"/>
    <n v="3"/>
    <n v="25.48"/>
    <n v="0.06"/>
    <s v="Regular Air"/>
    <n v="-26.8"/>
    <n v="8.33"/>
    <n v="1.99"/>
    <s v="Mick Crebagga"/>
    <s v="Manitoba"/>
    <x v="4"/>
    <s v="Corporate"/>
    <s v="Technology"/>
    <x v="11"/>
    <x v="24"/>
    <d v="2009-02-26T00:00:00"/>
    <s v="26-Feb-2009"/>
  </r>
  <r>
    <n v="37696"/>
    <d v="2009-07-09T00:00:00"/>
    <s v="Not Specified"/>
    <s v="09-Jul-2009"/>
    <n v="5"/>
    <n v="24.09"/>
    <n v="0.04"/>
    <s v="Regular Air"/>
    <n v="-20.23"/>
    <n v="3.81"/>
    <n v="5.44"/>
    <s v="Valerie Dominguez"/>
    <s v="Manitoba"/>
    <x v="4"/>
    <s v="Corporate"/>
    <s v="Office Supplies"/>
    <x v="1"/>
    <x v="10"/>
    <d v="2009-07-11T00:00:00"/>
    <s v="11-Jul-2009"/>
  </r>
  <r>
    <n v="3553"/>
    <d v="2009-05-17T00:00:00"/>
    <s v="Medium"/>
    <s v="17-May-2009"/>
    <n v="7"/>
    <n v="20.5"/>
    <n v="0.06"/>
    <s v="Regular Air"/>
    <n v="-4.04"/>
    <n v="2.94"/>
    <n v="0.96"/>
    <s v="Roy Skaria"/>
    <s v="Manitoba"/>
    <x v="4"/>
    <s v="Corporate"/>
    <s v="Office Supplies"/>
    <x v="13"/>
    <x v="15"/>
    <d v="2009-05-18T00:00:00"/>
    <s v="18-May-2009"/>
  </r>
  <r>
    <n v="44422"/>
    <d v="2012-04-13T00:00:00"/>
    <s v="Medium"/>
    <s v="13-Apr-2012"/>
    <n v="1"/>
    <n v="15.72"/>
    <n v="0"/>
    <s v="Regular Air"/>
    <n v="-6.1"/>
    <n v="10.89"/>
    <n v="4.5"/>
    <s v="Thais Sissman"/>
    <s v="Manitoba"/>
    <x v="4"/>
    <s v="Corporate"/>
    <s v="Office Supplies"/>
    <x v="5"/>
    <x v="14"/>
    <d v="2012-04-15T00:00:00"/>
    <s v="15-Apr-2012"/>
  </r>
  <r>
    <n v="52160"/>
    <d v="2011-07-03T00:00:00"/>
    <s v="Critical"/>
    <s v="03-Jul-2011"/>
    <n v="5"/>
    <n v="15.6"/>
    <n v="0.09"/>
    <s v="Express Air"/>
    <n v="1.67"/>
    <n v="2.1800000000000002"/>
    <n v="0.78"/>
    <s v="Jack Garza"/>
    <s v="Manitoba"/>
    <x v="4"/>
    <s v="Corporate"/>
    <s v="Office Supplies"/>
    <x v="16"/>
    <x v="24"/>
    <d v="2011-07-06T00:00:00"/>
    <s v="06-Jul-2011"/>
  </r>
  <r>
    <n v="50048"/>
    <d v="2010-01-18T00:00:00"/>
    <s v="High"/>
    <s v="18-Jan-2010"/>
    <n v="1"/>
    <n v="15"/>
    <n v="0.05"/>
    <s v="Regular Air"/>
    <n v="-11.02"/>
    <n v="6.84"/>
    <n v="8.3699999999999992"/>
    <s v="Chad Sievert"/>
    <s v="Manitoba"/>
    <x v="4"/>
    <s v="Corporate"/>
    <s v="Office Supplies"/>
    <x v="14"/>
    <x v="15"/>
    <d v="2010-01-20T00:00:00"/>
    <s v="20-Jan-2010"/>
  </r>
  <r>
    <n v="59684"/>
    <d v="2010-12-29T00:00:00"/>
    <s v="Medium"/>
    <s v="29-Dec-2010"/>
    <n v="3"/>
    <n v="14.46"/>
    <n v="0.06"/>
    <s v="Regular Air"/>
    <n v="-5.26"/>
    <n v="4.2"/>
    <n v="2.2599999999999998"/>
    <s v="Susan MacKendrick"/>
    <s v="Manitoba"/>
    <x v="4"/>
    <s v="Corporate"/>
    <s v="Office Supplies"/>
    <x v="12"/>
    <x v="10"/>
    <d v="2011-01-17T00:00:00"/>
    <s v="17-Jan-2011"/>
  </r>
  <r>
    <n v="37252"/>
    <d v="2011-11-19T00:00:00"/>
    <s v="Low"/>
    <s v="19-Nov-2011"/>
    <n v="1"/>
    <n v="10.62"/>
    <n v="0.02"/>
    <s v="Regular Air"/>
    <n v="-31.2"/>
    <n v="8.32"/>
    <n v="2.38"/>
    <s v="Steve Chapman"/>
    <s v="Manitoba"/>
    <x v="4"/>
    <s v="Corporate"/>
    <s v="Technology"/>
    <x v="11"/>
    <x v="37"/>
    <d v="2011-11-23T00:00:00"/>
    <s v="23-Nov-2011"/>
  </r>
  <r>
    <n v="30343"/>
    <d v="2012-05-21T00:00:00"/>
    <s v="Critical"/>
    <s v="21-May-2012"/>
    <n v="8"/>
    <n v="41343.21"/>
    <n v="0.09"/>
    <s v="Regular Air"/>
    <n v="3852.19"/>
    <n v="6783.02"/>
    <n v="24.49"/>
    <s v="Craig Carreira"/>
    <s v="Saskachewan"/>
    <x v="4"/>
    <s v="Corporate"/>
    <s v="Technology"/>
    <x v="0"/>
    <x v="4"/>
    <d v="2012-05-23T00:00:00"/>
    <s v="23-May-2012"/>
  </r>
  <r>
    <n v="34663"/>
    <d v="2011-07-06T00:00:00"/>
    <s v="Not Specified"/>
    <s v="06-Jul-2011"/>
    <n v="38"/>
    <n v="29186.49"/>
    <n v="0.05"/>
    <s v="Delivery Truck"/>
    <n v="11562.08"/>
    <n v="808.49"/>
    <n v="55.3"/>
    <s v="Nick Crebassa"/>
    <s v="Saskachewan"/>
    <x v="4"/>
    <s v="Corporate"/>
    <s v="Technology"/>
    <x v="0"/>
    <x v="27"/>
    <d v="2011-07-08T00:00:00"/>
    <s v="08-Jul-2011"/>
  </r>
  <r>
    <n v="9637"/>
    <d v="2009-01-03T00:00:00"/>
    <s v="Low"/>
    <s v="03-Jan-2009"/>
    <n v="49"/>
    <n v="28359.4"/>
    <n v="0.05"/>
    <s v="Regular Air"/>
    <n v="14440.39"/>
    <n v="574.74"/>
    <n v="24.49"/>
    <s v="Andy Reiter"/>
    <s v="Saskachewan"/>
    <x v="4"/>
    <s v="Corporate"/>
    <s v="Technology"/>
    <x v="0"/>
    <x v="7"/>
    <d v="2009-01-10T00:00:00"/>
    <s v="10-Jan-2009"/>
  </r>
  <r>
    <n v="52068"/>
    <d v="2012-01-13T00:00:00"/>
    <s v="Not Specified"/>
    <s v="13-Jan-2012"/>
    <n v="47"/>
    <n v="24559.91"/>
    <n v="0.01"/>
    <s v="Delivery Truck"/>
    <n v="7358.66"/>
    <n v="517.48"/>
    <n v="16.63"/>
    <s v="Peter Fuller"/>
    <s v="Saskachewan"/>
    <x v="4"/>
    <s v="Corporate"/>
    <s v="Technology"/>
    <x v="0"/>
    <x v="14"/>
    <d v="2012-01-13T00:00:00"/>
    <s v="13-Jan-2012"/>
  </r>
  <r>
    <n v="28550"/>
    <d v="2011-03-20T00:00:00"/>
    <s v="Not Specified"/>
    <s v="20-Mar-2011"/>
    <n v="44"/>
    <n v="21532.26"/>
    <n v="0.09"/>
    <s v="Delivery Truck"/>
    <n v="8323.39"/>
    <n v="500.97"/>
    <n v="69.3"/>
    <s v="Cindy Schnelling"/>
    <s v="Saskachewan"/>
    <x v="4"/>
    <s v="Corporate"/>
    <s v="Technology"/>
    <x v="0"/>
    <x v="7"/>
    <d v="2011-03-23T00:00:00"/>
    <s v="23-Mar-2011"/>
  </r>
  <r>
    <n v="5954"/>
    <d v="2012-12-02T00:00:00"/>
    <s v="Critical"/>
    <s v="02-Dec-2012"/>
    <n v="32"/>
    <n v="18316.3"/>
    <n v="0.06"/>
    <s v="Delivery Truck"/>
    <n v="4569.0600000000004"/>
    <n v="596.98"/>
    <n v="14.7"/>
    <s v="Ken Heidel"/>
    <s v="Saskachewan"/>
    <x v="4"/>
    <s v="Corporate"/>
    <s v="Technology"/>
    <x v="0"/>
    <x v="6"/>
    <d v="2012-12-04T00:00:00"/>
    <s v="04-Dec-2012"/>
  </r>
  <r>
    <n v="30407"/>
    <d v="2009-04-17T00:00:00"/>
    <s v="Low"/>
    <s v="17-Apr-2009"/>
    <n v="41"/>
    <n v="17853.64"/>
    <n v="0.02"/>
    <s v="Regular Air"/>
    <n v="6227.33"/>
    <n v="419.19"/>
    <n v="19.989999999999998"/>
    <s v="Patrick Ryan"/>
    <s v="Saskachewan"/>
    <x v="4"/>
    <s v="Corporate"/>
    <s v="Office Supplies"/>
    <x v="4"/>
    <x v="15"/>
    <d v="2009-04-17T00:00:00"/>
    <s v="17-Apr-2009"/>
  </r>
  <r>
    <n v="47942"/>
    <d v="2010-02-27T00:00:00"/>
    <s v="Medium"/>
    <s v="27-Feb-2010"/>
    <n v="30"/>
    <n v="17034.919999999998"/>
    <n v="0.09"/>
    <s v="Regular Air"/>
    <n v="5916.34"/>
    <n v="599.99"/>
    <n v="24.49"/>
    <s v="Harold Dahlen"/>
    <s v="Saskachewan"/>
    <x v="4"/>
    <s v="Corporate"/>
    <s v="Technology"/>
    <x v="6"/>
    <x v="7"/>
    <d v="2010-03-01T00:00:00"/>
    <s v="01-Mar-2010"/>
  </r>
  <r>
    <n v="20037"/>
    <d v="2009-01-10T00:00:00"/>
    <s v="Low"/>
    <s v="10-Jan-2009"/>
    <n v="49"/>
    <n v="15137.11"/>
    <n v="0.03"/>
    <s v="Delivery Truck"/>
    <n v="4913.16"/>
    <n v="297.64"/>
    <n v="14.7"/>
    <s v="Michelle Moray"/>
    <s v="Saskachewan"/>
    <x v="4"/>
    <s v="Corporate"/>
    <s v="Technology"/>
    <x v="0"/>
    <x v="6"/>
    <d v="2009-01-15T00:00:00"/>
    <s v="15-Jan-2009"/>
  </r>
  <r>
    <n v="27265"/>
    <d v="2012-05-06T00:00:00"/>
    <s v="Critical"/>
    <s v="06-May-2012"/>
    <n v="49"/>
    <n v="14981.74"/>
    <n v="0.02"/>
    <s v="Regular Air"/>
    <n v="-1791.5"/>
    <n v="299.99"/>
    <n v="11.64"/>
    <s v="Christina Anderson"/>
    <s v="Saskachewan"/>
    <x v="4"/>
    <s v="Corporate"/>
    <s v="Technology"/>
    <x v="6"/>
    <x v="31"/>
    <d v="2012-05-06T00:00:00"/>
    <s v="06-May-2012"/>
  </r>
  <r>
    <n v="53378"/>
    <d v="2012-07-13T00:00:00"/>
    <s v="Medium"/>
    <s v="13-Jul-2012"/>
    <n v="50"/>
    <n v="13934.53"/>
    <n v="0.1"/>
    <s v="Express Air"/>
    <n v="4352.83"/>
    <n v="299.99"/>
    <n v="11.64"/>
    <s v="Mitch Willingham"/>
    <s v="Saskachewan"/>
    <x v="4"/>
    <s v="Corporate"/>
    <s v="Technology"/>
    <x v="6"/>
    <x v="31"/>
    <d v="2012-07-14T00:00:00"/>
    <s v="14-Jul-2012"/>
  </r>
  <r>
    <n v="59776"/>
    <d v="2009-03-09T00:00:00"/>
    <s v="Low"/>
    <s v="09-Mar-2009"/>
    <n v="33"/>
    <n v="12215.43"/>
    <n v="7.0000000000000007E-2"/>
    <s v="Delivery Truck"/>
    <n v="5255.45"/>
    <n v="400.97"/>
    <n v="48.26"/>
    <s v="Maxwell Schwartz"/>
    <s v="Saskachewan"/>
    <x v="4"/>
    <s v="Corporate"/>
    <s v="Technology"/>
    <x v="0"/>
    <x v="10"/>
    <d v="2009-03-13T00:00:00"/>
    <s v="13-Mar-2009"/>
  </r>
  <r>
    <n v="14978"/>
    <d v="2010-05-27T00:00:00"/>
    <s v="Critical"/>
    <s v="27-May-2010"/>
    <n v="14"/>
    <n v="12043.88"/>
    <n v="7.0000000000000007E-2"/>
    <s v="Delivery Truck"/>
    <n v="2011.31"/>
    <n v="880.98"/>
    <n v="44.55"/>
    <s v="Randy Bradley"/>
    <s v="Saskachewan"/>
    <x v="4"/>
    <s v="Corporate"/>
    <s v="Furniture"/>
    <x v="8"/>
    <x v="44"/>
    <d v="2010-05-28T00:00:00"/>
    <s v="28-May-2010"/>
  </r>
  <r>
    <n v="42342"/>
    <d v="2009-09-04T00:00:00"/>
    <s v="Not Specified"/>
    <s v="04-Sep-2009"/>
    <n v="43"/>
    <n v="9501.6239999999998"/>
    <n v="7.0000000000000007E-2"/>
    <s v="Delivery Truck"/>
    <n v="-686.45"/>
    <n v="286.85000000000002"/>
    <n v="61.76"/>
    <s v="Bill Eplett"/>
    <s v="Saskachewan"/>
    <x v="4"/>
    <s v="Corporate"/>
    <s v="Furniture"/>
    <x v="3"/>
    <x v="8"/>
    <d v="2009-09-06T00:00:00"/>
    <s v="06-Sep-2009"/>
  </r>
  <r>
    <n v="6560"/>
    <d v="2011-01-04T00:00:00"/>
    <s v="Low"/>
    <s v="04-Jan-2011"/>
    <n v="37"/>
    <n v="8252.3919999999998"/>
    <n v="0.04"/>
    <s v="Delivery Truck"/>
    <n v="1853.19"/>
    <n v="280.98"/>
    <n v="35.67"/>
    <s v="Max Ludwig"/>
    <s v="Saskachewan"/>
    <x v="4"/>
    <s v="Corporate"/>
    <s v="Furniture"/>
    <x v="3"/>
    <x v="32"/>
    <d v="2011-01-09T00:00:00"/>
    <s v="09-Jan-2011"/>
  </r>
  <r>
    <n v="33731"/>
    <d v="2012-10-08T00:00:00"/>
    <s v="High"/>
    <s v="08-Oct-2012"/>
    <n v="27"/>
    <n v="8213.3700000000008"/>
    <n v="0.02"/>
    <s v="Delivery Truck"/>
    <n v="1148.8800000000001"/>
    <n v="284.98"/>
    <n v="69.55"/>
    <s v="Jonathan Doherty"/>
    <s v="Saskachewan"/>
    <x v="4"/>
    <s v="Corporate"/>
    <s v="Furniture"/>
    <x v="2"/>
    <x v="18"/>
    <d v="2012-10-09T00:00:00"/>
    <s v="09-Oct-2012"/>
  </r>
  <r>
    <n v="25314"/>
    <d v="2012-02-24T00:00:00"/>
    <s v="High"/>
    <s v="24-Feb-2012"/>
    <n v="43"/>
    <n v="7679.5119999999997"/>
    <n v="0"/>
    <s v="Regular Air"/>
    <n v="2307.42"/>
    <n v="205.99"/>
    <n v="5"/>
    <s v="Nick Crebassa"/>
    <s v="Saskachewan"/>
    <x v="4"/>
    <s v="Corporate"/>
    <s v="Technology"/>
    <x v="10"/>
    <x v="14"/>
    <d v="2012-02-26T00:00:00"/>
    <s v="26-Feb-2012"/>
  </r>
  <r>
    <n v="48868"/>
    <d v="2012-06-13T00:00:00"/>
    <s v="Not Specified"/>
    <s v="13-Jun-2012"/>
    <n v="47"/>
    <n v="7647.97"/>
    <n v="0.05"/>
    <s v="Express Air"/>
    <n v="-1014.01"/>
    <n v="167.27"/>
    <n v="35"/>
    <s v="Paul Stevenson"/>
    <s v="Saskachewan"/>
    <x v="4"/>
    <s v="Corporate"/>
    <s v="Office Supplies"/>
    <x v="4"/>
    <x v="42"/>
    <d v="2012-06-15T00:00:00"/>
    <s v="15-Jun-2012"/>
  </r>
  <r>
    <n v="7776"/>
    <d v="2009-03-14T00:00:00"/>
    <s v="Medium"/>
    <s v="14-Mar-2009"/>
    <n v="36"/>
    <n v="7223.59"/>
    <n v="7.0000000000000007E-2"/>
    <s v="Delivery Truck"/>
    <n v="1769.81"/>
    <n v="200.98"/>
    <n v="23.76"/>
    <s v="Michelle Moray"/>
    <s v="Saskachewan"/>
    <x v="4"/>
    <s v="Corporate"/>
    <s v="Furniture"/>
    <x v="2"/>
    <x v="15"/>
    <d v="2009-03-15T00:00:00"/>
    <s v="15-Mar-2009"/>
  </r>
  <r>
    <n v="28512"/>
    <d v="2010-04-27T00:00:00"/>
    <s v="Medium"/>
    <s v="27-Apr-2010"/>
    <n v="18"/>
    <n v="7168.15"/>
    <n v="0.05"/>
    <s v="Regular Air"/>
    <n v="1593.61"/>
    <n v="419.19"/>
    <n v="19.989999999999998"/>
    <s v="Lindsay Castell"/>
    <s v="Saskachewan"/>
    <x v="4"/>
    <s v="Corporate"/>
    <s v="Office Supplies"/>
    <x v="4"/>
    <x v="15"/>
    <d v="2010-04-29T00:00:00"/>
    <s v="29-Apr-2010"/>
  </r>
  <r>
    <n v="32675"/>
    <d v="2009-11-03T00:00:00"/>
    <s v="High"/>
    <s v="03-Nov-2009"/>
    <n v="20"/>
    <n v="6865.19"/>
    <n v="0.09"/>
    <s v="Delivery Truck"/>
    <n v="1541.68"/>
    <n v="349.45"/>
    <n v="60"/>
    <s v="Jonathan Doherty"/>
    <s v="Saskachewan"/>
    <x v="4"/>
    <s v="Corporate"/>
    <s v="Furniture"/>
    <x v="3"/>
    <x v="49"/>
    <d v="2009-11-04T00:00:00"/>
    <s v="04-Nov-2009"/>
  </r>
  <r>
    <n v="48868"/>
    <d v="2012-06-13T00:00:00"/>
    <s v="Not Specified"/>
    <s v="13-Jun-2012"/>
    <n v="43"/>
    <n v="6861.8545000000004"/>
    <n v="7.0000000000000007E-2"/>
    <s v="Regular Air"/>
    <n v="1754.08"/>
    <n v="195.99"/>
    <n v="3.99"/>
    <s v="Paul Stevenson"/>
    <s v="Saskachewan"/>
    <x v="4"/>
    <s v="Corporate"/>
    <s v="Technology"/>
    <x v="10"/>
    <x v="14"/>
    <d v="2012-06-14T00:00:00"/>
    <s v="14-Jun-2012"/>
  </r>
  <r>
    <n v="23648"/>
    <d v="2012-09-24T00:00:00"/>
    <s v="Critical"/>
    <s v="24-Sep-2012"/>
    <n v="44"/>
    <n v="6768.16"/>
    <n v="0.03"/>
    <s v="Regular Air"/>
    <n v="907.49"/>
    <n v="152.47999999999999"/>
    <n v="6.5"/>
    <s v="Liz Carlisle"/>
    <s v="Saskachewan"/>
    <x v="4"/>
    <s v="Corporate"/>
    <s v="Technology"/>
    <x v="11"/>
    <x v="37"/>
    <d v="2012-09-25T00:00:00"/>
    <s v="25-Sep-2012"/>
  </r>
  <r>
    <n v="21382"/>
    <d v="2012-01-12T00:00:00"/>
    <s v="Critical"/>
    <s v="12-Jan-2012"/>
    <n v="21"/>
    <n v="6435.87"/>
    <n v="0.04"/>
    <s v="Delivery Truck"/>
    <n v="935.06"/>
    <n v="300.98"/>
    <n v="64.73"/>
    <s v="Andy Reiter"/>
    <s v="Saskachewan"/>
    <x v="4"/>
    <s v="Corporate"/>
    <s v="Furniture"/>
    <x v="2"/>
    <x v="0"/>
    <d v="2012-01-14T00:00:00"/>
    <s v="14-Jan-2012"/>
  </r>
  <r>
    <n v="2144"/>
    <d v="2009-03-28T00:00:00"/>
    <s v="Medium"/>
    <s v="28-Mar-2009"/>
    <n v="40"/>
    <n v="5945.3675000000003"/>
    <n v="0.08"/>
    <s v="Regular Air"/>
    <n v="1585.48"/>
    <n v="175.99"/>
    <n v="4.99"/>
    <s v="Jonathan Doherty"/>
    <s v="Saskachewan"/>
    <x v="4"/>
    <s v="Corporate"/>
    <s v="Technology"/>
    <x v="10"/>
    <x v="14"/>
    <d v="2009-03-28T00:00:00"/>
    <s v="28-Mar-2009"/>
  </r>
  <r>
    <n v="1666"/>
    <d v="2011-10-17T00:00:00"/>
    <s v="Critical"/>
    <s v="17-Oct-2011"/>
    <n v="19"/>
    <n v="5642.18"/>
    <n v="0.09"/>
    <s v="Express Air"/>
    <n v="1996.68"/>
    <n v="315.98"/>
    <n v="19.989999999999998"/>
    <s v="Nona Balk"/>
    <s v="Saskachewan"/>
    <x v="4"/>
    <s v="Corporate"/>
    <s v="Office Supplies"/>
    <x v="1"/>
    <x v="1"/>
    <d v="2011-10-19T00:00:00"/>
    <s v="19-Oct-2011"/>
  </r>
  <r>
    <n v="27265"/>
    <d v="2012-05-06T00:00:00"/>
    <s v="Critical"/>
    <s v="06-May-2012"/>
    <n v="36"/>
    <n v="5587.2"/>
    <n v="0.05"/>
    <s v="Express Air"/>
    <n v="2254.16"/>
    <n v="162.93"/>
    <n v="19.989999999999998"/>
    <s v="Christina Anderson"/>
    <s v="Saskachewan"/>
    <x v="4"/>
    <s v="Corporate"/>
    <s v="Office Supplies"/>
    <x v="15"/>
    <x v="4"/>
    <d v="2012-05-07T00:00:00"/>
    <s v="07-May-2012"/>
  </r>
  <r>
    <n v="47015"/>
    <d v="2011-02-13T00:00:00"/>
    <s v="Not Specified"/>
    <s v="13-Feb-2011"/>
    <n v="19"/>
    <n v="5441.06"/>
    <n v="0.06"/>
    <s v="Delivery Truck"/>
    <n v="-557.20000000000005"/>
    <n v="286.85000000000002"/>
    <n v="61.76"/>
    <s v="Jeremy Lonsdale"/>
    <s v="Saskachewan"/>
    <x v="4"/>
    <s v="Corporate"/>
    <s v="Furniture"/>
    <x v="3"/>
    <x v="8"/>
    <d v="2011-02-14T00:00:00"/>
    <s v="14-Feb-2011"/>
  </r>
  <r>
    <n v="43045"/>
    <d v="2012-06-14T00:00:00"/>
    <s v="Medium"/>
    <s v="14-Jun-2012"/>
    <n v="47"/>
    <n v="5301.2"/>
    <n v="0.01"/>
    <s v="Regular Air"/>
    <n v="1126.72"/>
    <n v="105.29"/>
    <n v="10.119999999999999"/>
    <s v="Neil Knudson"/>
    <s v="Saskachewan"/>
    <x v="4"/>
    <s v="Corporate"/>
    <s v="Furniture"/>
    <x v="7"/>
    <x v="11"/>
    <d v="2012-06-16T00:00:00"/>
    <s v="16-Jun-2012"/>
  </r>
  <r>
    <n v="41766"/>
    <d v="2012-09-11T00:00:00"/>
    <s v="Critical"/>
    <s v="11-Sep-2012"/>
    <n v="10"/>
    <n v="5158.09"/>
    <n v="0.01"/>
    <s v="Delivery Truck"/>
    <n v="969.05"/>
    <n v="500.98"/>
    <n v="28.14"/>
    <s v="Stefania Perrino"/>
    <s v="Saskachewan"/>
    <x v="4"/>
    <s v="Corporate"/>
    <s v="Technology"/>
    <x v="0"/>
    <x v="1"/>
    <d v="2012-09-12T00:00:00"/>
    <s v="12-Sep-2012"/>
  </r>
  <r>
    <n v="6272"/>
    <d v="2010-02-27T00:00:00"/>
    <s v="High"/>
    <s v="27-Feb-2010"/>
    <n v="48"/>
    <n v="4965.384"/>
    <n v="0"/>
    <s v="Delivery Truck"/>
    <n v="-175.46"/>
    <n v="124.49"/>
    <n v="51.94"/>
    <s v="Randy Ferguson"/>
    <s v="Saskachewan"/>
    <x v="4"/>
    <s v="Corporate"/>
    <s v="Furniture"/>
    <x v="3"/>
    <x v="50"/>
    <d v="2010-03-01T00:00:00"/>
    <s v="01-Mar-2010"/>
  </r>
  <r>
    <n v="31106"/>
    <d v="2012-02-16T00:00:00"/>
    <s v="Low"/>
    <s v="16-Feb-2012"/>
    <n v="43"/>
    <n v="4697.0320000000002"/>
    <n v="0"/>
    <s v="Regular Air"/>
    <n v="1263.01"/>
    <n v="125.99"/>
    <n v="5.63"/>
    <s v="Nick Crebassa"/>
    <s v="Saskachewan"/>
    <x v="4"/>
    <s v="Corporate"/>
    <s v="Technology"/>
    <x v="10"/>
    <x v="18"/>
    <d v="2012-02-23T00:00:00"/>
    <s v="23-Feb-2012"/>
  </r>
  <r>
    <n v="19841"/>
    <d v="2010-12-26T00:00:00"/>
    <s v="Low"/>
    <s v="26-Dec-2010"/>
    <n v="43"/>
    <n v="4687.6734999999999"/>
    <n v="0.06"/>
    <s v="Express Air"/>
    <n v="1304.56"/>
    <n v="125.99"/>
    <n v="8.08"/>
    <s v="Tom Stivers"/>
    <s v="Saskachewan"/>
    <x v="4"/>
    <s v="Corporate"/>
    <s v="Technology"/>
    <x v="10"/>
    <x v="6"/>
    <d v="2011-01-14T00:00:00"/>
    <s v="14-Jan-2011"/>
  </r>
  <r>
    <n v="32455"/>
    <d v="2010-09-23T00:00:00"/>
    <s v="High"/>
    <s v="23-Sep-2010"/>
    <n v="43"/>
    <n v="4620.53"/>
    <n v="0"/>
    <s v="Regular Air"/>
    <n v="1025.23"/>
    <n v="99.99"/>
    <n v="19.989999999999998"/>
    <s v="Peter Fuller"/>
    <s v="Saskachewan"/>
    <x v="4"/>
    <s v="Corporate"/>
    <s v="Technology"/>
    <x v="11"/>
    <x v="24"/>
    <d v="2010-09-24T00:00:00"/>
    <s v="24-Sep-2010"/>
  </r>
  <r>
    <n v="6501"/>
    <d v="2012-01-13T00:00:00"/>
    <s v="High"/>
    <s v="13-Jan-2012"/>
    <n v="46"/>
    <n v="4617.3360000000002"/>
    <n v="0.09"/>
    <s v="Regular Air"/>
    <n v="978.35"/>
    <n v="125.99"/>
    <n v="7.69"/>
    <s v="Arianne Irving"/>
    <s v="Saskachewan"/>
    <x v="4"/>
    <s v="Corporate"/>
    <s v="Technology"/>
    <x v="10"/>
    <x v="15"/>
    <d v="2012-01-15T00:00:00"/>
    <s v="15-Jan-2012"/>
  </r>
  <r>
    <n v="25447"/>
    <d v="2012-05-23T00:00:00"/>
    <s v="Not Specified"/>
    <s v="23-May-2012"/>
    <n v="18"/>
    <n v="4428.5600000000004"/>
    <n v="0.03"/>
    <s v="Delivery Truck"/>
    <n v="213.62"/>
    <n v="296.18"/>
    <n v="54.12"/>
    <s v="Randy Ferguson"/>
    <s v="Saskachewan"/>
    <x v="4"/>
    <s v="Corporate"/>
    <s v="Furniture"/>
    <x v="3"/>
    <x v="40"/>
    <d v="2012-05-26T00:00:00"/>
    <s v="26-May-2012"/>
  </r>
  <r>
    <n v="35299"/>
    <d v="2012-08-10T00:00:00"/>
    <s v="Not Specified"/>
    <s v="10-Aug-2012"/>
    <n v="41"/>
    <n v="4359"/>
    <n v="0.02"/>
    <s v="Regular Air"/>
    <n v="907.67"/>
    <n v="99.99"/>
    <n v="19.989999999999998"/>
    <s v="Randy Bradley"/>
    <s v="Saskachewan"/>
    <x v="4"/>
    <s v="Corporate"/>
    <s v="Technology"/>
    <x v="11"/>
    <x v="24"/>
    <d v="2012-08-12T00:00:00"/>
    <s v="12-Aug-2012"/>
  </r>
  <r>
    <n v="56838"/>
    <d v="2011-07-29T00:00:00"/>
    <s v="Critical"/>
    <s v="29-Jul-2011"/>
    <n v="44"/>
    <n v="4326.2700000000004"/>
    <n v="0.09"/>
    <s v="Regular Air"/>
    <n v="1728.2"/>
    <n v="100.98"/>
    <n v="7.18"/>
    <s v="Roy Collins"/>
    <s v="Saskachewan"/>
    <x v="4"/>
    <s v="Corporate"/>
    <s v="Technology"/>
    <x v="11"/>
    <x v="27"/>
    <d v="2011-07-30T00:00:00"/>
    <s v="30-Jul-2011"/>
  </r>
  <r>
    <n v="38659"/>
    <d v="2010-03-30T00:00:00"/>
    <s v="Low"/>
    <s v="30-Mar-2010"/>
    <n v="32"/>
    <n v="4025.66"/>
    <n v="0.05"/>
    <s v="Delivery Truck"/>
    <n v="-395.12"/>
    <n v="124.49"/>
    <n v="51.94"/>
    <s v="Jonathan Doherty"/>
    <s v="Saskachewan"/>
    <x v="4"/>
    <s v="Corporate"/>
    <s v="Furniture"/>
    <x v="3"/>
    <x v="50"/>
    <d v="2010-04-06T00:00:00"/>
    <s v="06-Apr-2010"/>
  </r>
  <r>
    <n v="38659"/>
    <d v="2010-03-30T00:00:00"/>
    <s v="Low"/>
    <s v="30-Mar-2010"/>
    <n v="48"/>
    <n v="3982.42"/>
    <n v="0.04"/>
    <s v="Regular Air"/>
    <n v="1560.82"/>
    <n v="83.1"/>
    <n v="6.13"/>
    <s v="Jonathan Doherty"/>
    <s v="Saskachewan"/>
    <x v="4"/>
    <s v="Corporate"/>
    <s v="Technology"/>
    <x v="11"/>
    <x v="45"/>
    <d v="2010-04-03T00:00:00"/>
    <s v="03-Apr-2010"/>
  </r>
  <r>
    <n v="56032"/>
    <d v="2011-12-19T00:00:00"/>
    <s v="Not Specified"/>
    <s v="19-Dec-2011"/>
    <n v="25"/>
    <n v="3923.27"/>
    <n v="0.03"/>
    <s v="Delivery Truck"/>
    <n v="-85.86"/>
    <n v="159.31"/>
    <n v="60"/>
    <s v="Harold Dahlen"/>
    <s v="Saskachewan"/>
    <x v="4"/>
    <s v="Corporate"/>
    <s v="Furniture"/>
    <x v="3"/>
    <x v="20"/>
    <d v="2011-12-21T00:00:00"/>
    <s v="21-Dec-2011"/>
  </r>
  <r>
    <n v="1287"/>
    <d v="2009-07-04T00:00:00"/>
    <s v="High"/>
    <s v="04-Jul-2009"/>
    <n v="39"/>
    <n v="3908.65"/>
    <n v="0.06"/>
    <s v="Regular Air"/>
    <n v="480.57"/>
    <n v="105.29"/>
    <n v="10.119999999999999"/>
    <s v="Mitch Willingham"/>
    <s v="Saskachewan"/>
    <x v="4"/>
    <s v="Corporate"/>
    <s v="Furniture"/>
    <x v="7"/>
    <x v="11"/>
    <d v="2009-07-06T00:00:00"/>
    <s v="06-Jul-2009"/>
  </r>
  <r>
    <n v="2593"/>
    <d v="2010-09-03T00:00:00"/>
    <s v="High"/>
    <s v="03-Sep-2010"/>
    <n v="15"/>
    <n v="3841.72"/>
    <n v="0.03"/>
    <s v="Delivery Truck"/>
    <n v="691.13"/>
    <n v="243.98"/>
    <n v="43.32"/>
    <s v="John Dryer"/>
    <s v="Saskachewan"/>
    <x v="4"/>
    <s v="Corporate"/>
    <s v="Furniture"/>
    <x v="2"/>
    <x v="20"/>
    <d v="2010-09-04T00:00:00"/>
    <s v="04-Sep-2010"/>
  </r>
  <r>
    <n v="19974"/>
    <d v="2010-11-03T00:00:00"/>
    <s v="High"/>
    <s v="03-Nov-2010"/>
    <n v="14"/>
    <n v="3830.84"/>
    <n v="0.1"/>
    <s v="Delivery Truck"/>
    <n v="635.33000000000004"/>
    <n v="279.81"/>
    <n v="23.19"/>
    <s v="Rick Wilson"/>
    <s v="Saskachewan"/>
    <x v="4"/>
    <s v="Corporate"/>
    <s v="Office Supplies"/>
    <x v="5"/>
    <x v="14"/>
    <d v="2010-11-05T00:00:00"/>
    <s v="05-Nov-2010"/>
  </r>
  <r>
    <n v="59779"/>
    <d v="2009-05-17T00:00:00"/>
    <s v="Low"/>
    <s v="17-May-2009"/>
    <n v="30"/>
    <n v="3575.23"/>
    <n v="0.04"/>
    <s v="Delivery Truck"/>
    <n v="87.88"/>
    <n v="113.98"/>
    <n v="30"/>
    <s v="Stefania Perrino"/>
    <s v="Saskachewan"/>
    <x v="4"/>
    <s v="Corporate"/>
    <s v="Furniture"/>
    <x v="2"/>
    <x v="39"/>
    <d v="2009-05-24T00:00:00"/>
    <s v="24-May-2009"/>
  </r>
  <r>
    <n v="52419"/>
    <d v="2012-09-18T00:00:00"/>
    <s v="High"/>
    <s v="18-Sep-2012"/>
    <n v="32"/>
    <n v="3500.49"/>
    <n v="0.09"/>
    <s v="Regular Air"/>
    <n v="230.64"/>
    <n v="111.03"/>
    <n v="8.64"/>
    <s v="Chuck Magee"/>
    <s v="Saskachewan"/>
    <x v="4"/>
    <s v="Corporate"/>
    <s v="Office Supplies"/>
    <x v="4"/>
    <x v="8"/>
    <d v="2012-09-19T00:00:00"/>
    <s v="19-Sep-2012"/>
  </r>
  <r>
    <n v="43110"/>
    <d v="2011-02-06T00:00:00"/>
    <s v="High"/>
    <s v="06-Feb-2011"/>
    <n v="1"/>
    <n v="3457.99"/>
    <n v="0.05"/>
    <s v="Regular Air"/>
    <n v="-11861.46"/>
    <n v="3499.99"/>
    <n v="24.49"/>
    <s v="Maxwell Schwartz"/>
    <s v="Saskachewan"/>
    <x v="4"/>
    <s v="Corporate"/>
    <s v="Technology"/>
    <x v="6"/>
    <x v="7"/>
    <d v="2011-02-08T00:00:00"/>
    <s v="08-Feb-2011"/>
  </r>
  <r>
    <n v="59008"/>
    <d v="2010-09-29T00:00:00"/>
    <s v="Critical"/>
    <s v="29-Sep-2010"/>
    <n v="39"/>
    <n v="3451.85"/>
    <n v="0.05"/>
    <s v="Delivery Truck"/>
    <n v="1264.75"/>
    <n v="90.97"/>
    <n v="14"/>
    <s v="Lycoris Saunders"/>
    <s v="Saskachewan"/>
    <x v="4"/>
    <s v="Corporate"/>
    <s v="Technology"/>
    <x v="0"/>
    <x v="10"/>
    <d v="2010-09-29T00:00:00"/>
    <s v="29-Sep-2010"/>
  </r>
  <r>
    <n v="57767"/>
    <d v="2012-04-11T00:00:00"/>
    <s v="Critical"/>
    <s v="11-Apr-2012"/>
    <n v="34"/>
    <n v="3373.7094999999999"/>
    <n v="0.01"/>
    <s v="Regular Air"/>
    <n v="861.72"/>
    <n v="110.99"/>
    <n v="8.99"/>
    <s v="Liz Pelletier"/>
    <s v="Saskachewan"/>
    <x v="4"/>
    <s v="Corporate"/>
    <s v="Technology"/>
    <x v="10"/>
    <x v="6"/>
    <d v="2012-04-13T00:00:00"/>
    <s v="13-Apr-2012"/>
  </r>
  <r>
    <n v="12194"/>
    <d v="2011-03-01T00:00:00"/>
    <s v="Critical"/>
    <s v="01-Mar-2011"/>
    <n v="19"/>
    <n v="3355.154"/>
    <n v="0"/>
    <s v="Regular Air"/>
    <n v="658.5"/>
    <n v="195.99"/>
    <n v="3.99"/>
    <s v="Maxwell Schwartz"/>
    <s v="Saskachewan"/>
    <x v="4"/>
    <s v="Corporate"/>
    <s v="Technology"/>
    <x v="10"/>
    <x v="15"/>
    <d v="2011-03-02T00:00:00"/>
    <s v="02-Mar-2011"/>
  </r>
  <r>
    <n v="8007"/>
    <d v="2012-02-11T00:00:00"/>
    <s v="Low"/>
    <s v="11-Feb-2012"/>
    <n v="35"/>
    <n v="3332.06"/>
    <n v="0.09"/>
    <s v="Regular Air"/>
    <n v="412.63"/>
    <n v="99.99"/>
    <n v="19.989999999999998"/>
    <s v="Maya Herman"/>
    <s v="Saskachewan"/>
    <x v="4"/>
    <s v="Corporate"/>
    <s v="Technology"/>
    <x v="0"/>
    <x v="24"/>
    <d v="2012-02-11T00:00:00"/>
    <s v="11-Feb-2012"/>
  </r>
  <r>
    <n v="25926"/>
    <d v="2009-11-20T00:00:00"/>
    <s v="High"/>
    <s v="20-Nov-2009"/>
    <n v="20"/>
    <n v="3300.2159999999999"/>
    <n v="0.1"/>
    <s v="Delivery Truck"/>
    <n v="-855.03"/>
    <n v="218.75"/>
    <n v="69.64"/>
    <s v="Michelle Moray"/>
    <s v="Saskachewan"/>
    <x v="4"/>
    <s v="Corporate"/>
    <s v="Furniture"/>
    <x v="3"/>
    <x v="36"/>
    <d v="2009-11-21T00:00:00"/>
    <s v="21-Nov-2009"/>
  </r>
  <r>
    <n v="6272"/>
    <d v="2010-02-27T00:00:00"/>
    <s v="High"/>
    <s v="27-Feb-2010"/>
    <n v="31"/>
    <n v="3232.68"/>
    <n v="0.03"/>
    <s v="Regular Air"/>
    <n v="875.45"/>
    <n v="105.98"/>
    <n v="13.99"/>
    <s v="Randy Ferguson"/>
    <s v="Saskachewan"/>
    <x v="4"/>
    <s v="Corporate"/>
    <s v="Furniture"/>
    <x v="7"/>
    <x v="38"/>
    <d v="2010-03-01T00:00:00"/>
    <s v="01-Mar-2010"/>
  </r>
  <r>
    <n v="36676"/>
    <d v="2011-08-25T00:00:00"/>
    <s v="Not Specified"/>
    <s v="25-Aug-2011"/>
    <n v="32"/>
    <n v="3046.01"/>
    <n v="0.08"/>
    <s v="Delivery Truck"/>
    <n v="998.65"/>
    <n v="100.97"/>
    <n v="14"/>
    <s v="Mitch Willingham"/>
    <s v="Saskachewan"/>
    <x v="4"/>
    <s v="Corporate"/>
    <s v="Technology"/>
    <x v="0"/>
    <x v="7"/>
    <d v="2011-08-27T00:00:00"/>
    <s v="27-Aug-2011"/>
  </r>
  <r>
    <n v="4674"/>
    <d v="2009-04-18T00:00:00"/>
    <s v="Critical"/>
    <s v="18-Apr-2009"/>
    <n v="23"/>
    <n v="3041.33"/>
    <n v="0.02"/>
    <s v="Delivery Truck"/>
    <n v="-260.41000000000003"/>
    <n v="130.97999999999999"/>
    <n v="30"/>
    <s v="Christina Anderson"/>
    <s v="Saskachewan"/>
    <x v="4"/>
    <s v="Corporate"/>
    <s v="Furniture"/>
    <x v="2"/>
    <x v="8"/>
    <d v="2009-04-19T00:00:00"/>
    <s v="19-Apr-2009"/>
  </r>
  <r>
    <n v="4583"/>
    <d v="2009-09-24T00:00:00"/>
    <s v="Medium"/>
    <s v="24-Sep-2009"/>
    <n v="44"/>
    <n v="3021.64"/>
    <n v="7.0000000000000007E-2"/>
    <s v="Delivery Truck"/>
    <n v="-720.2"/>
    <n v="70.98"/>
    <n v="30"/>
    <s v="Maxwell Schwartz"/>
    <s v="Saskachewan"/>
    <x v="4"/>
    <s v="Corporate"/>
    <s v="Furniture"/>
    <x v="2"/>
    <x v="33"/>
    <d v="2009-09-26T00:00:00"/>
    <s v="26-Sep-2009"/>
  </r>
  <r>
    <n v="34402"/>
    <d v="2010-05-02T00:00:00"/>
    <s v="High"/>
    <s v="02-May-2010"/>
    <n v="38"/>
    <n v="3016.85"/>
    <n v="0.05"/>
    <s v="Regular Air"/>
    <n v="-967.67"/>
    <n v="80.98"/>
    <n v="35"/>
    <s v="Mitch Willingham"/>
    <s v="Saskachewan"/>
    <x v="4"/>
    <s v="Corporate"/>
    <s v="Office Supplies"/>
    <x v="4"/>
    <x v="43"/>
    <d v="2010-05-04T00:00:00"/>
    <s v="04-May-2010"/>
  </r>
  <r>
    <n v="16128"/>
    <d v="2011-05-08T00:00:00"/>
    <s v="High"/>
    <s v="08-May-2011"/>
    <n v="46"/>
    <n v="2968.66"/>
    <n v="7.0000000000000007E-2"/>
    <s v="Regular Air"/>
    <n v="1077.49"/>
    <n v="63.94"/>
    <n v="14.48"/>
    <s v="Michael Grace"/>
    <s v="Saskachewan"/>
    <x v="4"/>
    <s v="Corporate"/>
    <s v="Furniture"/>
    <x v="7"/>
    <x v="29"/>
    <d v="2011-05-08T00:00:00"/>
    <s v="08-May-2011"/>
  </r>
  <r>
    <n v="56032"/>
    <d v="2011-12-19T00:00:00"/>
    <s v="Not Specified"/>
    <s v="19-Dec-2011"/>
    <n v="31"/>
    <n v="2893.31"/>
    <n v="0.1"/>
    <s v="Regular Air"/>
    <n v="937.64"/>
    <n v="96.45"/>
    <n v="13.99"/>
    <s v="Harold Dahlen"/>
    <s v="Saskachewan"/>
    <x v="4"/>
    <s v="Corporate"/>
    <s v="Technology"/>
    <x v="0"/>
    <x v="1"/>
    <d v="2011-12-19T00:00:00"/>
    <s v="19-Dec-2011"/>
  </r>
  <r>
    <n v="7941"/>
    <d v="2012-03-23T00:00:00"/>
    <s v="Low"/>
    <s v="23-Mar-2012"/>
    <n v="50"/>
    <n v="2796.67"/>
    <n v="0.01"/>
    <s v="Regular Air"/>
    <n v="801.04"/>
    <n v="55.29"/>
    <n v="5.08"/>
    <s v="Neil Knudson"/>
    <s v="Saskachewan"/>
    <x v="4"/>
    <s v="Corporate"/>
    <s v="Office Supplies"/>
    <x v="4"/>
    <x v="14"/>
    <d v="2012-03-30T00:00:00"/>
    <s v="30-Mar-2012"/>
  </r>
  <r>
    <n v="42979"/>
    <d v="2011-05-01T00:00:00"/>
    <s v="Not Specified"/>
    <s v="01-May-2011"/>
    <n v="29"/>
    <n v="2770.79"/>
    <n v="0.02"/>
    <s v="Delivery Truck"/>
    <n v="109.39"/>
    <n v="90.98"/>
    <n v="30"/>
    <s v="Maxwell Schwartz"/>
    <s v="Saskachewan"/>
    <x v="4"/>
    <s v="Corporate"/>
    <s v="Furniture"/>
    <x v="2"/>
    <x v="9"/>
    <d v="2011-05-03T00:00:00"/>
    <s v="03-May-2011"/>
  </r>
  <r>
    <n v="36708"/>
    <d v="2011-09-19T00:00:00"/>
    <s v="Not Specified"/>
    <s v="19-Sep-2011"/>
    <n v="25"/>
    <n v="2614.3705"/>
    <n v="7.0000000000000007E-2"/>
    <s v="Regular Air"/>
    <n v="384.01"/>
    <n v="125.99"/>
    <n v="7.69"/>
    <s v="William Brown"/>
    <s v="Saskachewan"/>
    <x v="4"/>
    <s v="Corporate"/>
    <s v="Technology"/>
    <x v="10"/>
    <x v="15"/>
    <d v="2011-09-21T00:00:00"/>
    <s v="21-Sep-2011"/>
  </r>
  <r>
    <n v="56516"/>
    <d v="2009-08-03T00:00:00"/>
    <s v="Medium"/>
    <s v="03-Aug-2009"/>
    <n v="24"/>
    <n v="2560.9395"/>
    <n v="0.06"/>
    <s v="Regular Air"/>
    <n v="457.79"/>
    <n v="125.99"/>
    <n v="2.5"/>
    <s v="Stefania Perrino"/>
    <s v="Saskachewan"/>
    <x v="4"/>
    <s v="Corporate"/>
    <s v="Technology"/>
    <x v="10"/>
    <x v="18"/>
    <d v="2009-08-05T00:00:00"/>
    <s v="05-Aug-2009"/>
  </r>
  <r>
    <n v="32484"/>
    <d v="2011-02-04T00:00:00"/>
    <s v="Not Specified"/>
    <s v="04-Feb-2011"/>
    <n v="9"/>
    <n v="2502.67"/>
    <n v="0.1"/>
    <s v="Delivery Truck"/>
    <n v="-198.8"/>
    <n v="300.98"/>
    <n v="64.73"/>
    <s v="William Brown"/>
    <s v="Saskachewan"/>
    <x v="4"/>
    <s v="Corporate"/>
    <s v="Furniture"/>
    <x v="2"/>
    <x v="0"/>
    <d v="2011-02-05T00:00:00"/>
    <s v="05-Feb-2011"/>
  </r>
  <r>
    <n v="53378"/>
    <d v="2012-07-13T00:00:00"/>
    <s v="Medium"/>
    <s v="13-Jul-2012"/>
    <n v="49"/>
    <n v="2377.2800000000002"/>
    <n v="0.04"/>
    <s v="Regular Air"/>
    <n v="-5.79"/>
    <n v="55.99"/>
    <n v="5"/>
    <s v="Mitch Willingham"/>
    <s v="Saskachewan"/>
    <x v="4"/>
    <s v="Corporate"/>
    <s v="Technology"/>
    <x v="10"/>
    <x v="34"/>
    <d v="2012-07-14T00:00:00"/>
    <s v="14-Jul-2012"/>
  </r>
  <r>
    <n v="56103"/>
    <d v="2010-12-26T00:00:00"/>
    <s v="High"/>
    <s v="26-Dec-2010"/>
    <n v="24"/>
    <n v="2332.5954999999999"/>
    <n v="7.0000000000000007E-2"/>
    <s v="Regular Air"/>
    <n v="366.86"/>
    <n v="115.99"/>
    <n v="5.92"/>
    <s v="Saphhira Shifley"/>
    <s v="Saskachewan"/>
    <x v="4"/>
    <s v="Corporate"/>
    <s v="Technology"/>
    <x v="10"/>
    <x v="15"/>
    <d v="2010-12-28T00:00:00"/>
    <s v="28-Dec-2010"/>
  </r>
  <r>
    <n v="36709"/>
    <d v="2012-08-23T00:00:00"/>
    <s v="Critical"/>
    <s v="23-Aug-2012"/>
    <n v="42"/>
    <n v="2245.6914999999999"/>
    <n v="0.05"/>
    <s v="Regular Air"/>
    <n v="369.08"/>
    <n v="65.989999999999995"/>
    <n v="8.99"/>
    <s v="Jennifer Ferguson"/>
    <s v="Saskachewan"/>
    <x v="4"/>
    <s v="Corporate"/>
    <s v="Technology"/>
    <x v="10"/>
    <x v="20"/>
    <d v="2012-08-25T00:00:00"/>
    <s v="25-Aug-2012"/>
  </r>
  <r>
    <n v="58308"/>
    <d v="2010-05-21T00:00:00"/>
    <s v="Not Specified"/>
    <s v="21-May-2010"/>
    <n v="35"/>
    <n v="2173.2600000000002"/>
    <n v="0"/>
    <s v="Delivery Truck"/>
    <n v="-465.66"/>
    <n v="58.14"/>
    <n v="36.61"/>
    <s v="William Brown"/>
    <s v="Saskachewan"/>
    <x v="4"/>
    <s v="Corporate"/>
    <s v="Furniture"/>
    <x v="8"/>
    <x v="9"/>
    <d v="2010-05-21T00:00:00"/>
    <s v="21-May-2010"/>
  </r>
  <r>
    <n v="28742"/>
    <d v="2012-04-29T00:00:00"/>
    <s v="Low"/>
    <s v="29-Apr-2012"/>
    <n v="7"/>
    <n v="2171.4639999999999"/>
    <n v="0.04"/>
    <s v="Delivery Truck"/>
    <n v="-209.56"/>
    <n v="376.13"/>
    <n v="85.63"/>
    <s v="Rick Hansen"/>
    <s v="Saskachewan"/>
    <x v="4"/>
    <s v="Corporate"/>
    <s v="Furniture"/>
    <x v="3"/>
    <x v="37"/>
    <d v="2012-05-06T00:00:00"/>
    <s v="06-May-2012"/>
  </r>
  <r>
    <n v="28867"/>
    <d v="2011-07-22T00:00:00"/>
    <s v="Medium"/>
    <s v="22-Jul-2011"/>
    <n v="26"/>
    <n v="2169.7525000000001"/>
    <n v="0.02"/>
    <s v="Regular Air"/>
    <n v="374.75"/>
    <n v="95.99"/>
    <n v="8.99"/>
    <s v="Maxwell Schwartz"/>
    <s v="Saskachewan"/>
    <x v="4"/>
    <s v="Corporate"/>
    <s v="Technology"/>
    <x v="10"/>
    <x v="6"/>
    <d v="2011-07-24T00:00:00"/>
    <s v="24-Jul-2011"/>
  </r>
  <r>
    <n v="2086"/>
    <d v="2009-10-18T00:00:00"/>
    <s v="Critical"/>
    <s v="18-Oct-2009"/>
    <n v="38"/>
    <n v="2115.2420000000002"/>
    <n v="0.04"/>
    <s v="Regular Air"/>
    <n v="371.41"/>
    <n v="65.989999999999995"/>
    <n v="8.99"/>
    <s v="Brian Moss"/>
    <s v="Saskachewan"/>
    <x v="4"/>
    <s v="Corporate"/>
    <s v="Technology"/>
    <x v="10"/>
    <x v="0"/>
    <d v="2009-10-19T00:00:00"/>
    <s v="19-Oct-2009"/>
  </r>
  <r>
    <n v="26693"/>
    <d v="2010-08-21T00:00:00"/>
    <s v="Medium"/>
    <s v="21-Aug-2010"/>
    <n v="44"/>
    <n v="2094.9780000000001"/>
    <n v="0.06"/>
    <s v="Express Air"/>
    <n v="697.29"/>
    <n v="55.99"/>
    <n v="1.25"/>
    <s v="William Brown"/>
    <s v="Saskachewan"/>
    <x v="4"/>
    <s v="Corporate"/>
    <s v="Technology"/>
    <x v="10"/>
    <x v="20"/>
    <d v="2010-08-23T00:00:00"/>
    <s v="23-Aug-2010"/>
  </r>
  <r>
    <n v="2593"/>
    <d v="2010-09-03T00:00:00"/>
    <s v="High"/>
    <s v="03-Sep-2010"/>
    <n v="5"/>
    <n v="2004.12"/>
    <n v="0.1"/>
    <s v="Express Air"/>
    <n v="276.68"/>
    <n v="420.98"/>
    <n v="19.989999999999998"/>
    <s v="John Dryer"/>
    <s v="Saskachewan"/>
    <x v="4"/>
    <s v="Corporate"/>
    <s v="Office Supplies"/>
    <x v="1"/>
    <x v="2"/>
    <d v="2010-09-05T00:00:00"/>
    <s v="05-Sep-2010"/>
  </r>
  <r>
    <n v="25953"/>
    <d v="2009-09-27T00:00:00"/>
    <s v="Critical"/>
    <s v="27-Sep-2009"/>
    <n v="19"/>
    <n v="1972.884"/>
    <n v="0.04"/>
    <s v="Regular Air"/>
    <n v="140.91"/>
    <n v="125.99"/>
    <n v="7.69"/>
    <s v="Liz Carlisle"/>
    <s v="Saskachewan"/>
    <x v="4"/>
    <s v="Corporate"/>
    <s v="Technology"/>
    <x v="10"/>
    <x v="15"/>
    <d v="2009-09-28T00:00:00"/>
    <s v="28-Sep-2009"/>
  </r>
  <r>
    <n v="49735"/>
    <d v="2009-09-23T00:00:00"/>
    <s v="Not Specified"/>
    <s v="23-Sep-2009"/>
    <n v="32"/>
    <n v="1929.19"/>
    <n v="0.04"/>
    <s v="Regular Air"/>
    <n v="570.66999999999996"/>
    <n v="60.97"/>
    <n v="4.5"/>
    <s v="Mitch Willingham"/>
    <s v="Saskachewan"/>
    <x v="4"/>
    <s v="Corporate"/>
    <s v="Office Supplies"/>
    <x v="5"/>
    <x v="0"/>
    <d v="2009-09-24T00:00:00"/>
    <s v="24-Sep-2009"/>
  </r>
  <r>
    <n v="45959"/>
    <d v="2009-12-06T00:00:00"/>
    <s v="Medium"/>
    <s v="06-Dec-2009"/>
    <n v="35"/>
    <n v="1822.13"/>
    <n v="0"/>
    <s v="Regular Air"/>
    <n v="155.16999999999999"/>
    <n v="49.99"/>
    <n v="19.989999999999998"/>
    <s v="Roy Collins"/>
    <s v="Saskachewan"/>
    <x v="4"/>
    <s v="Corporate"/>
    <s v="Technology"/>
    <x v="11"/>
    <x v="25"/>
    <d v="2009-12-08T00:00:00"/>
    <s v="08-Dec-2009"/>
  </r>
  <r>
    <n v="30565"/>
    <d v="2011-07-26T00:00:00"/>
    <s v="Medium"/>
    <s v="26-Jul-2011"/>
    <n v="32"/>
    <n v="1785.02"/>
    <n v="0.04"/>
    <s v="Express Air"/>
    <n v="52.66"/>
    <n v="55.94"/>
    <n v="4"/>
    <s v="Roy Collins"/>
    <s v="Saskachewan"/>
    <x v="4"/>
    <s v="Corporate"/>
    <s v="Technology"/>
    <x v="11"/>
    <x v="37"/>
    <d v="2011-07-28T00:00:00"/>
    <s v="28-Jul-2011"/>
  </r>
  <r>
    <n v="36224"/>
    <d v="2009-05-03T00:00:00"/>
    <s v="Medium"/>
    <s v="03-May-2009"/>
    <n v="15"/>
    <n v="1765.45"/>
    <n v="0.09"/>
    <s v="Express Air"/>
    <n v="374.82"/>
    <n v="120.98"/>
    <n v="3.99"/>
    <s v="Robert Dilbeck"/>
    <s v="Saskachewan"/>
    <x v="4"/>
    <s v="Corporate"/>
    <s v="Office Supplies"/>
    <x v="5"/>
    <x v="18"/>
    <d v="2009-05-05T00:00:00"/>
    <s v="05-May-2009"/>
  </r>
  <r>
    <n v="43650"/>
    <d v="2009-03-23T00:00:00"/>
    <s v="Not Specified"/>
    <s v="23-Mar-2009"/>
    <n v="3"/>
    <n v="1759.65"/>
    <n v="0.06"/>
    <s v="Regular Air"/>
    <n v="-2213.75"/>
    <n v="599.99"/>
    <n v="24.49"/>
    <s v="William Brown"/>
    <s v="Saskachewan"/>
    <x v="4"/>
    <s v="Corporate"/>
    <s v="Technology"/>
    <x v="6"/>
    <x v="31"/>
    <d v="2009-03-24T00:00:00"/>
    <s v="24-Mar-2009"/>
  </r>
  <r>
    <n v="6112"/>
    <d v="2009-08-23T00:00:00"/>
    <s v="Medium"/>
    <s v="23-Aug-2009"/>
    <n v="31"/>
    <n v="1753.9580000000001"/>
    <n v="0.06"/>
    <s v="Regular Air"/>
    <n v="382.39"/>
    <n v="65.989999999999995"/>
    <n v="5.92"/>
    <s v="Arianne Irving"/>
    <s v="Saskachewan"/>
    <x v="4"/>
    <s v="Corporate"/>
    <s v="Technology"/>
    <x v="10"/>
    <x v="20"/>
    <d v="2009-08-24T00:00:00"/>
    <s v="24-Aug-2009"/>
  </r>
  <r>
    <n v="5254"/>
    <d v="2012-07-25T00:00:00"/>
    <s v="Not Specified"/>
    <s v="25-Jul-2012"/>
    <n v="31"/>
    <n v="1735.3515"/>
    <n v="0.08"/>
    <s v="Regular Air"/>
    <n v="258.62"/>
    <n v="65.989999999999995"/>
    <n v="8.99"/>
    <s v="William Brown"/>
    <s v="Saskachewan"/>
    <x v="4"/>
    <s v="Corporate"/>
    <s v="Technology"/>
    <x v="10"/>
    <x v="0"/>
    <d v="2012-07-27T00:00:00"/>
    <s v="27-Jul-2012"/>
  </r>
  <r>
    <n v="44805"/>
    <d v="2012-09-14T00:00:00"/>
    <s v="High"/>
    <s v="14-Sep-2012"/>
    <n v="40"/>
    <n v="1710.65"/>
    <n v="0.01"/>
    <s v="Regular Air"/>
    <n v="782.01"/>
    <n v="41.94"/>
    <n v="2.99"/>
    <s v="Jonathan Doherty"/>
    <s v="Saskachewan"/>
    <x v="4"/>
    <s v="Corporate"/>
    <s v="Office Supplies"/>
    <x v="1"/>
    <x v="2"/>
    <d v="2012-09-15T00:00:00"/>
    <s v="15-Sep-2012"/>
  </r>
  <r>
    <n v="43493"/>
    <d v="2012-05-10T00:00:00"/>
    <s v="High"/>
    <s v="10-May-2012"/>
    <n v="37"/>
    <n v="1699.9829999999999"/>
    <n v="0.1"/>
    <s v="Regular Air"/>
    <n v="-202.86"/>
    <n v="55.99"/>
    <n v="5"/>
    <s v="Nick Crebassa"/>
    <s v="Saskachewan"/>
    <x v="4"/>
    <s v="Corporate"/>
    <s v="Technology"/>
    <x v="10"/>
    <x v="34"/>
    <d v="2012-05-13T00:00:00"/>
    <s v="13-May-2012"/>
  </r>
  <r>
    <n v="27141"/>
    <d v="2010-02-04T00:00:00"/>
    <s v="Not Specified"/>
    <s v="04-Feb-2010"/>
    <n v="28"/>
    <n v="1645.51"/>
    <n v="0.06"/>
    <s v="Regular Air"/>
    <n v="300.33999999999997"/>
    <n v="59.76"/>
    <n v="9.7100000000000009"/>
    <s v="Patrick Ryan"/>
    <s v="Saskachewan"/>
    <x v="4"/>
    <s v="Corporate"/>
    <s v="Office Supplies"/>
    <x v="4"/>
    <x v="6"/>
    <d v="2010-02-05T00:00:00"/>
    <s v="05-Feb-2010"/>
  </r>
  <r>
    <n v="51266"/>
    <d v="2009-03-25T00:00:00"/>
    <s v="Not Specified"/>
    <s v="25-Mar-2009"/>
    <n v="11"/>
    <n v="1610.29"/>
    <n v="0.04"/>
    <s v="Regular Air"/>
    <n v="221.38"/>
    <n v="150.97999999999999"/>
    <n v="13.99"/>
    <s v="Michael Grace"/>
    <s v="Saskachewan"/>
    <x v="4"/>
    <s v="Corporate"/>
    <s v="Technology"/>
    <x v="0"/>
    <x v="1"/>
    <d v="2009-03-27T00:00:00"/>
    <s v="27-Mar-2009"/>
  </r>
  <r>
    <n v="56423"/>
    <d v="2011-12-25T00:00:00"/>
    <s v="Not Specified"/>
    <s v="25-Dec-2011"/>
    <n v="4"/>
    <n v="1609.69"/>
    <n v="0.04"/>
    <s v="Regular Air"/>
    <n v="-281.17"/>
    <n v="419.19"/>
    <n v="19.989999999999998"/>
    <s v="Dennis Pardue"/>
    <s v="Saskachewan"/>
    <x v="4"/>
    <s v="Corporate"/>
    <s v="Office Supplies"/>
    <x v="4"/>
    <x v="15"/>
    <d v="2011-12-26T00:00:00"/>
    <s v="26-Dec-2011"/>
  </r>
  <r>
    <n v="58339"/>
    <d v="2009-06-13T00:00:00"/>
    <s v="High"/>
    <s v="13-Jun-2009"/>
    <n v="9"/>
    <n v="1608.87"/>
    <n v="7.0000000000000007E-2"/>
    <s v="Regular Air"/>
    <n v="346.98"/>
    <n v="177.98"/>
    <n v="0.99"/>
    <s v="Rick Hansen"/>
    <s v="Saskachewan"/>
    <x v="4"/>
    <s v="Corporate"/>
    <s v="Office Supplies"/>
    <x v="5"/>
    <x v="0"/>
    <d v="2009-06-13T00:00:00"/>
    <s v="13-Jun-2009"/>
  </r>
  <r>
    <n v="8034"/>
    <d v="2012-01-19T00:00:00"/>
    <s v="High"/>
    <s v="19-Jan-2012"/>
    <n v="36"/>
    <n v="1606.4"/>
    <n v="0.08"/>
    <s v="Delivery Truck"/>
    <n v="-1231.3499999999999"/>
    <n v="44.43"/>
    <n v="46.59"/>
    <s v="Dennis Pardue"/>
    <s v="Saskachewan"/>
    <x v="4"/>
    <s v="Corporate"/>
    <s v="Furniture"/>
    <x v="3"/>
    <x v="46"/>
    <d v="2012-01-21T00:00:00"/>
    <s v="21-Jan-2012"/>
  </r>
  <r>
    <n v="51266"/>
    <d v="2009-03-25T00:00:00"/>
    <s v="Not Specified"/>
    <s v="25-Mar-2009"/>
    <n v="46"/>
    <n v="1605.22"/>
    <n v="0.05"/>
    <s v="Express Air"/>
    <n v="230.03"/>
    <n v="34.99"/>
    <n v="7.73"/>
    <s v="Michael Grace"/>
    <s v="Saskachewan"/>
    <x v="4"/>
    <s v="Corporate"/>
    <s v="Office Supplies"/>
    <x v="13"/>
    <x v="14"/>
    <d v="2009-03-27T00:00:00"/>
    <s v="27-Mar-2009"/>
  </r>
  <r>
    <n v="6112"/>
    <d v="2009-08-23T00:00:00"/>
    <s v="Medium"/>
    <s v="23-Aug-2009"/>
    <n v="10"/>
    <n v="1597.37"/>
    <n v="0.02"/>
    <s v="Delivery Truck"/>
    <n v="-533.69000000000005"/>
    <n v="146.05000000000001"/>
    <n v="80.2"/>
    <s v="Arianne Irving"/>
    <s v="Saskachewan"/>
    <x v="4"/>
    <s v="Corporate"/>
    <s v="Furniture"/>
    <x v="3"/>
    <x v="35"/>
    <d v="2009-08-23T00:00:00"/>
    <s v="23-Aug-2009"/>
  </r>
  <r>
    <n v="24326"/>
    <d v="2011-09-29T00:00:00"/>
    <s v="Critical"/>
    <s v="29-Sep-2011"/>
    <n v="37"/>
    <n v="1596.86"/>
    <n v="0.05"/>
    <s v="Regular Air"/>
    <n v="418.6"/>
    <n v="44.01"/>
    <n v="3.5"/>
    <s v="Cindy Schnelling"/>
    <s v="Saskachewan"/>
    <x v="4"/>
    <s v="Corporate"/>
    <s v="Office Supplies"/>
    <x v="5"/>
    <x v="14"/>
    <d v="2011-10-01T00:00:00"/>
    <s v="01-Oct-2011"/>
  </r>
  <r>
    <n v="4772"/>
    <d v="2009-09-13T00:00:00"/>
    <s v="Critical"/>
    <s v="13-Sep-2009"/>
    <n v="28"/>
    <n v="1560.617"/>
    <n v="0.04"/>
    <s v="Regular Air"/>
    <n v="214.29"/>
    <n v="65.989999999999995"/>
    <n v="8.99"/>
    <s v="Neil Knudson"/>
    <s v="Saskachewan"/>
    <x v="4"/>
    <s v="Corporate"/>
    <s v="Technology"/>
    <x v="10"/>
    <x v="20"/>
    <d v="2009-09-14T00:00:00"/>
    <s v="14-Sep-2009"/>
  </r>
  <r>
    <n v="12711"/>
    <d v="2012-02-19T00:00:00"/>
    <s v="Critical"/>
    <s v="19-Feb-2012"/>
    <n v="32"/>
    <n v="1486.72"/>
    <n v="0"/>
    <s v="Regular Air"/>
    <n v="294.81"/>
    <n v="43.98"/>
    <n v="8.99"/>
    <s v="Sung Shariari"/>
    <s v="Saskachewan"/>
    <x v="4"/>
    <s v="Corporate"/>
    <s v="Office Supplies"/>
    <x v="13"/>
    <x v="15"/>
    <d v="2012-02-20T00:00:00"/>
    <s v="20-Feb-2012"/>
  </r>
  <r>
    <n v="47010"/>
    <d v="2011-10-03T00:00:00"/>
    <s v="Critical"/>
    <s v="03-Oct-2011"/>
    <n v="11"/>
    <n v="1479.14"/>
    <n v="0.06"/>
    <s v="Delivery Truck"/>
    <n v="-236.63"/>
    <n v="130.97999999999999"/>
    <n v="30"/>
    <s v="Robert Dilbeck"/>
    <s v="Saskachewan"/>
    <x v="4"/>
    <s v="Corporate"/>
    <s v="Furniture"/>
    <x v="2"/>
    <x v="8"/>
    <d v="2011-10-03T00:00:00"/>
    <s v="03-Oct-2011"/>
  </r>
  <r>
    <n v="2086"/>
    <d v="2009-10-18T00:00:00"/>
    <s v="Critical"/>
    <s v="18-Oct-2009"/>
    <n v="24"/>
    <n v="1411.58"/>
    <n v="0.01"/>
    <s v="Express Air"/>
    <n v="699.31"/>
    <n v="55.98"/>
    <n v="4.8600000000000003"/>
    <s v="Brian Moss"/>
    <s v="Saskachewan"/>
    <x v="4"/>
    <s v="Corporate"/>
    <s v="Office Supplies"/>
    <x v="12"/>
    <x v="10"/>
    <d v="2009-10-20T00:00:00"/>
    <s v="20-Oct-2009"/>
  </r>
  <r>
    <n v="13767"/>
    <d v="2010-08-26T00:00:00"/>
    <s v="High"/>
    <s v="26-Aug-2010"/>
    <n v="45"/>
    <n v="1403.741"/>
    <n v="0.01"/>
    <s v="Regular Air"/>
    <n v="622.25"/>
    <n v="35.99"/>
    <n v="3.3"/>
    <s v="Nona Balk"/>
    <s v="Saskachewan"/>
    <x v="4"/>
    <s v="Corporate"/>
    <s v="Technology"/>
    <x v="10"/>
    <x v="4"/>
    <d v="2010-08-28T00:00:00"/>
    <s v="28-Aug-2010"/>
  </r>
  <r>
    <n v="46981"/>
    <d v="2009-02-07T00:00:00"/>
    <s v="Medium"/>
    <s v="07-Feb-2009"/>
    <n v="46"/>
    <n v="1398.87"/>
    <n v="7.0000000000000007E-2"/>
    <s v="Regular Air"/>
    <n v="601.96"/>
    <n v="30.56"/>
    <n v="2.99"/>
    <s v="Robert Dilbeck"/>
    <s v="Saskachewan"/>
    <x v="4"/>
    <s v="Corporate"/>
    <s v="Office Supplies"/>
    <x v="1"/>
    <x v="2"/>
    <d v="2009-02-07T00:00:00"/>
    <s v="07-Feb-2009"/>
  </r>
  <r>
    <n v="58784"/>
    <d v="2009-01-18T00:00:00"/>
    <s v="Medium"/>
    <s v="18-Jan-2009"/>
    <n v="29"/>
    <n v="1379.1"/>
    <n v="0.06"/>
    <s v="Regular Air"/>
    <n v="573.79999999999995"/>
    <n v="48.91"/>
    <n v="5.81"/>
    <s v="Kristen Hastings"/>
    <s v="Saskachewan"/>
    <x v="4"/>
    <s v="Corporate"/>
    <s v="Office Supplies"/>
    <x v="12"/>
    <x v="1"/>
    <d v="2009-01-18T00:00:00"/>
    <s v="18-Jan-2009"/>
  </r>
  <r>
    <n v="19136"/>
    <d v="2010-08-04T00:00:00"/>
    <s v="Not Specified"/>
    <s v="04-Aug-2010"/>
    <n v="44"/>
    <n v="1372.9455"/>
    <n v="0"/>
    <s v="Regular Air"/>
    <n v="429.89"/>
    <n v="35.99"/>
    <n v="1.25"/>
    <s v="Michelle Moray"/>
    <s v="Saskachewan"/>
    <x v="4"/>
    <s v="Corporate"/>
    <s v="Technology"/>
    <x v="10"/>
    <x v="6"/>
    <d v="2010-08-06T00:00:00"/>
    <s v="06-Aug-2010"/>
  </r>
  <r>
    <n v="39846"/>
    <d v="2009-02-27T00:00:00"/>
    <s v="Low"/>
    <s v="27-Feb-2009"/>
    <n v="10"/>
    <n v="1372.14"/>
    <n v="0.06"/>
    <s v="Delivery Truck"/>
    <n v="-340.98"/>
    <n v="130.97999999999999"/>
    <n v="54.74"/>
    <s v="Cindy Schnelling"/>
    <s v="Saskachewan"/>
    <x v="4"/>
    <s v="Corporate"/>
    <s v="Furniture"/>
    <x v="8"/>
    <x v="39"/>
    <d v="2009-03-06T00:00:00"/>
    <s v="06-Mar-2009"/>
  </r>
  <r>
    <n v="19105"/>
    <d v="2009-10-28T00:00:00"/>
    <s v="High"/>
    <s v="28-Oct-2009"/>
    <n v="31"/>
    <n v="1370.56"/>
    <n v="0.1"/>
    <s v="Regular Air"/>
    <n v="511.51"/>
    <n v="48.91"/>
    <n v="5.97"/>
    <s v="Max Ludwig"/>
    <s v="Saskachewan"/>
    <x v="4"/>
    <s v="Corporate"/>
    <s v="Office Supplies"/>
    <x v="12"/>
    <x v="1"/>
    <d v="2009-10-30T00:00:00"/>
    <s v="30-Oct-2009"/>
  </r>
  <r>
    <n v="26146"/>
    <d v="2009-10-11T00:00:00"/>
    <s v="Low"/>
    <s v="11-Oct-2009"/>
    <n v="13"/>
    <n v="1351.76"/>
    <n v="0.03"/>
    <s v="Regular Air"/>
    <n v="107.31"/>
    <n v="104.65"/>
    <n v="18.93"/>
    <s v="John Dryer"/>
    <s v="Saskachewan"/>
    <x v="4"/>
    <s v="Corporate"/>
    <s v="Office Supplies"/>
    <x v="5"/>
    <x v="15"/>
    <d v="2009-10-18T00:00:00"/>
    <s v="18-Oct-2009"/>
  </r>
  <r>
    <n v="5221"/>
    <d v="2011-06-08T00:00:00"/>
    <s v="Not Specified"/>
    <s v="08-Jun-2011"/>
    <n v="48"/>
    <n v="1347.63"/>
    <n v="7.0000000000000007E-2"/>
    <s v="Regular Air"/>
    <n v="562.89"/>
    <n v="28.48"/>
    <n v="1.99"/>
    <s v="Robert Dilbeck"/>
    <s v="Saskachewan"/>
    <x v="4"/>
    <s v="Corporate"/>
    <s v="Technology"/>
    <x v="11"/>
    <x v="27"/>
    <d v="2011-06-10T00:00:00"/>
    <s v="10-Jun-2011"/>
  </r>
  <r>
    <n v="47398"/>
    <d v="2011-06-17T00:00:00"/>
    <s v="Medium"/>
    <s v="17-Jun-2011"/>
    <n v="6"/>
    <n v="1307.184"/>
    <n v="0.03"/>
    <s v="Delivery Truck"/>
    <n v="-184.06"/>
    <n v="262.11"/>
    <n v="62.74"/>
    <s v="Peter Fuller"/>
    <s v="Saskachewan"/>
    <x v="4"/>
    <s v="Corporate"/>
    <s v="Furniture"/>
    <x v="3"/>
    <x v="16"/>
    <d v="2011-06-19T00:00:00"/>
    <s v="19-Jun-2011"/>
  </r>
  <r>
    <n v="2086"/>
    <d v="2009-10-18T00:00:00"/>
    <s v="Critical"/>
    <s v="18-Oct-2009"/>
    <n v="9"/>
    <n v="1246.68"/>
    <n v="0.01"/>
    <s v="Regular Air"/>
    <n v="218.48"/>
    <n v="128.24"/>
    <n v="12.65"/>
    <s v="Brian Moss"/>
    <s v="Saskachewan"/>
    <x v="4"/>
    <s v="Corporate"/>
    <s v="Furniture"/>
    <x v="2"/>
    <x v="49"/>
    <d v="2009-10-21T00:00:00"/>
    <s v="21-Oct-2009"/>
  </r>
  <r>
    <n v="13767"/>
    <d v="2010-08-26T00:00:00"/>
    <s v="High"/>
    <s v="26-Aug-2010"/>
    <n v="10"/>
    <n v="1246.3634999999999"/>
    <n v="0.06"/>
    <s v="Regular Air"/>
    <n v="-339.11"/>
    <n v="155.99"/>
    <n v="8.99"/>
    <s v="Nona Balk"/>
    <s v="Saskachewan"/>
    <x v="4"/>
    <s v="Corporate"/>
    <s v="Technology"/>
    <x v="10"/>
    <x v="15"/>
    <d v="2010-08-27T00:00:00"/>
    <s v="27-Aug-2010"/>
  </r>
  <r>
    <n v="53378"/>
    <d v="2012-07-13T00:00:00"/>
    <s v="Medium"/>
    <s v="13-Jul-2012"/>
    <n v="38"/>
    <n v="1233.76"/>
    <n v="0.06"/>
    <s v="Regular Air"/>
    <n v="-168.08"/>
    <n v="33.979999999999997"/>
    <n v="19.989999999999998"/>
    <s v="Mitch Willingham"/>
    <s v="Saskachewan"/>
    <x v="4"/>
    <s v="Corporate"/>
    <s v="Furniture"/>
    <x v="7"/>
    <x v="20"/>
    <d v="2012-07-14T00:00:00"/>
    <s v="14-Jul-2012"/>
  </r>
  <r>
    <n v="26439"/>
    <d v="2011-09-15T00:00:00"/>
    <s v="Medium"/>
    <s v="15-Sep-2011"/>
    <n v="38"/>
    <n v="1230.83"/>
    <n v="0"/>
    <s v="Regular Air"/>
    <n v="75.5"/>
    <n v="30.98"/>
    <n v="6.5"/>
    <s v="Justin Deggeller"/>
    <s v="Saskachewan"/>
    <x v="4"/>
    <s v="Corporate"/>
    <s v="Technology"/>
    <x v="11"/>
    <x v="28"/>
    <d v="2011-09-16T00:00:00"/>
    <s v="16-Sep-2011"/>
  </r>
  <r>
    <n v="30374"/>
    <d v="2010-03-21T00:00:00"/>
    <s v="Critical"/>
    <s v="21-Mar-2010"/>
    <n v="42"/>
    <n v="1220.08"/>
    <n v="0"/>
    <s v="Regular Air"/>
    <n v="515.64"/>
    <n v="28.48"/>
    <n v="1.99"/>
    <s v="Michelle Moray"/>
    <s v="Saskachewan"/>
    <x v="4"/>
    <s v="Corporate"/>
    <s v="Technology"/>
    <x v="11"/>
    <x v="27"/>
    <d v="2010-03-22T00:00:00"/>
    <s v="22-Mar-2010"/>
  </r>
  <r>
    <n v="52068"/>
    <d v="2012-01-13T00:00:00"/>
    <s v="Not Specified"/>
    <s v="13-Jan-2012"/>
    <n v="21"/>
    <n v="1217.5"/>
    <n v="7.0000000000000007E-2"/>
    <s v="Delivery Truck"/>
    <n v="-412.36"/>
    <n v="58.14"/>
    <n v="36.61"/>
    <s v="Peter Fuller"/>
    <s v="Saskachewan"/>
    <x v="4"/>
    <s v="Corporate"/>
    <s v="Furniture"/>
    <x v="8"/>
    <x v="9"/>
    <d v="2012-01-14T00:00:00"/>
    <s v="14-Jan-2012"/>
  </r>
  <r>
    <n v="7782"/>
    <d v="2009-07-02T00:00:00"/>
    <s v="Critical"/>
    <s v="02-Jul-2009"/>
    <n v="20"/>
    <n v="1205.73"/>
    <n v="7.0000000000000007E-2"/>
    <s v="Express Air"/>
    <n v="310.93"/>
    <n v="60.97"/>
    <n v="4.5"/>
    <s v="Maxwell Schwartz"/>
    <s v="Saskachewan"/>
    <x v="4"/>
    <s v="Corporate"/>
    <s v="Office Supplies"/>
    <x v="5"/>
    <x v="0"/>
    <d v="2009-07-04T00:00:00"/>
    <s v="04-Jul-2009"/>
  </r>
  <r>
    <n v="69"/>
    <d v="2009-06-03T00:00:00"/>
    <s v="Not Specified"/>
    <s v="03-Jun-2009"/>
    <n v="42"/>
    <n v="1186.06"/>
    <n v="0.09"/>
    <s v="Regular Air"/>
    <n v="511.69"/>
    <n v="30.93"/>
    <n v="3.92"/>
    <s v="Jonathan Doherty"/>
    <s v="Saskachewan"/>
    <x v="4"/>
    <s v="Corporate"/>
    <s v="Furniture"/>
    <x v="7"/>
    <x v="47"/>
    <d v="2009-06-05T00:00:00"/>
    <s v="05-Jun-2009"/>
  </r>
  <r>
    <n v="8803"/>
    <d v="2012-12-20T00:00:00"/>
    <s v="Not Specified"/>
    <s v="20-Dec-2012"/>
    <n v="6"/>
    <n v="1184.1099999999999"/>
    <n v="7.0000000000000007E-2"/>
    <s v="Regular Air"/>
    <n v="-145.07"/>
    <n v="193.17"/>
    <n v="19.989999999999998"/>
    <s v="William Brown"/>
    <s v="Saskachewan"/>
    <x v="4"/>
    <s v="Corporate"/>
    <s v="Office Supplies"/>
    <x v="4"/>
    <x v="35"/>
    <d v="2012-12-21T00:00:00"/>
    <s v="21-Dec-2012"/>
  </r>
  <r>
    <n v="26439"/>
    <d v="2011-09-15T00:00:00"/>
    <s v="Medium"/>
    <s v="15-Sep-2011"/>
    <n v="23"/>
    <n v="1176.944"/>
    <n v="0.1"/>
    <s v="Regular Air"/>
    <n v="53.65"/>
    <n v="65.989999999999995"/>
    <n v="4.99"/>
    <s v="Justin Deggeller"/>
    <s v="Saskachewan"/>
    <x v="4"/>
    <s v="Corporate"/>
    <s v="Technology"/>
    <x v="10"/>
    <x v="15"/>
    <d v="2011-09-17T00:00:00"/>
    <s v="17-Sep-2011"/>
  </r>
  <r>
    <n v="28870"/>
    <d v="2011-11-10T00:00:00"/>
    <s v="High"/>
    <s v="10-Nov-2011"/>
    <n v="27"/>
    <n v="1154.8900000000001"/>
    <n v="0.03"/>
    <s v="Regular Air"/>
    <n v="66.36"/>
    <n v="40.98"/>
    <n v="6.5"/>
    <s v="Cindy Schnelling"/>
    <s v="Saskachewan"/>
    <x v="4"/>
    <s v="Corporate"/>
    <s v="Technology"/>
    <x v="11"/>
    <x v="28"/>
    <d v="2011-11-11T00:00:00"/>
    <s v="11-Nov-2011"/>
  </r>
  <r>
    <n v="42631"/>
    <d v="2009-05-09T00:00:00"/>
    <s v="High"/>
    <s v="09-May-2009"/>
    <n v="22"/>
    <n v="1148.0355"/>
    <n v="0.08"/>
    <s v="Express Air"/>
    <n v="21.98"/>
    <n v="65.989999999999995"/>
    <n v="8.99"/>
    <s v="Jeremy Lonsdale"/>
    <s v="Saskachewan"/>
    <x v="4"/>
    <s v="Corporate"/>
    <s v="Technology"/>
    <x v="10"/>
    <x v="20"/>
    <d v="2009-05-11T00:00:00"/>
    <s v="11-May-2009"/>
  </r>
  <r>
    <n v="41799"/>
    <d v="2009-06-23T00:00:00"/>
    <s v="High"/>
    <s v="23-Jun-2009"/>
    <n v="21"/>
    <n v="1130.806"/>
    <n v="0.04"/>
    <s v="Regular Air"/>
    <n v="95.15"/>
    <n v="65.989999999999995"/>
    <n v="4.99"/>
    <s v="Jonathan Doherty"/>
    <s v="Saskachewan"/>
    <x v="4"/>
    <s v="Corporate"/>
    <s v="Technology"/>
    <x v="10"/>
    <x v="6"/>
    <d v="2009-06-24T00:00:00"/>
    <s v="24-Jun-2009"/>
  </r>
  <r>
    <n v="38982"/>
    <d v="2009-07-17T00:00:00"/>
    <s v="Not Specified"/>
    <s v="17-Jul-2009"/>
    <n v="43"/>
    <n v="1114.42"/>
    <n v="0.09"/>
    <s v="Regular Air"/>
    <n v="425.07"/>
    <n v="28.48"/>
    <n v="1.99"/>
    <s v="Liz Carlisle"/>
    <s v="Saskachewan"/>
    <x v="4"/>
    <s v="Corporate"/>
    <s v="Technology"/>
    <x v="11"/>
    <x v="27"/>
    <d v="2009-07-18T00:00:00"/>
    <s v="18-Jul-2009"/>
  </r>
  <r>
    <n v="32100"/>
    <d v="2012-05-23T00:00:00"/>
    <s v="Medium"/>
    <s v="23-May-2012"/>
    <n v="29"/>
    <n v="1104.28"/>
    <n v="0.08"/>
    <s v="Regular Air"/>
    <n v="359.75"/>
    <n v="40.98"/>
    <n v="1.99"/>
    <s v="Liz Carlisle"/>
    <s v="Saskachewan"/>
    <x v="4"/>
    <s v="Corporate"/>
    <s v="Technology"/>
    <x v="11"/>
    <x v="47"/>
    <d v="2012-05-25T00:00:00"/>
    <s v="25-May-2012"/>
  </r>
  <r>
    <n v="14242"/>
    <d v="2011-05-08T00:00:00"/>
    <s v="High"/>
    <s v="08-May-2011"/>
    <n v="35"/>
    <n v="1078.58"/>
    <n v="0.03"/>
    <s v="Regular Air"/>
    <n v="9"/>
    <n v="30.73"/>
    <n v="4"/>
    <s v="Dennis Pardue"/>
    <s v="Saskachewan"/>
    <x v="4"/>
    <s v="Corporate"/>
    <s v="Technology"/>
    <x v="11"/>
    <x v="16"/>
    <d v="2011-05-10T00:00:00"/>
    <s v="10-May-2011"/>
  </r>
  <r>
    <n v="25155"/>
    <d v="2010-01-20T00:00:00"/>
    <s v="Low"/>
    <s v="20-Jan-2010"/>
    <n v="48"/>
    <n v="1038.99"/>
    <n v="0"/>
    <s v="Regular Air"/>
    <n v="-180.45"/>
    <n v="19.940000000000001"/>
    <n v="14.87"/>
    <s v="John Dryer"/>
    <s v="Saskachewan"/>
    <x v="4"/>
    <s v="Corporate"/>
    <s v="Furniture"/>
    <x v="7"/>
    <x v="6"/>
    <d v="2010-01-27T00:00:00"/>
    <s v="27-Jan-2010"/>
  </r>
  <r>
    <n v="20549"/>
    <d v="2009-01-12T00:00:00"/>
    <s v="Not Specified"/>
    <s v="12-Jan-2009"/>
    <n v="40"/>
    <n v="1030.0899999999999"/>
    <n v="0.09"/>
    <s v="Regular Air"/>
    <n v="-568.71"/>
    <n v="27.75"/>
    <n v="19.989999999999998"/>
    <s v="Cindy Schnelling"/>
    <s v="Saskachewan"/>
    <x v="4"/>
    <s v="Corporate"/>
    <s v="Office Supplies"/>
    <x v="4"/>
    <x v="46"/>
    <d v="2009-01-13T00:00:00"/>
    <s v="13-Jan-2009"/>
  </r>
  <r>
    <n v="47203"/>
    <d v="2009-12-18T00:00:00"/>
    <s v="Critical"/>
    <s v="18-Dec-2009"/>
    <n v="44"/>
    <n v="1016.26"/>
    <n v="0.06"/>
    <s v="Regular Air"/>
    <n v="337.97"/>
    <n v="22.84"/>
    <n v="5.47"/>
    <s v="Bill Eplett"/>
    <s v="Saskachewan"/>
    <x v="4"/>
    <s v="Corporate"/>
    <s v="Office Supplies"/>
    <x v="12"/>
    <x v="4"/>
    <d v="2009-12-20T00:00:00"/>
    <s v="20-Dec-2009"/>
  </r>
  <r>
    <n v="20037"/>
    <d v="2009-01-10T00:00:00"/>
    <s v="Low"/>
    <s v="10-Jan-2009"/>
    <n v="35"/>
    <n v="1009.42"/>
    <n v="0.02"/>
    <s v="Regular Air"/>
    <n v="339.58"/>
    <n v="29.18"/>
    <n v="8.5500000000000007"/>
    <s v="Michelle Moray"/>
    <s v="Saskachewan"/>
    <x v="4"/>
    <s v="Corporate"/>
    <s v="Furniture"/>
    <x v="7"/>
    <x v="22"/>
    <d v="2009-01-15T00:00:00"/>
    <s v="15-Jan-2009"/>
  </r>
  <r>
    <n v="45410"/>
    <d v="2009-08-19T00:00:00"/>
    <s v="Low"/>
    <s v="19-Aug-2009"/>
    <n v="19"/>
    <n v="991.36"/>
    <n v="0.1"/>
    <s v="Regular Air"/>
    <n v="-103.11"/>
    <n v="54.1"/>
    <n v="19.989999999999998"/>
    <s v="Michael Grace"/>
    <s v="Saskachewan"/>
    <x v="4"/>
    <s v="Corporate"/>
    <s v="Office Supplies"/>
    <x v="4"/>
    <x v="14"/>
    <d v="2009-08-24T00:00:00"/>
    <s v="24-Aug-2009"/>
  </r>
  <r>
    <n v="59879"/>
    <d v="2009-03-09T00:00:00"/>
    <s v="Not Specified"/>
    <s v="09-Mar-2009"/>
    <n v="33"/>
    <n v="987.3175"/>
    <n v="0.04"/>
    <s v="Express Air"/>
    <n v="368.56"/>
    <n v="35.99"/>
    <n v="3.3"/>
    <s v="Karen Bern"/>
    <s v="Saskachewan"/>
    <x v="4"/>
    <s v="Corporate"/>
    <s v="Technology"/>
    <x v="10"/>
    <x v="4"/>
    <d v="2009-03-11T00:00:00"/>
    <s v="11-Mar-2009"/>
  </r>
  <r>
    <n v="27491"/>
    <d v="2009-04-09T00:00:00"/>
    <s v="Not Specified"/>
    <s v="09-Apr-2009"/>
    <n v="11"/>
    <n v="985.01"/>
    <n v="0.04"/>
    <s v="Regular Air"/>
    <n v="186.05"/>
    <n v="90.48"/>
    <n v="19.989999999999998"/>
    <s v="Roy Collins"/>
    <s v="Saskachewan"/>
    <x v="4"/>
    <s v="Corporate"/>
    <s v="Office Supplies"/>
    <x v="15"/>
    <x v="27"/>
    <d v="2009-04-11T00:00:00"/>
    <s v="11-Apr-2009"/>
  </r>
  <r>
    <n v="37861"/>
    <d v="2011-12-28T00:00:00"/>
    <s v="Not Specified"/>
    <s v="28-Dec-2011"/>
    <n v="32"/>
    <n v="980.07"/>
    <n v="0.09"/>
    <s v="Regular Air"/>
    <n v="337.25"/>
    <n v="30.98"/>
    <n v="5.76"/>
    <s v="Patrick Ryan"/>
    <s v="Saskachewan"/>
    <x v="4"/>
    <s v="Corporate"/>
    <s v="Office Supplies"/>
    <x v="12"/>
    <x v="27"/>
    <d v="2011-12-30T00:00:00"/>
    <s v="30-Dec-2011"/>
  </r>
  <r>
    <n v="7776"/>
    <d v="2009-03-14T00:00:00"/>
    <s v="Medium"/>
    <s v="14-Mar-2009"/>
    <n v="6"/>
    <n v="934.21600000000001"/>
    <n v="0.02"/>
    <s v="Delivery Truck"/>
    <n v="-4.34"/>
    <n v="179.29"/>
    <n v="29.21"/>
    <s v="Michelle Moray"/>
    <s v="Saskachewan"/>
    <x v="4"/>
    <s v="Corporate"/>
    <s v="Furniture"/>
    <x v="3"/>
    <x v="40"/>
    <d v="2009-03-14T00:00:00"/>
    <s v="14-Mar-2009"/>
  </r>
  <r>
    <n v="11335"/>
    <d v="2009-10-21T00:00:00"/>
    <s v="High"/>
    <s v="21-Oct-2009"/>
    <n v="8"/>
    <n v="922.47"/>
    <n v="0.09"/>
    <s v="Delivery Truck"/>
    <n v="-13.1"/>
    <n v="119.99"/>
    <n v="14"/>
    <s v="Maya Herman"/>
    <s v="Saskachewan"/>
    <x v="4"/>
    <s v="Corporate"/>
    <s v="Technology"/>
    <x v="0"/>
    <x v="10"/>
    <d v="2009-10-23T00:00:00"/>
    <s v="23-Oct-2009"/>
  </r>
  <r>
    <n v="47942"/>
    <d v="2010-02-27T00:00:00"/>
    <s v="Medium"/>
    <s v="27-Feb-2010"/>
    <n v="9"/>
    <n v="918.73950000000002"/>
    <n v="0.06"/>
    <s v="Express Air"/>
    <n v="-303.56"/>
    <n v="125.99"/>
    <n v="7.69"/>
    <s v="Harold Dahlen"/>
    <s v="Saskachewan"/>
    <x v="4"/>
    <s v="Corporate"/>
    <s v="Technology"/>
    <x v="10"/>
    <x v="15"/>
    <d v="2010-02-28T00:00:00"/>
    <s v="28-Feb-2010"/>
  </r>
  <r>
    <n v="1925"/>
    <d v="2012-03-04T00:00:00"/>
    <s v="Critical"/>
    <s v="04-Mar-2012"/>
    <n v="40"/>
    <n v="909.82"/>
    <n v="0.02"/>
    <s v="Regular Air"/>
    <n v="292.49"/>
    <n v="22.98"/>
    <n v="1.99"/>
    <s v="Brian Moss"/>
    <s v="Saskachewan"/>
    <x v="4"/>
    <s v="Corporate"/>
    <s v="Technology"/>
    <x v="11"/>
    <x v="29"/>
    <d v="2012-03-06T00:00:00"/>
    <s v="06-Mar-2012"/>
  </r>
  <r>
    <n v="26466"/>
    <d v="2009-06-11T00:00:00"/>
    <s v="Critical"/>
    <s v="11-Jun-2009"/>
    <n v="29"/>
    <n v="909.721"/>
    <n v="0.01"/>
    <s v="Regular Air"/>
    <n v="287.99"/>
    <n v="35.99"/>
    <n v="5.99"/>
    <s v="Rick Wilson"/>
    <s v="Saskachewan"/>
    <x v="4"/>
    <s v="Corporate"/>
    <s v="Technology"/>
    <x v="10"/>
    <x v="1"/>
    <d v="2009-06-12T00:00:00"/>
    <s v="12-Jun-2009"/>
  </r>
  <r>
    <n v="50304"/>
    <d v="2010-01-31T00:00:00"/>
    <s v="Critical"/>
    <s v="31-Jan-2010"/>
    <n v="22"/>
    <n v="887.98"/>
    <n v="0.04"/>
    <s v="Regular Air"/>
    <n v="239.94"/>
    <n v="39.979999999999997"/>
    <n v="9.83"/>
    <s v="Jonathan Doherty"/>
    <s v="Saskachewan"/>
    <x v="4"/>
    <s v="Corporate"/>
    <s v="Office Supplies"/>
    <x v="15"/>
    <x v="27"/>
    <d v="2010-02-02T00:00:00"/>
    <s v="02-Feb-2010"/>
  </r>
  <r>
    <n v="35910"/>
    <d v="2010-11-24T00:00:00"/>
    <s v="High"/>
    <s v="24-Nov-2010"/>
    <n v="28"/>
    <n v="881.50099999999998"/>
    <n v="0.02"/>
    <s v="Express Air"/>
    <n v="334.53"/>
    <n v="35.99"/>
    <n v="3.3"/>
    <s v="Kristen Hastings"/>
    <s v="Saskachewan"/>
    <x v="4"/>
    <s v="Corporate"/>
    <s v="Technology"/>
    <x v="10"/>
    <x v="4"/>
    <d v="2010-11-25T00:00:00"/>
    <s v="25-Nov-2010"/>
  </r>
  <r>
    <n v="7363"/>
    <d v="2010-11-09T00:00:00"/>
    <s v="Medium"/>
    <s v="09-Nov-2010"/>
    <n v="24"/>
    <n v="875.52"/>
    <n v="0.09"/>
    <s v="Regular Air"/>
    <n v="5.71"/>
    <n v="37.93"/>
    <n v="13.99"/>
    <s v="Sung Shariari"/>
    <s v="Saskachewan"/>
    <x v="4"/>
    <s v="Corporate"/>
    <s v="Furniture"/>
    <x v="7"/>
    <x v="46"/>
    <d v="2010-11-11T00:00:00"/>
    <s v="11-Nov-2010"/>
  </r>
  <r>
    <n v="28867"/>
    <d v="2011-07-22T00:00:00"/>
    <s v="Medium"/>
    <s v="22-Jul-2011"/>
    <n v="43"/>
    <n v="866.73"/>
    <n v="0.1"/>
    <s v="Regular Air"/>
    <n v="-199.98"/>
    <n v="20.97"/>
    <n v="6.5"/>
    <s v="Maxwell Schwartz"/>
    <s v="Saskachewan"/>
    <x v="4"/>
    <s v="Corporate"/>
    <s v="Technology"/>
    <x v="11"/>
    <x v="8"/>
    <d v="2011-07-23T00:00:00"/>
    <s v="23-Jul-2011"/>
  </r>
  <r>
    <n v="45733"/>
    <d v="2010-12-06T00:00:00"/>
    <s v="Critical"/>
    <s v="06-Dec-2010"/>
    <n v="39"/>
    <n v="851.17"/>
    <n v="7.0000000000000007E-2"/>
    <s v="Regular Air"/>
    <n v="-131.28"/>
    <n v="22.38"/>
    <n v="15.1"/>
    <s v="Maya Herman"/>
    <s v="Saskachewan"/>
    <x v="4"/>
    <s v="Corporate"/>
    <s v="Office Supplies"/>
    <x v="1"/>
    <x v="1"/>
    <d v="2010-12-07T00:00:00"/>
    <s v="07-Dec-2010"/>
  </r>
  <r>
    <n v="5765"/>
    <d v="2009-12-14T00:00:00"/>
    <s v="Low"/>
    <s v="14-Dec-2009"/>
    <n v="23"/>
    <n v="849.46"/>
    <n v="0.04"/>
    <s v="Regular Air"/>
    <n v="9.06"/>
    <n v="35.44"/>
    <n v="19.989999999999998"/>
    <s v="Jonathan Doherty"/>
    <s v="Saskachewan"/>
    <x v="4"/>
    <s v="Corporate"/>
    <s v="Office Supplies"/>
    <x v="12"/>
    <x v="1"/>
    <d v="2009-12-21T00:00:00"/>
    <s v="21-Dec-2009"/>
  </r>
  <r>
    <n v="45767"/>
    <d v="2012-07-10T00:00:00"/>
    <s v="High"/>
    <s v="10-Jul-2012"/>
    <n v="49"/>
    <n v="841.51"/>
    <n v="0.05"/>
    <s v="Express Air"/>
    <n v="20.86"/>
    <n v="16.91"/>
    <n v="6.25"/>
    <s v="Nick Crebassa"/>
    <s v="Saskachewan"/>
    <x v="4"/>
    <s v="Corporate"/>
    <s v="Office Supplies"/>
    <x v="4"/>
    <x v="15"/>
    <d v="2012-07-12T00:00:00"/>
    <s v="12-Jul-2012"/>
  </r>
  <r>
    <n v="10528"/>
    <d v="2009-09-13T00:00:00"/>
    <s v="Medium"/>
    <s v="13-Sep-2009"/>
    <n v="47"/>
    <n v="838.4"/>
    <n v="0.02"/>
    <s v="Express Air"/>
    <n v="-132.91"/>
    <n v="17.7"/>
    <n v="9.4700000000000006"/>
    <s v="Michael Grace"/>
    <s v="Saskachewan"/>
    <x v="4"/>
    <s v="Corporate"/>
    <s v="Office Supplies"/>
    <x v="4"/>
    <x v="14"/>
    <d v="2009-09-15T00:00:00"/>
    <s v="15-Sep-2009"/>
  </r>
  <r>
    <n v="39717"/>
    <d v="2009-11-28T00:00:00"/>
    <s v="High"/>
    <s v="28-Nov-2009"/>
    <n v="20"/>
    <n v="835.48"/>
    <n v="0.06"/>
    <s v="Regular Air"/>
    <n v="-58.13"/>
    <n v="43.57"/>
    <n v="16.36"/>
    <s v="Jennifer Ferguson"/>
    <s v="Saskachewan"/>
    <x v="4"/>
    <s v="Corporate"/>
    <s v="Office Supplies"/>
    <x v="4"/>
    <x v="20"/>
    <d v="2009-11-30T00:00:00"/>
    <s v="30-Nov-2009"/>
  </r>
  <r>
    <n v="22147"/>
    <d v="2009-01-16T00:00:00"/>
    <s v="Low"/>
    <s v="16-Jan-2009"/>
    <n v="37"/>
    <n v="832.14"/>
    <n v="0.04"/>
    <s v="Regular Air"/>
    <n v="175.07"/>
    <n v="22.72"/>
    <n v="8.99"/>
    <s v="Christina Anderson"/>
    <s v="Saskachewan"/>
    <x v="4"/>
    <s v="Corporate"/>
    <s v="Furniture"/>
    <x v="7"/>
    <x v="47"/>
    <d v="2009-01-20T00:00:00"/>
    <s v="20-Jan-2009"/>
  </r>
  <r>
    <n v="42374"/>
    <d v="2012-07-17T00:00:00"/>
    <s v="Critical"/>
    <s v="17-Jul-2012"/>
    <n v="47"/>
    <n v="807.6"/>
    <n v="0"/>
    <s v="Regular Air"/>
    <n v="214.3"/>
    <n v="16.739999999999998"/>
    <n v="5.08"/>
    <s v="Dennis Pardue"/>
    <s v="Saskachewan"/>
    <x v="4"/>
    <s v="Corporate"/>
    <s v="Office Supplies"/>
    <x v="1"/>
    <x v="10"/>
    <d v="2012-07-18T00:00:00"/>
    <s v="18-Jul-2012"/>
  </r>
  <r>
    <n v="7559"/>
    <d v="2010-10-12T00:00:00"/>
    <s v="Critical"/>
    <s v="12-Oct-2010"/>
    <n v="39"/>
    <n v="806.05"/>
    <n v="0.04"/>
    <s v="Regular Air"/>
    <n v="-63.39"/>
    <n v="20.95"/>
    <n v="5.99"/>
    <s v="Patrick Ryan"/>
    <s v="Saskachewan"/>
    <x v="4"/>
    <s v="Corporate"/>
    <s v="Technology"/>
    <x v="11"/>
    <x v="38"/>
    <d v="2010-10-13T00:00:00"/>
    <s v="13-Oct-2010"/>
  </r>
  <r>
    <n v="50501"/>
    <d v="2009-05-29T00:00:00"/>
    <s v="High"/>
    <s v="29-May-2009"/>
    <n v="31"/>
    <n v="801.45"/>
    <n v="0.01"/>
    <s v="Regular Air"/>
    <n v="227.59"/>
    <n v="23.99"/>
    <n v="6.3"/>
    <s v="John Dryer"/>
    <s v="Saskachewan"/>
    <x v="4"/>
    <s v="Corporate"/>
    <s v="Technology"/>
    <x v="0"/>
    <x v="1"/>
    <d v="2009-05-31T00:00:00"/>
    <s v="31-May-2009"/>
  </r>
  <r>
    <n v="19206"/>
    <d v="2010-03-30T00:00:00"/>
    <s v="Low"/>
    <s v="30-Mar-2010"/>
    <n v="32"/>
    <n v="800"/>
    <n v="0.1"/>
    <s v="Delivery Truck"/>
    <n v="-210.3"/>
    <n v="25.98"/>
    <n v="14.36"/>
    <s v="Michelle Moray"/>
    <s v="Saskachewan"/>
    <x v="4"/>
    <s v="Corporate"/>
    <s v="Furniture"/>
    <x v="2"/>
    <x v="18"/>
    <d v="2010-04-01T00:00:00"/>
    <s v="01-Apr-2010"/>
  </r>
  <r>
    <n v="10210"/>
    <d v="2011-06-23T00:00:00"/>
    <s v="Not Specified"/>
    <s v="23-Jun-2011"/>
    <n v="10"/>
    <n v="767.34"/>
    <n v="0.04"/>
    <s v="Regular Air"/>
    <n v="-154.65"/>
    <n v="73.98"/>
    <n v="14.52"/>
    <s v="Liz Carlisle"/>
    <s v="Saskachewan"/>
    <x v="4"/>
    <s v="Corporate"/>
    <s v="Technology"/>
    <x v="11"/>
    <x v="38"/>
    <d v="2011-06-24T00:00:00"/>
    <s v="24-Jun-2011"/>
  </r>
  <r>
    <n v="31876"/>
    <d v="2011-05-07T00:00:00"/>
    <s v="High"/>
    <s v="07-May-2011"/>
    <n v="8"/>
    <n v="741.49"/>
    <n v="0.08"/>
    <s v="Regular Air"/>
    <n v="-360.18"/>
    <n v="95.99"/>
    <n v="35"/>
    <s v="Brian Moss"/>
    <s v="Saskachewan"/>
    <x v="4"/>
    <s v="Corporate"/>
    <s v="Office Supplies"/>
    <x v="4"/>
    <x v="49"/>
    <d v="2011-05-08T00:00:00"/>
    <s v="08-May-2011"/>
  </r>
  <r>
    <n v="31780"/>
    <d v="2010-01-29T00:00:00"/>
    <s v="Medium"/>
    <s v="29-Jan-2010"/>
    <n v="17"/>
    <n v="734.25"/>
    <n v="0.08"/>
    <s v="Express Air"/>
    <n v="160.58000000000001"/>
    <n v="42.98"/>
    <n v="4.62"/>
    <s v="Max Ludwig"/>
    <s v="Saskachewan"/>
    <x v="4"/>
    <s v="Corporate"/>
    <s v="Office Supplies"/>
    <x v="5"/>
    <x v="0"/>
    <d v="2010-01-31T00:00:00"/>
    <s v="31-Jan-2010"/>
  </r>
  <r>
    <n v="28929"/>
    <d v="2012-10-09T00:00:00"/>
    <s v="Medium"/>
    <s v="09-Oct-2012"/>
    <n v="46"/>
    <n v="723.17"/>
    <n v="0.09"/>
    <s v="Regular Air"/>
    <n v="-154.11000000000001"/>
    <n v="16.98"/>
    <n v="12.39"/>
    <s v="Saphhira Shifley"/>
    <s v="Saskachewan"/>
    <x v="4"/>
    <s v="Corporate"/>
    <s v="Office Supplies"/>
    <x v="15"/>
    <x v="2"/>
    <d v="2012-10-11T00:00:00"/>
    <s v="11-Oct-2012"/>
  </r>
  <r>
    <n v="30374"/>
    <d v="2010-03-21T00:00:00"/>
    <s v="Critical"/>
    <s v="21-Mar-2010"/>
    <n v="12"/>
    <n v="709.54"/>
    <n v="7.0000000000000007E-2"/>
    <s v="Regular Air"/>
    <n v="131.44"/>
    <n v="59.98"/>
    <n v="3.99"/>
    <s v="Michelle Moray"/>
    <s v="Saskachewan"/>
    <x v="4"/>
    <s v="Corporate"/>
    <s v="Office Supplies"/>
    <x v="5"/>
    <x v="6"/>
    <d v="2010-03-22T00:00:00"/>
    <s v="22-Mar-2010"/>
  </r>
  <r>
    <n v="42374"/>
    <d v="2012-07-17T00:00:00"/>
    <s v="Critical"/>
    <s v="17-Jul-2012"/>
    <n v="11"/>
    <n v="694.17"/>
    <n v="0"/>
    <s v="Regular Air"/>
    <n v="174.22"/>
    <n v="59.78"/>
    <n v="10.29"/>
    <s v="Dennis Pardue"/>
    <s v="Saskachewan"/>
    <x v="4"/>
    <s v="Corporate"/>
    <s v="Office Supplies"/>
    <x v="1"/>
    <x v="4"/>
    <d v="2012-07-19T00:00:00"/>
    <s v="19-Jul-2012"/>
  </r>
  <r>
    <n v="10951"/>
    <d v="2012-11-06T00:00:00"/>
    <s v="Not Specified"/>
    <s v="06-Nov-2012"/>
    <n v="14"/>
    <n v="677.43"/>
    <n v="0.1"/>
    <s v="Regular Air"/>
    <n v="75.48"/>
    <n v="50.98"/>
    <n v="22.24"/>
    <s v="Neil Knudson"/>
    <s v="Saskachewan"/>
    <x v="4"/>
    <s v="Corporate"/>
    <s v="Furniture"/>
    <x v="7"/>
    <x v="20"/>
    <d v="2012-11-06T00:00:00"/>
    <s v="06-Nov-2012"/>
  </r>
  <r>
    <n v="22407"/>
    <d v="2009-11-17T00:00:00"/>
    <s v="Not Specified"/>
    <s v="17-Nov-2009"/>
    <n v="20"/>
    <n v="676.44"/>
    <n v="7.0000000000000007E-2"/>
    <s v="Regular Air"/>
    <n v="48.76"/>
    <n v="34.54"/>
    <n v="14.72"/>
    <s v="Sung Shariari"/>
    <s v="Saskachewan"/>
    <x v="4"/>
    <s v="Corporate"/>
    <s v="Office Supplies"/>
    <x v="1"/>
    <x v="7"/>
    <d v="2009-11-18T00:00:00"/>
    <s v="18-Nov-2009"/>
  </r>
  <r>
    <n v="1217"/>
    <d v="2012-04-25T00:00:00"/>
    <s v="Not Specified"/>
    <s v="25-Apr-2012"/>
    <n v="25"/>
    <n v="662.16"/>
    <n v="7.0000000000000007E-2"/>
    <s v="Regular Air"/>
    <n v="185.21"/>
    <n v="28.48"/>
    <n v="1.99"/>
    <s v="Sung Shariari"/>
    <s v="Saskachewan"/>
    <x v="4"/>
    <s v="Corporate"/>
    <s v="Technology"/>
    <x v="11"/>
    <x v="27"/>
    <d v="2012-04-26T00:00:00"/>
    <s v="26-Apr-2012"/>
  </r>
  <r>
    <n v="35910"/>
    <d v="2010-11-24T00:00:00"/>
    <s v="High"/>
    <s v="24-Nov-2010"/>
    <n v="36"/>
    <n v="660.05899999999997"/>
    <n v="0.05"/>
    <s v="Regular Air"/>
    <n v="-0.65"/>
    <n v="20.99"/>
    <n v="1.25"/>
    <s v="Kristen Hastings"/>
    <s v="Saskachewan"/>
    <x v="4"/>
    <s v="Corporate"/>
    <s v="Technology"/>
    <x v="10"/>
    <x v="34"/>
    <d v="2010-11-26T00:00:00"/>
    <s v="26-Nov-2010"/>
  </r>
  <r>
    <n v="28867"/>
    <d v="2011-07-22T00:00:00"/>
    <s v="Medium"/>
    <s v="22-Jul-2011"/>
    <n v="6"/>
    <n v="642.41999999999996"/>
    <n v="0.03"/>
    <s v="Regular Air"/>
    <n v="80.010000000000005"/>
    <n v="104.85"/>
    <n v="19.989999999999998"/>
    <s v="Maxwell Schwartz"/>
    <s v="Saskachewan"/>
    <x v="4"/>
    <s v="Corporate"/>
    <s v="Office Supplies"/>
    <x v="12"/>
    <x v="7"/>
    <d v="2011-07-23T00:00:00"/>
    <s v="23-Jul-2011"/>
  </r>
  <r>
    <n v="36708"/>
    <d v="2011-09-19T00:00:00"/>
    <s v="Not Specified"/>
    <s v="19-Sep-2011"/>
    <n v="46"/>
    <n v="636.5"/>
    <n v="0.01"/>
    <s v="Regular Air"/>
    <n v="-71.98"/>
    <n v="12.99"/>
    <n v="9.44"/>
    <s v="William Brown"/>
    <s v="Saskachewan"/>
    <x v="4"/>
    <s v="Corporate"/>
    <s v="Technology"/>
    <x v="0"/>
    <x v="4"/>
    <d v="2011-09-21T00:00:00"/>
    <s v="21-Sep-2011"/>
  </r>
  <r>
    <n v="55686"/>
    <d v="2011-03-25T00:00:00"/>
    <s v="Critical"/>
    <s v="25-Mar-2011"/>
    <n v="22"/>
    <n v="628.39"/>
    <n v="0.1"/>
    <s v="Express Air"/>
    <n v="181.83"/>
    <n v="30.98"/>
    <n v="5.09"/>
    <s v="Suzanne McNair"/>
    <s v="Saskachewan"/>
    <x v="4"/>
    <s v="Corporate"/>
    <s v="Office Supplies"/>
    <x v="12"/>
    <x v="27"/>
    <d v="2011-03-27T00:00:00"/>
    <s v="27-Mar-2011"/>
  </r>
  <r>
    <n v="58308"/>
    <d v="2010-05-21T00:00:00"/>
    <s v="Not Specified"/>
    <s v="21-May-2010"/>
    <n v="20"/>
    <n v="623.29"/>
    <n v="0"/>
    <s v="Regular Air"/>
    <n v="57.44"/>
    <n v="29.99"/>
    <n v="5.5"/>
    <s v="William Brown"/>
    <s v="Saskachewan"/>
    <x v="4"/>
    <s v="Corporate"/>
    <s v="Technology"/>
    <x v="11"/>
    <x v="51"/>
    <d v="2010-05-22T00:00:00"/>
    <s v="22-May-2010"/>
  </r>
  <r>
    <n v="51266"/>
    <d v="2009-03-25T00:00:00"/>
    <s v="Not Specified"/>
    <s v="25-Mar-2009"/>
    <n v="30"/>
    <n v="617.51"/>
    <n v="0.01"/>
    <s v="Regular Air"/>
    <n v="98.1"/>
    <n v="18.97"/>
    <n v="9.0299999999999994"/>
    <s v="Michael Grace"/>
    <s v="Saskachewan"/>
    <x v="4"/>
    <s v="Corporate"/>
    <s v="Office Supplies"/>
    <x v="12"/>
    <x v="7"/>
    <d v="2009-03-25T00:00:00"/>
    <s v="25-Mar-2009"/>
  </r>
  <r>
    <n v="55234"/>
    <d v="2010-07-28T00:00:00"/>
    <s v="Low"/>
    <s v="28-Jul-2010"/>
    <n v="12"/>
    <n v="600.86"/>
    <n v="0.09"/>
    <s v="Regular Air"/>
    <n v="-82.67"/>
    <n v="53.98"/>
    <n v="5.5"/>
    <s v="Tiffany House"/>
    <s v="Saskachewan"/>
    <x v="4"/>
    <s v="Corporate"/>
    <s v="Technology"/>
    <x v="11"/>
    <x v="44"/>
    <d v="2010-08-01T00:00:00"/>
    <s v="01-Aug-2010"/>
  </r>
  <r>
    <n v="33473"/>
    <d v="2011-01-04T00:00:00"/>
    <s v="Low"/>
    <s v="04-Jan-2011"/>
    <n v="50"/>
    <n v="600.22"/>
    <n v="0.08"/>
    <s v="Regular Air"/>
    <n v="27.86"/>
    <n v="12.98"/>
    <n v="3.14"/>
    <s v="Michelle Moray"/>
    <s v="Saskachewan"/>
    <x v="4"/>
    <s v="Corporate"/>
    <s v="Office Supplies"/>
    <x v="14"/>
    <x v="18"/>
    <d v="2011-01-04T00:00:00"/>
    <s v="04-Jan-2011"/>
  </r>
  <r>
    <n v="13767"/>
    <d v="2010-08-26T00:00:00"/>
    <s v="High"/>
    <s v="26-Aug-2010"/>
    <n v="29"/>
    <n v="597.66"/>
    <n v="0.08"/>
    <s v="Regular Air"/>
    <n v="-178"/>
    <n v="21.66"/>
    <n v="13.99"/>
    <s v="Nona Balk"/>
    <s v="Saskachewan"/>
    <x v="4"/>
    <s v="Corporate"/>
    <s v="Office Supplies"/>
    <x v="5"/>
    <x v="24"/>
    <d v="2010-08-28T00:00:00"/>
    <s v="28-Aug-2010"/>
  </r>
  <r>
    <n v="26146"/>
    <d v="2009-10-11T00:00:00"/>
    <s v="Low"/>
    <s v="11-Oct-2009"/>
    <n v="49"/>
    <n v="595.4"/>
    <n v="0.03"/>
    <s v="Regular Air"/>
    <n v="-148.85"/>
    <n v="11.66"/>
    <n v="7.95"/>
    <s v="John Dryer"/>
    <s v="Saskachewan"/>
    <x v="4"/>
    <s v="Corporate"/>
    <s v="Office Supplies"/>
    <x v="13"/>
    <x v="15"/>
    <d v="2009-10-20T00:00:00"/>
    <s v="20-Oct-2009"/>
  </r>
  <r>
    <n v="28742"/>
    <d v="2012-04-29T00:00:00"/>
    <s v="Low"/>
    <s v="29-Apr-2012"/>
    <n v="35"/>
    <n v="587.91999999999996"/>
    <n v="0.09"/>
    <s v="Regular Air"/>
    <n v="-7.92"/>
    <n v="16.91"/>
    <n v="6.25"/>
    <s v="Rick Hansen"/>
    <s v="Saskachewan"/>
    <x v="4"/>
    <s v="Corporate"/>
    <s v="Office Supplies"/>
    <x v="4"/>
    <x v="15"/>
    <d v="2012-04-29T00:00:00"/>
    <s v="29-Apr-2012"/>
  </r>
  <r>
    <n v="43206"/>
    <d v="2009-08-23T00:00:00"/>
    <s v="Medium"/>
    <s v="23-Aug-2009"/>
    <n v="16"/>
    <n v="587.88"/>
    <n v="0"/>
    <s v="Express Air"/>
    <n v="135.37"/>
    <n v="35.409999999999997"/>
    <n v="1.99"/>
    <s v="John Dryer"/>
    <s v="Saskachewan"/>
    <x v="4"/>
    <s v="Corporate"/>
    <s v="Technology"/>
    <x v="11"/>
    <x v="21"/>
    <d v="2009-08-24T00:00:00"/>
    <s v="24-Aug-2009"/>
  </r>
  <r>
    <n v="45412"/>
    <d v="2010-04-22T00:00:00"/>
    <s v="Medium"/>
    <s v="22-Apr-2010"/>
    <n v="20"/>
    <n v="586.61900000000003"/>
    <n v="0.06"/>
    <s v="Regular Air"/>
    <n v="83.07"/>
    <n v="35.99"/>
    <n v="1.1000000000000001"/>
    <s v="Arianne Irving"/>
    <s v="Saskachewan"/>
    <x v="4"/>
    <s v="Corporate"/>
    <s v="Technology"/>
    <x v="10"/>
    <x v="20"/>
    <d v="2010-04-23T00:00:00"/>
    <s v="23-Apr-2010"/>
  </r>
  <r>
    <n v="53153"/>
    <d v="2009-09-23T00:00:00"/>
    <s v="Critical"/>
    <s v="23-Sep-2009"/>
    <n v="29"/>
    <n v="575.36"/>
    <n v="0.1"/>
    <s v="Regular Air"/>
    <n v="84.05"/>
    <n v="20.27"/>
    <n v="3.99"/>
    <s v="Paul Prost"/>
    <s v="Saskachewan"/>
    <x v="4"/>
    <s v="Corporate"/>
    <s v="Office Supplies"/>
    <x v="5"/>
    <x v="6"/>
    <d v="2009-09-24T00:00:00"/>
    <s v="24-Sep-2009"/>
  </r>
  <r>
    <n v="130"/>
    <d v="2012-05-07T00:00:00"/>
    <s v="High"/>
    <s v="07-May-2012"/>
    <n v="29"/>
    <n v="575.11"/>
    <n v="0.02"/>
    <s v="Regular Air"/>
    <n v="71.75"/>
    <n v="18.97"/>
    <n v="9.0299999999999994"/>
    <s v="Roy Collins"/>
    <s v="Saskachewan"/>
    <x v="4"/>
    <s v="Corporate"/>
    <s v="Office Supplies"/>
    <x v="12"/>
    <x v="7"/>
    <d v="2012-05-08T00:00:00"/>
    <s v="08-May-2012"/>
  </r>
  <r>
    <n v="25443"/>
    <d v="2012-09-22T00:00:00"/>
    <s v="Medium"/>
    <s v="22-Sep-2012"/>
    <n v="33"/>
    <n v="570.24"/>
    <n v="0.01"/>
    <s v="Regular Air"/>
    <n v="-57.83"/>
    <n v="15.99"/>
    <n v="11.28"/>
    <s v="Rick Wilson"/>
    <s v="Saskachewan"/>
    <x v="4"/>
    <s v="Corporate"/>
    <s v="Technology"/>
    <x v="0"/>
    <x v="1"/>
    <d v="2012-09-22T00:00:00"/>
    <s v="22-Sep-2012"/>
  </r>
  <r>
    <n v="2757"/>
    <d v="2011-07-19T00:00:00"/>
    <s v="High"/>
    <s v="19-Jul-2011"/>
    <n v="42"/>
    <n v="569.32000000000005"/>
    <n v="0.05"/>
    <s v="Express Air"/>
    <n v="84.38"/>
    <n v="12.98"/>
    <n v="3.14"/>
    <s v="Lycoris Saunders"/>
    <s v="Saskachewan"/>
    <x v="4"/>
    <s v="Corporate"/>
    <s v="Office Supplies"/>
    <x v="14"/>
    <x v="18"/>
    <d v="2011-07-20T00:00:00"/>
    <s v="20-Jul-2011"/>
  </r>
  <r>
    <n v="9473"/>
    <d v="2012-10-11T00:00:00"/>
    <s v="Not Specified"/>
    <s v="11-Oct-2012"/>
    <n v="34"/>
    <n v="563.82000000000005"/>
    <n v="0.03"/>
    <s v="Regular Air"/>
    <n v="188.22"/>
    <n v="16.510000000000002"/>
    <n v="2.99"/>
    <s v="Jonathan Doherty"/>
    <s v="Saskachewan"/>
    <x v="4"/>
    <s v="Corporate"/>
    <s v="Office Supplies"/>
    <x v="1"/>
    <x v="7"/>
    <d v="2012-10-12T00:00:00"/>
    <s v="12-Oct-2012"/>
  </r>
  <r>
    <n v="12711"/>
    <d v="2012-02-19T00:00:00"/>
    <s v="Critical"/>
    <s v="19-Feb-2012"/>
    <n v="45"/>
    <n v="558.04"/>
    <n v="0.05"/>
    <s v="Regular Air"/>
    <n v="40.32"/>
    <n v="12.98"/>
    <n v="3.14"/>
    <s v="Sung Shariari"/>
    <s v="Saskachewan"/>
    <x v="4"/>
    <s v="Corporate"/>
    <s v="Office Supplies"/>
    <x v="14"/>
    <x v="18"/>
    <d v="2012-02-20T00:00:00"/>
    <s v="20-Feb-2012"/>
  </r>
  <r>
    <n v="41186"/>
    <d v="2010-11-22T00:00:00"/>
    <s v="High"/>
    <s v="22-Nov-2010"/>
    <n v="33"/>
    <n v="553.3415"/>
    <n v="0.08"/>
    <s v="Regular Air"/>
    <n v="-67.709999999999994"/>
    <n v="20.99"/>
    <n v="0.99"/>
    <s v="Aleksandra Gannaway"/>
    <s v="Saskachewan"/>
    <x v="4"/>
    <s v="Corporate"/>
    <s v="Technology"/>
    <x v="10"/>
    <x v="34"/>
    <d v="2010-11-23T00:00:00"/>
    <s v="23-Nov-2010"/>
  </r>
  <r>
    <n v="47232"/>
    <d v="2010-08-17T00:00:00"/>
    <s v="Not Specified"/>
    <s v="17-Aug-2010"/>
    <n v="39"/>
    <n v="546.4"/>
    <n v="0.1"/>
    <s v="Express Air"/>
    <n v="-138.82"/>
    <n v="15.14"/>
    <n v="4.53"/>
    <s v="Brian Moss"/>
    <s v="Saskachewan"/>
    <x v="4"/>
    <s v="Corporate"/>
    <s v="Office Supplies"/>
    <x v="4"/>
    <x v="43"/>
    <d v="2010-08-19T00:00:00"/>
    <s v="19-Aug-2010"/>
  </r>
  <r>
    <n v="31330"/>
    <d v="2010-06-01T00:00:00"/>
    <s v="High"/>
    <s v="01-Jun-2010"/>
    <n v="38"/>
    <n v="540.64"/>
    <n v="0.02"/>
    <s v="Regular Air"/>
    <n v="13.89"/>
    <n v="13.43"/>
    <n v="5.5"/>
    <s v="Paul Stevenson"/>
    <s v="Saskachewan"/>
    <x v="4"/>
    <s v="Corporate"/>
    <s v="Office Supplies"/>
    <x v="4"/>
    <x v="6"/>
    <d v="2010-06-02T00:00:00"/>
    <s v="02-Jun-2010"/>
  </r>
  <r>
    <n v="31175"/>
    <d v="2009-09-26T00:00:00"/>
    <s v="Critical"/>
    <s v="26-Sep-2009"/>
    <n v="26"/>
    <n v="539.66"/>
    <n v="0"/>
    <s v="Express Air"/>
    <n v="147.08000000000001"/>
    <n v="19.98"/>
    <n v="5.97"/>
    <s v="William Brown"/>
    <s v="Saskachewan"/>
    <x v="4"/>
    <s v="Corporate"/>
    <s v="Office Supplies"/>
    <x v="12"/>
    <x v="1"/>
    <d v="2009-09-29T00:00:00"/>
    <s v="29-Sep-2009"/>
  </r>
  <r>
    <n v="25447"/>
    <d v="2012-05-23T00:00:00"/>
    <s v="Not Specified"/>
    <s v="23-May-2012"/>
    <n v="25"/>
    <n v="536.21"/>
    <n v="0.09"/>
    <s v="Regular Air"/>
    <n v="106.98"/>
    <n v="22.72"/>
    <n v="8.99"/>
    <s v="Randy Ferguson"/>
    <s v="Saskachewan"/>
    <x v="4"/>
    <s v="Corporate"/>
    <s v="Furniture"/>
    <x v="7"/>
    <x v="47"/>
    <d v="2012-05-24T00:00:00"/>
    <s v="24-May-2012"/>
  </r>
  <r>
    <n v="15815"/>
    <d v="2009-05-01T00:00:00"/>
    <s v="Critical"/>
    <s v="01-May-2009"/>
    <n v="43"/>
    <n v="528.6"/>
    <n v="0.01"/>
    <s v="Regular Air"/>
    <n v="52.59"/>
    <n v="11.7"/>
    <n v="5.63"/>
    <s v="Mitch Willingham"/>
    <s v="Saskachewan"/>
    <x v="4"/>
    <s v="Corporate"/>
    <s v="Office Supplies"/>
    <x v="1"/>
    <x v="27"/>
    <d v="2009-05-03T00:00:00"/>
    <s v="03-May-2009"/>
  </r>
  <r>
    <n v="22407"/>
    <d v="2009-11-17T00:00:00"/>
    <s v="Not Specified"/>
    <s v="17-Nov-2009"/>
    <n v="15"/>
    <n v="526.82000000000005"/>
    <n v="0.06"/>
    <s v="Express Air"/>
    <n v="32.340000000000003"/>
    <n v="34.58"/>
    <n v="8.99"/>
    <s v="Sung Shariari"/>
    <s v="Saskachewan"/>
    <x v="4"/>
    <s v="Corporate"/>
    <s v="Office Supplies"/>
    <x v="13"/>
    <x v="0"/>
    <d v="2009-11-19T00:00:00"/>
    <s v="19-Nov-2009"/>
  </r>
  <r>
    <n v="56743"/>
    <d v="2011-06-22T00:00:00"/>
    <s v="Medium"/>
    <s v="22-Jun-2011"/>
    <n v="23"/>
    <n v="524.25"/>
    <n v="0.06"/>
    <s v="Express Air"/>
    <n v="152.31"/>
    <n v="22.23"/>
    <n v="8.99"/>
    <s v="Arianne Irving"/>
    <s v="Saskachewan"/>
    <x v="4"/>
    <s v="Corporate"/>
    <s v="Furniture"/>
    <x v="7"/>
    <x v="25"/>
    <d v="2011-06-25T00:00:00"/>
    <s v="25-Jun-2011"/>
  </r>
  <r>
    <n v="9637"/>
    <d v="2009-01-03T00:00:00"/>
    <s v="Low"/>
    <s v="03-Jan-2009"/>
    <n v="12"/>
    <n v="522.49"/>
    <n v="0.08"/>
    <s v="Regular Air"/>
    <n v="-236.43"/>
    <n v="43.22"/>
    <n v="16.71"/>
    <s v="Andy Reiter"/>
    <s v="Saskachewan"/>
    <x v="4"/>
    <s v="Corporate"/>
    <s v="Technology"/>
    <x v="11"/>
    <x v="32"/>
    <d v="2009-01-05T00:00:00"/>
    <s v="05-Jan-2009"/>
  </r>
  <r>
    <n v="8803"/>
    <d v="2012-12-20T00:00:00"/>
    <s v="Not Specified"/>
    <s v="20-Dec-2012"/>
    <n v="17"/>
    <n v="514.22"/>
    <n v="0.02"/>
    <s v="Regular Air"/>
    <n v="187.37"/>
    <n v="30.56"/>
    <n v="2.99"/>
    <s v="William Brown"/>
    <s v="Saskachewan"/>
    <x v="4"/>
    <s v="Corporate"/>
    <s v="Office Supplies"/>
    <x v="1"/>
    <x v="2"/>
    <d v="2012-12-23T00:00:00"/>
    <s v="23-Dec-2012"/>
  </r>
  <r>
    <n v="44290"/>
    <d v="2010-03-21T00:00:00"/>
    <s v="Medium"/>
    <s v="21-Mar-2010"/>
    <n v="49"/>
    <n v="508.38"/>
    <n v="0.06"/>
    <s v="Regular Air"/>
    <n v="4.68"/>
    <n v="10.4"/>
    <n v="5.4"/>
    <s v="Peter Fuller"/>
    <s v="Saskachewan"/>
    <x v="4"/>
    <s v="Corporate"/>
    <s v="Furniture"/>
    <x v="7"/>
    <x v="51"/>
    <d v="2010-03-23T00:00:00"/>
    <s v="23-Mar-2010"/>
  </r>
  <r>
    <n v="9473"/>
    <d v="2012-10-11T00:00:00"/>
    <s v="Not Specified"/>
    <s v="11-Oct-2012"/>
    <n v="31"/>
    <n v="502.44"/>
    <n v="0.04"/>
    <s v="Regular Air"/>
    <n v="-363.44"/>
    <n v="15.51"/>
    <n v="17.78"/>
    <s v="Jonathan Doherty"/>
    <s v="Saskachewan"/>
    <x v="4"/>
    <s v="Corporate"/>
    <s v="Office Supplies"/>
    <x v="4"/>
    <x v="14"/>
    <d v="2012-10-13T00:00:00"/>
    <s v="13-Oct-2012"/>
  </r>
  <r>
    <n v="6272"/>
    <d v="2010-02-27T00:00:00"/>
    <s v="High"/>
    <s v="27-Feb-2010"/>
    <n v="33"/>
    <n v="497.4"/>
    <n v="0.05"/>
    <s v="Regular Air"/>
    <n v="37.9"/>
    <n v="14.98"/>
    <n v="8.99"/>
    <s v="Randy Ferguson"/>
    <s v="Saskachewan"/>
    <x v="4"/>
    <s v="Corporate"/>
    <s v="Furniture"/>
    <x v="7"/>
    <x v="4"/>
    <d v="2010-03-01T00:00:00"/>
    <s v="01-Mar-2010"/>
  </r>
  <r>
    <n v="27141"/>
    <d v="2010-02-04T00:00:00"/>
    <s v="Not Specified"/>
    <s v="04-Feb-2010"/>
    <n v="25"/>
    <n v="495.8"/>
    <n v="0.03"/>
    <s v="Regular Air"/>
    <n v="107.82"/>
    <n v="19.04"/>
    <n v="6.38"/>
    <s v="Patrick Ryan"/>
    <s v="Saskachewan"/>
    <x v="4"/>
    <s v="Corporate"/>
    <s v="Furniture"/>
    <x v="7"/>
    <x v="0"/>
    <d v="2010-02-05T00:00:00"/>
    <s v="05-Feb-2010"/>
  </r>
  <r>
    <n v="57287"/>
    <d v="2011-10-28T00:00:00"/>
    <s v="Not Specified"/>
    <s v="28-Oct-2011"/>
    <n v="11"/>
    <n v="472.12"/>
    <n v="0.03"/>
    <s v="Regular Air"/>
    <n v="56.1"/>
    <n v="40.97"/>
    <n v="1.99"/>
    <s v="Randy Ferguson"/>
    <s v="Saskachewan"/>
    <x v="4"/>
    <s v="Corporate"/>
    <s v="Technology"/>
    <x v="11"/>
    <x v="22"/>
    <d v="2011-10-29T00:00:00"/>
    <s v="29-Oct-2011"/>
  </r>
  <r>
    <n v="28256"/>
    <d v="2009-02-23T00:00:00"/>
    <s v="High"/>
    <s v="23-Feb-2009"/>
    <n v="19"/>
    <n v="467.4"/>
    <n v="0.01"/>
    <s v="Delivery Truck"/>
    <n v="-851.09"/>
    <n v="20.98"/>
    <n v="53.03"/>
    <s v="Brian Moss"/>
    <s v="Saskachewan"/>
    <x v="4"/>
    <s v="Corporate"/>
    <s v="Office Supplies"/>
    <x v="4"/>
    <x v="8"/>
    <d v="2009-02-23T00:00:00"/>
    <s v="23-Feb-2009"/>
  </r>
  <r>
    <n v="130"/>
    <d v="2012-05-07T00:00:00"/>
    <s v="High"/>
    <s v="07-May-2012"/>
    <n v="3"/>
    <n v="461.89"/>
    <n v="0.05"/>
    <s v="Express Air"/>
    <n v="-309.82"/>
    <n v="150.97999999999999"/>
    <n v="13.99"/>
    <s v="Roy Collins"/>
    <s v="Saskachewan"/>
    <x v="4"/>
    <s v="Corporate"/>
    <s v="Technology"/>
    <x v="0"/>
    <x v="1"/>
    <d v="2012-05-09T00:00:00"/>
    <s v="09-May-2012"/>
  </r>
  <r>
    <n v="36992"/>
    <d v="2009-12-07T00:00:00"/>
    <s v="Medium"/>
    <s v="07-Dec-2009"/>
    <n v="34"/>
    <n v="459.08"/>
    <n v="0.04"/>
    <s v="Express Air"/>
    <n v="61.57"/>
    <n v="12.98"/>
    <n v="3.14"/>
    <s v="Aleksandra Gannaway"/>
    <s v="Saskachewan"/>
    <x v="4"/>
    <s v="Corporate"/>
    <s v="Office Supplies"/>
    <x v="14"/>
    <x v="18"/>
    <d v="2009-12-09T00:00:00"/>
    <s v="09-Dec-2009"/>
  </r>
  <r>
    <n v="50145"/>
    <d v="2011-02-26T00:00:00"/>
    <s v="High"/>
    <s v="26-Feb-2011"/>
    <n v="9"/>
    <n v="458.8"/>
    <n v="0"/>
    <s v="Regular Air"/>
    <n v="305.87"/>
    <n v="46.94"/>
    <n v="6.77"/>
    <s v="Michael Grace"/>
    <s v="Saskachewan"/>
    <x v="4"/>
    <s v="Corporate"/>
    <s v="Furniture"/>
    <x v="7"/>
    <x v="47"/>
    <d v="2011-02-26T00:00:00"/>
    <s v="26-Feb-2011"/>
  </r>
  <r>
    <n v="59238"/>
    <d v="2009-09-19T00:00:00"/>
    <s v="High"/>
    <s v="19-Sep-2009"/>
    <n v="11"/>
    <n v="455.88"/>
    <n v="0.03"/>
    <s v="Express Air"/>
    <n v="9.15"/>
    <n v="40.97"/>
    <n v="8.99"/>
    <s v="Paul Prost"/>
    <s v="Saskachewan"/>
    <x v="4"/>
    <s v="Corporate"/>
    <s v="Office Supplies"/>
    <x v="13"/>
    <x v="14"/>
    <d v="2009-09-20T00:00:00"/>
    <s v="20-Sep-2009"/>
  </r>
  <r>
    <n v="20292"/>
    <d v="2012-11-08T00:00:00"/>
    <s v="Medium"/>
    <s v="08-Nov-2012"/>
    <n v="26"/>
    <n v="452.39"/>
    <n v="0.08"/>
    <s v="Regular Air"/>
    <n v="-22.83"/>
    <n v="17.52"/>
    <n v="8.17"/>
    <s v="Michael Grace"/>
    <s v="Saskachewan"/>
    <x v="4"/>
    <s v="Corporate"/>
    <s v="Office Supplies"/>
    <x v="5"/>
    <x v="31"/>
    <d v="2012-11-08T00:00:00"/>
    <s v="08-Nov-2012"/>
  </r>
  <r>
    <n v="18307"/>
    <d v="2010-02-02T00:00:00"/>
    <s v="Low"/>
    <s v="02-Feb-2010"/>
    <n v="23"/>
    <n v="441.99"/>
    <n v="0.08"/>
    <s v="Express Air"/>
    <n v="32.36"/>
    <n v="19.98"/>
    <n v="8.68"/>
    <s v="Dennis Pardue"/>
    <s v="Saskachewan"/>
    <x v="4"/>
    <s v="Corporate"/>
    <s v="Office Supplies"/>
    <x v="12"/>
    <x v="7"/>
    <d v="2010-02-06T00:00:00"/>
    <s v="06-Feb-2010"/>
  </r>
  <r>
    <n v="52068"/>
    <d v="2012-01-13T00:00:00"/>
    <s v="Not Specified"/>
    <s v="13-Jan-2012"/>
    <n v="17"/>
    <n v="441.53"/>
    <n v="7.0000000000000007E-2"/>
    <s v="Delivery Truck"/>
    <n v="-119.55"/>
    <n v="25.98"/>
    <n v="14.36"/>
    <s v="Peter Fuller"/>
    <s v="Saskachewan"/>
    <x v="4"/>
    <s v="Corporate"/>
    <s v="Furniture"/>
    <x v="2"/>
    <x v="18"/>
    <d v="2012-01-15T00:00:00"/>
    <s v="15-Jan-2012"/>
  </r>
  <r>
    <n v="47554"/>
    <d v="2010-03-13T00:00:00"/>
    <s v="Low"/>
    <s v="13-Mar-2010"/>
    <n v="9"/>
    <n v="436.3"/>
    <n v="0.08"/>
    <s v="Delivery Truck"/>
    <n v="-50.31"/>
    <n v="50.98"/>
    <n v="14.19"/>
    <s v="John Dryer"/>
    <s v="Saskachewan"/>
    <x v="4"/>
    <s v="Corporate"/>
    <s v="Furniture"/>
    <x v="2"/>
    <x v="0"/>
    <d v="2010-03-13T00:00:00"/>
    <s v="13-Mar-2010"/>
  </r>
  <r>
    <n v="55686"/>
    <d v="2011-03-25T00:00:00"/>
    <s v="Critical"/>
    <s v="25-Mar-2011"/>
    <n v="26"/>
    <n v="423.14"/>
    <n v="0.03"/>
    <s v="Regular Air"/>
    <n v="85.51"/>
    <n v="15.98"/>
    <n v="4"/>
    <s v="Suzanne McNair"/>
    <s v="Saskachewan"/>
    <x v="4"/>
    <s v="Corporate"/>
    <s v="Technology"/>
    <x v="11"/>
    <x v="7"/>
    <d v="2011-03-27T00:00:00"/>
    <s v="27-Mar-2011"/>
  </r>
  <r>
    <n v="43045"/>
    <d v="2012-06-14T00:00:00"/>
    <s v="Medium"/>
    <s v="14-Jun-2012"/>
    <n v="12"/>
    <n v="418.44"/>
    <n v="0.05"/>
    <s v="Delivery Truck"/>
    <n v="-407.17"/>
    <n v="31.76"/>
    <n v="45.51"/>
    <s v="Neil Knudson"/>
    <s v="Saskachewan"/>
    <x v="4"/>
    <s v="Corporate"/>
    <s v="Furniture"/>
    <x v="3"/>
    <x v="38"/>
    <d v="2012-06-14T00:00:00"/>
    <s v="14-Jun-2012"/>
  </r>
  <r>
    <n v="8133"/>
    <d v="2011-02-26T00:00:00"/>
    <s v="Medium"/>
    <s v="26-Feb-2011"/>
    <n v="11"/>
    <n v="405.53"/>
    <n v="0.04"/>
    <s v="Regular Air"/>
    <n v="130.52000000000001"/>
    <n v="35.44"/>
    <n v="5.09"/>
    <s v="Neil French"/>
    <s v="Saskachewan"/>
    <x v="4"/>
    <s v="Corporate"/>
    <s v="Office Supplies"/>
    <x v="12"/>
    <x v="1"/>
    <d v="2011-02-27T00:00:00"/>
    <s v="27-Feb-2011"/>
  </r>
  <r>
    <n v="27265"/>
    <d v="2012-05-06T00:00:00"/>
    <s v="Critical"/>
    <s v="06-May-2012"/>
    <n v="49"/>
    <n v="401.39"/>
    <n v="0.03"/>
    <s v="Express Air"/>
    <n v="161.94999999999999"/>
    <n v="8.34"/>
    <n v="0.96"/>
    <s v="Christina Anderson"/>
    <s v="Saskachewan"/>
    <x v="4"/>
    <s v="Corporate"/>
    <s v="Furniture"/>
    <x v="7"/>
    <x v="21"/>
    <d v="2012-05-08T00:00:00"/>
    <s v="08-May-2012"/>
  </r>
  <r>
    <n v="15751"/>
    <d v="2009-08-15T00:00:00"/>
    <s v="Critical"/>
    <s v="15-Aug-2009"/>
    <n v="21"/>
    <n v="397.73200000000003"/>
    <n v="0.01"/>
    <s v="Regular Air"/>
    <n v="-26.05"/>
    <n v="20.99"/>
    <n v="0.99"/>
    <s v="Maya Herman"/>
    <s v="Saskachewan"/>
    <x v="4"/>
    <s v="Corporate"/>
    <s v="Technology"/>
    <x v="10"/>
    <x v="34"/>
    <d v="2009-08-16T00:00:00"/>
    <s v="16-Aug-2009"/>
  </r>
  <r>
    <n v="52197"/>
    <d v="2012-08-04T00:00:00"/>
    <s v="Critical"/>
    <s v="04-Aug-2012"/>
    <n v="6"/>
    <n v="377.03"/>
    <n v="0.06"/>
    <s v="Regular Air"/>
    <n v="-78.819999999999993"/>
    <n v="64.98"/>
    <n v="6.88"/>
    <s v="Maxwell Schwartz"/>
    <s v="Saskachewan"/>
    <x v="4"/>
    <s v="Corporate"/>
    <s v="Office Supplies"/>
    <x v="4"/>
    <x v="33"/>
    <d v="2012-08-06T00:00:00"/>
    <s v="06-Aug-2012"/>
  </r>
  <r>
    <n v="47554"/>
    <d v="2010-03-13T00:00:00"/>
    <s v="Low"/>
    <s v="13-Mar-2010"/>
    <n v="47"/>
    <n v="364.23"/>
    <n v="0.01"/>
    <s v="Regular Air"/>
    <n v="41.58"/>
    <n v="7.59"/>
    <n v="4"/>
    <s v="John Dryer"/>
    <s v="Saskachewan"/>
    <x v="4"/>
    <s v="Corporate"/>
    <s v="Furniture"/>
    <x v="7"/>
    <x v="22"/>
    <d v="2010-03-20T00:00:00"/>
    <s v="20-Mar-2010"/>
  </r>
  <r>
    <n v="6272"/>
    <d v="2010-02-27T00:00:00"/>
    <s v="High"/>
    <s v="27-Feb-2010"/>
    <n v="8"/>
    <n v="358.41950000000003"/>
    <n v="0.09"/>
    <s v="Express Air"/>
    <n v="-275.06"/>
    <n v="55.99"/>
    <n v="2.5"/>
    <s v="Randy Ferguson"/>
    <s v="Saskachewan"/>
    <x v="4"/>
    <s v="Corporate"/>
    <s v="Technology"/>
    <x v="10"/>
    <x v="34"/>
    <d v="2010-03-01T00:00:00"/>
    <s v="01-Mar-2010"/>
  </r>
  <r>
    <n v="8034"/>
    <d v="2012-01-19T00:00:00"/>
    <s v="High"/>
    <s v="19-Jan-2012"/>
    <n v="31"/>
    <n v="354.45"/>
    <n v="0.01"/>
    <s v="Regular Air"/>
    <n v="11.38"/>
    <n v="10.98"/>
    <n v="3.99"/>
    <s v="Dennis Pardue"/>
    <s v="Saskachewan"/>
    <x v="4"/>
    <s v="Corporate"/>
    <s v="Office Supplies"/>
    <x v="5"/>
    <x v="15"/>
    <d v="2012-01-19T00:00:00"/>
    <s v="19-Jan-2012"/>
  </r>
  <r>
    <n v="36676"/>
    <d v="2011-08-25T00:00:00"/>
    <s v="Not Specified"/>
    <s v="25-Aug-2011"/>
    <n v="15"/>
    <n v="353.52"/>
    <n v="0.04"/>
    <s v="Regular Air"/>
    <n v="51.53"/>
    <n v="22.84"/>
    <n v="8.18"/>
    <s v="Mitch Willingham"/>
    <s v="Saskachewan"/>
    <x v="4"/>
    <s v="Corporate"/>
    <s v="Office Supplies"/>
    <x v="12"/>
    <x v="4"/>
    <d v="2011-08-26T00:00:00"/>
    <s v="26-Aug-2011"/>
  </r>
  <r>
    <n v="37926"/>
    <d v="2009-09-08T00:00:00"/>
    <s v="Critical"/>
    <s v="08-Sep-2009"/>
    <n v="31"/>
    <n v="353.25"/>
    <n v="0.02"/>
    <s v="Regular Air"/>
    <n v="60.06"/>
    <n v="11.55"/>
    <n v="2.36"/>
    <s v="Rick Hansen"/>
    <s v="Saskachewan"/>
    <x v="4"/>
    <s v="Corporate"/>
    <s v="Office Supplies"/>
    <x v="13"/>
    <x v="20"/>
    <d v="2009-09-10T00:00:00"/>
    <s v="10-Sep-2009"/>
  </r>
  <r>
    <n v="27491"/>
    <d v="2009-04-09T00:00:00"/>
    <s v="Not Specified"/>
    <s v="09-Apr-2009"/>
    <n v="36"/>
    <n v="350.71"/>
    <n v="0.02"/>
    <s v="Regular Air"/>
    <n v="-15.3"/>
    <n v="9.77"/>
    <n v="6.02"/>
    <s v="Roy Collins"/>
    <s v="Saskachewan"/>
    <x v="4"/>
    <s v="Corporate"/>
    <s v="Furniture"/>
    <x v="7"/>
    <x v="23"/>
    <d v="2009-04-10T00:00:00"/>
    <s v="10-Apr-2009"/>
  </r>
  <r>
    <n v="46884"/>
    <d v="2009-01-17T00:00:00"/>
    <s v="Medium"/>
    <s v="17-Jan-2009"/>
    <n v="3"/>
    <n v="337.33949999999999"/>
    <n v="0"/>
    <s v="Regular Air"/>
    <n v="-509.94"/>
    <n v="125.99"/>
    <n v="2.5"/>
    <s v="Paul Prost"/>
    <s v="Saskachewan"/>
    <x v="4"/>
    <s v="Corporate"/>
    <s v="Technology"/>
    <x v="10"/>
    <x v="14"/>
    <d v="2009-01-19T00:00:00"/>
    <s v="19-Jan-2009"/>
  </r>
  <r>
    <n v="25926"/>
    <d v="2009-11-20T00:00:00"/>
    <s v="High"/>
    <s v="20-Nov-2009"/>
    <n v="23"/>
    <n v="331.54"/>
    <n v="0.05"/>
    <s v="Regular Air"/>
    <n v="9.41"/>
    <n v="14.27"/>
    <n v="7.27"/>
    <s v="Michelle Moray"/>
    <s v="Saskachewan"/>
    <x v="4"/>
    <s v="Corporate"/>
    <s v="Office Supplies"/>
    <x v="1"/>
    <x v="1"/>
    <d v="2009-11-22T00:00:00"/>
    <s v="22-Nov-2009"/>
  </r>
  <r>
    <n v="50145"/>
    <d v="2011-02-26T00:00:00"/>
    <s v="High"/>
    <s v="26-Feb-2011"/>
    <n v="18"/>
    <n v="325.58"/>
    <n v="0.06"/>
    <s v="Regular Air"/>
    <n v="152.28"/>
    <n v="18.84"/>
    <n v="3.62"/>
    <s v="Michael Grace"/>
    <s v="Saskachewan"/>
    <x v="4"/>
    <s v="Corporate"/>
    <s v="Furniture"/>
    <x v="7"/>
    <x v="21"/>
    <d v="2011-02-27T00:00:00"/>
    <s v="27-Feb-2011"/>
  </r>
  <r>
    <n v="28512"/>
    <d v="2010-04-27T00:00:00"/>
    <s v="Medium"/>
    <s v="27-Apr-2010"/>
    <n v="11"/>
    <n v="323.91000000000003"/>
    <n v="0.09"/>
    <s v="Regular Air"/>
    <n v="-96.53"/>
    <n v="30.73"/>
    <n v="4"/>
    <s v="Lindsay Castell"/>
    <s v="Saskachewan"/>
    <x v="4"/>
    <s v="Corporate"/>
    <s v="Technology"/>
    <x v="11"/>
    <x v="16"/>
    <d v="2010-04-28T00:00:00"/>
    <s v="28-Apr-2010"/>
  </r>
  <r>
    <n v="31170"/>
    <d v="2012-01-27T00:00:00"/>
    <s v="Medium"/>
    <s v="27-Jan-2012"/>
    <n v="32"/>
    <n v="320.57"/>
    <n v="0.09"/>
    <s v="Regular Air"/>
    <n v="27.95"/>
    <n v="10.130000000000001"/>
    <n v="1.99"/>
    <s v="Suzanne McNair"/>
    <s v="Saskachewan"/>
    <x v="4"/>
    <s v="Corporate"/>
    <s v="Technology"/>
    <x v="11"/>
    <x v="20"/>
    <d v="2012-01-29T00:00:00"/>
    <s v="29-Jan-2012"/>
  </r>
  <r>
    <n v="55296"/>
    <d v="2012-10-18T00:00:00"/>
    <s v="Low"/>
    <s v="18-Oct-2012"/>
    <n v="32"/>
    <n v="317.06"/>
    <n v="0.05"/>
    <s v="Regular Air"/>
    <n v="105.47"/>
    <n v="10.06"/>
    <n v="2.06"/>
    <s v="Anthony Witt"/>
    <s v="Saskachewan"/>
    <x v="4"/>
    <s v="Corporate"/>
    <s v="Office Supplies"/>
    <x v="12"/>
    <x v="4"/>
    <d v="2012-10-22T00:00:00"/>
    <s v="22-Oct-2012"/>
  </r>
  <r>
    <n v="4737"/>
    <d v="2010-03-10T00:00:00"/>
    <s v="Not Specified"/>
    <s v="10-Mar-2010"/>
    <n v="49"/>
    <n v="314.20999999999998"/>
    <n v="0"/>
    <s v="Regular Air"/>
    <n v="49.77"/>
    <n v="5.88"/>
    <n v="3.04"/>
    <s v="Roy Collins"/>
    <s v="Saskachewan"/>
    <x v="4"/>
    <s v="Corporate"/>
    <s v="Office Supplies"/>
    <x v="12"/>
    <x v="10"/>
    <d v="2010-03-11T00:00:00"/>
    <s v="11-Mar-2010"/>
  </r>
  <r>
    <n v="51201"/>
    <d v="2011-12-16T00:00:00"/>
    <s v="High"/>
    <s v="16-Dec-2011"/>
    <n v="42"/>
    <n v="312.05"/>
    <n v="0.04"/>
    <s v="Regular Air"/>
    <n v="-342.38"/>
    <n v="7.38"/>
    <n v="11.51"/>
    <s v="Jonathan Doherty"/>
    <s v="Saskachewan"/>
    <x v="4"/>
    <s v="Corporate"/>
    <s v="Office Supplies"/>
    <x v="1"/>
    <x v="10"/>
    <d v="2011-12-16T00:00:00"/>
    <s v="16-Dec-2011"/>
  </r>
  <r>
    <n v="21382"/>
    <d v="2012-01-12T00:00:00"/>
    <s v="Critical"/>
    <s v="12-Jan-2012"/>
    <n v="11"/>
    <n v="312.02999999999997"/>
    <n v="0.08"/>
    <s v="Regular Air"/>
    <n v="-66.66"/>
    <n v="29.99"/>
    <n v="5.5"/>
    <s v="Andy Reiter"/>
    <s v="Saskachewan"/>
    <x v="4"/>
    <s v="Corporate"/>
    <s v="Technology"/>
    <x v="11"/>
    <x v="51"/>
    <d v="2012-01-14T00:00:00"/>
    <s v="14-Jan-2012"/>
  </r>
  <r>
    <n v="6339"/>
    <d v="2012-12-11T00:00:00"/>
    <s v="Critical"/>
    <s v="11-Dec-2012"/>
    <n v="20"/>
    <n v="303.69"/>
    <n v="0.05"/>
    <s v="Regular Air"/>
    <n v="-50.84"/>
    <n v="14.98"/>
    <n v="7.69"/>
    <s v="Jonathan Doherty"/>
    <s v="Saskachewan"/>
    <x v="4"/>
    <s v="Corporate"/>
    <s v="Office Supplies"/>
    <x v="4"/>
    <x v="6"/>
    <d v="2012-12-12T00:00:00"/>
    <s v="12-Dec-2012"/>
  </r>
  <r>
    <n v="57280"/>
    <d v="2012-01-31T00:00:00"/>
    <s v="Medium"/>
    <s v="31-Jan-2012"/>
    <n v="44"/>
    <n v="299.85000000000002"/>
    <n v="0.03"/>
    <s v="Express Air"/>
    <n v="-260.8"/>
    <n v="6.48"/>
    <n v="10.050000000000001"/>
    <s v="Dennis Pardue"/>
    <s v="Saskachewan"/>
    <x v="4"/>
    <s v="Corporate"/>
    <s v="Office Supplies"/>
    <x v="12"/>
    <x v="7"/>
    <d v="2012-02-01T00:00:00"/>
    <s v="01-Feb-2012"/>
  </r>
  <r>
    <n v="22727"/>
    <d v="2011-07-03T00:00:00"/>
    <s v="Not Specified"/>
    <s v="03-Jul-2011"/>
    <n v="45"/>
    <n v="296.82"/>
    <n v="7.0000000000000007E-2"/>
    <s v="Regular Air"/>
    <n v="-120.37"/>
    <n v="6.48"/>
    <n v="6.65"/>
    <s v="Lycoris Saunders"/>
    <s v="Saskachewan"/>
    <x v="4"/>
    <s v="Corporate"/>
    <s v="Office Supplies"/>
    <x v="12"/>
    <x v="10"/>
    <d v="2011-07-03T00:00:00"/>
    <s v="03-Jul-2011"/>
  </r>
  <r>
    <n v="40928"/>
    <d v="2009-09-12T00:00:00"/>
    <s v="Low"/>
    <s v="12-Sep-2009"/>
    <n v="4"/>
    <n v="292.34050000000002"/>
    <n v="0.01"/>
    <s v="Regular Air"/>
    <n v="-420.59"/>
    <n v="85.99"/>
    <n v="0.99"/>
    <s v="Patrick Ryan"/>
    <s v="Saskachewan"/>
    <x v="4"/>
    <s v="Corporate"/>
    <s v="Technology"/>
    <x v="10"/>
    <x v="42"/>
    <d v="2009-09-17T00:00:00"/>
    <s v="17-Sep-2009"/>
  </r>
  <r>
    <n v="49319"/>
    <d v="2011-08-25T00:00:00"/>
    <s v="Low"/>
    <s v="25-Aug-2011"/>
    <n v="40"/>
    <n v="289.19"/>
    <n v="0.01"/>
    <s v="Regular Air"/>
    <n v="-69.03"/>
    <n v="6.68"/>
    <n v="6.15"/>
    <s v="Karen Bern"/>
    <s v="Saskachewan"/>
    <x v="4"/>
    <s v="Corporate"/>
    <s v="Office Supplies"/>
    <x v="12"/>
    <x v="7"/>
    <d v="2011-08-27T00:00:00"/>
    <s v="27-Aug-2011"/>
  </r>
  <r>
    <n v="3554"/>
    <d v="2011-06-16T00:00:00"/>
    <s v="Low"/>
    <s v="16-Jun-2011"/>
    <n v="25"/>
    <n v="288.91000000000003"/>
    <n v="0.08"/>
    <s v="Regular Air"/>
    <n v="-14.06"/>
    <n v="12.28"/>
    <n v="6.47"/>
    <s v="Ken Heidel"/>
    <s v="Saskachewan"/>
    <x v="4"/>
    <s v="Corporate"/>
    <s v="Office Supplies"/>
    <x v="12"/>
    <x v="1"/>
    <d v="2011-06-25T00:00:00"/>
    <s v="25-Jun-2011"/>
  </r>
  <r>
    <n v="42631"/>
    <d v="2009-05-09T00:00:00"/>
    <s v="High"/>
    <s v="09-May-2009"/>
    <n v="44"/>
    <n v="287.22000000000003"/>
    <n v="0.06"/>
    <s v="Regular Air"/>
    <n v="-72.930000000000007"/>
    <n v="6.68"/>
    <n v="5.41"/>
    <s v="Jeremy Lonsdale"/>
    <s v="Saskachewan"/>
    <x v="4"/>
    <s v="Corporate"/>
    <s v="Office Supplies"/>
    <x v="12"/>
    <x v="7"/>
    <d v="2009-05-10T00:00:00"/>
    <s v="10-May-2009"/>
  </r>
  <r>
    <n v="59776"/>
    <d v="2009-03-09T00:00:00"/>
    <s v="Low"/>
    <s v="09-Mar-2009"/>
    <n v="35"/>
    <n v="285.01"/>
    <n v="0.01"/>
    <s v="Express Air"/>
    <n v="124.82"/>
    <n v="7.64"/>
    <n v="1.39"/>
    <s v="Maxwell Schwartz"/>
    <s v="Saskachewan"/>
    <x v="4"/>
    <s v="Corporate"/>
    <s v="Office Supplies"/>
    <x v="15"/>
    <x v="10"/>
    <d v="2009-03-13T00:00:00"/>
    <s v="13-Mar-2009"/>
  </r>
  <r>
    <n v="44290"/>
    <d v="2010-03-21T00:00:00"/>
    <s v="Medium"/>
    <s v="21-Mar-2010"/>
    <n v="28"/>
    <n v="281.08999999999997"/>
    <n v="0.01"/>
    <s v="Regular Air"/>
    <n v="-114.58"/>
    <n v="9.06"/>
    <n v="9.86"/>
    <s v="Peter Fuller"/>
    <s v="Saskachewan"/>
    <x v="4"/>
    <s v="Corporate"/>
    <s v="Office Supplies"/>
    <x v="12"/>
    <x v="27"/>
    <d v="2010-03-23T00:00:00"/>
    <s v="23-Mar-2010"/>
  </r>
  <r>
    <n v="51266"/>
    <d v="2009-03-25T00:00:00"/>
    <s v="Not Specified"/>
    <s v="25-Mar-2009"/>
    <n v="23"/>
    <n v="278.83"/>
    <n v="0.03"/>
    <s v="Regular Air"/>
    <n v="35.159999999999997"/>
    <n v="12.28"/>
    <n v="4.8600000000000003"/>
    <s v="Michael Grace"/>
    <s v="Saskachewan"/>
    <x v="4"/>
    <s v="Corporate"/>
    <s v="Office Supplies"/>
    <x v="12"/>
    <x v="1"/>
    <d v="2009-03-26T00:00:00"/>
    <s v="26-Mar-2009"/>
  </r>
  <r>
    <n v="58784"/>
    <d v="2009-01-18T00:00:00"/>
    <s v="Medium"/>
    <s v="18-Jan-2009"/>
    <n v="17"/>
    <n v="278.76"/>
    <n v="0.02"/>
    <s v="Regular Air"/>
    <n v="-210.09"/>
    <n v="15.51"/>
    <n v="17.78"/>
    <s v="Kristen Hastings"/>
    <s v="Saskachewan"/>
    <x v="4"/>
    <s v="Corporate"/>
    <s v="Office Supplies"/>
    <x v="4"/>
    <x v="14"/>
    <d v="2009-01-19T00:00:00"/>
    <s v="19-Jan-2009"/>
  </r>
  <r>
    <n v="49346"/>
    <d v="2011-05-05T00:00:00"/>
    <s v="Not Specified"/>
    <s v="05-May-2011"/>
    <n v="50"/>
    <n v="276.75"/>
    <n v="0.04"/>
    <s v="Regular Air"/>
    <n v="-117.91"/>
    <n v="5.28"/>
    <n v="5.57"/>
    <s v="Rick Hansen"/>
    <s v="Saskachewan"/>
    <x v="4"/>
    <s v="Corporate"/>
    <s v="Office Supplies"/>
    <x v="12"/>
    <x v="27"/>
    <d v="2011-05-06T00:00:00"/>
    <s v="06-May-2011"/>
  </r>
  <r>
    <n v="44290"/>
    <d v="2010-03-21T00:00:00"/>
    <s v="Medium"/>
    <s v="21-Mar-2010"/>
    <n v="41"/>
    <n v="276.64999999999998"/>
    <n v="0.02"/>
    <s v="Regular Air"/>
    <n v="-75.28"/>
    <n v="6.48"/>
    <n v="5.87"/>
    <s v="Peter Fuller"/>
    <s v="Saskachewan"/>
    <x v="4"/>
    <s v="Corporate"/>
    <s v="Office Supplies"/>
    <x v="12"/>
    <x v="7"/>
    <d v="2010-03-23T00:00:00"/>
    <s v="23-Mar-2010"/>
  </r>
  <r>
    <n v="30657"/>
    <d v="2011-05-10T00:00:00"/>
    <s v="High"/>
    <s v="10-May-2011"/>
    <n v="6"/>
    <n v="273.38"/>
    <n v="0.06"/>
    <s v="Express Air"/>
    <n v="-170.91"/>
    <n v="43.22"/>
    <n v="16.71"/>
    <s v="Paul Stevenson"/>
    <s v="Saskachewan"/>
    <x v="4"/>
    <s v="Corporate"/>
    <s v="Technology"/>
    <x v="11"/>
    <x v="32"/>
    <d v="2011-05-11T00:00:00"/>
    <s v="11-May-2011"/>
  </r>
  <r>
    <n v="45825"/>
    <d v="2012-10-07T00:00:00"/>
    <s v="Medium"/>
    <s v="07-Oct-2012"/>
    <n v="43"/>
    <n v="272.63"/>
    <n v="0.04"/>
    <s v="Regular Air"/>
    <n v="-64.45"/>
    <n v="6.48"/>
    <n v="5.14"/>
    <s v="Liz Price"/>
    <s v="Saskachewan"/>
    <x v="4"/>
    <s v="Corporate"/>
    <s v="Office Supplies"/>
    <x v="12"/>
    <x v="7"/>
    <d v="2012-10-07T00:00:00"/>
    <s v="07-Oct-2012"/>
  </r>
  <r>
    <n v="19974"/>
    <d v="2010-11-03T00:00:00"/>
    <s v="High"/>
    <s v="03-Nov-2010"/>
    <n v="22"/>
    <n v="267.43"/>
    <n v="7.0000000000000007E-2"/>
    <s v="Regular Air"/>
    <n v="-45.98"/>
    <n v="12.28"/>
    <n v="6.13"/>
    <s v="Rick Wilson"/>
    <s v="Saskachewan"/>
    <x v="4"/>
    <s v="Corporate"/>
    <s v="Office Supplies"/>
    <x v="4"/>
    <x v="6"/>
    <d v="2010-11-05T00:00:00"/>
    <s v="05-Nov-2010"/>
  </r>
  <r>
    <n v="31106"/>
    <d v="2012-02-16T00:00:00"/>
    <s v="Low"/>
    <s v="16-Feb-2012"/>
    <n v="45"/>
    <n v="259.17"/>
    <n v="0.01"/>
    <s v="Regular Air"/>
    <n v="-57.33"/>
    <n v="5.68"/>
    <n v="3.6"/>
    <s v="Nick Crebassa"/>
    <s v="Saskachewan"/>
    <x v="4"/>
    <s v="Corporate"/>
    <s v="Office Supplies"/>
    <x v="14"/>
    <x v="0"/>
    <d v="2012-02-18T00:00:00"/>
    <s v="18-Feb-2012"/>
  </r>
  <r>
    <n v="25953"/>
    <d v="2009-09-27T00:00:00"/>
    <s v="Critical"/>
    <s v="27-Sep-2009"/>
    <n v="27"/>
    <n v="258.54000000000002"/>
    <n v="0.1"/>
    <s v="Regular Air"/>
    <n v="-16.3"/>
    <n v="9.85"/>
    <n v="4.82"/>
    <s v="Liz Carlisle"/>
    <s v="Saskachewan"/>
    <x v="4"/>
    <s v="Corporate"/>
    <s v="Office Supplies"/>
    <x v="13"/>
    <x v="26"/>
    <d v="2009-09-28T00:00:00"/>
    <s v="28-Sep-2009"/>
  </r>
  <r>
    <n v="42631"/>
    <d v="2009-05-09T00:00:00"/>
    <s v="High"/>
    <s v="09-May-2009"/>
    <n v="41"/>
    <n v="257.66000000000003"/>
    <n v="0.05"/>
    <s v="Regular Air"/>
    <n v="-69.23"/>
    <n v="6.48"/>
    <n v="2.74"/>
    <s v="Jeremy Lonsdale"/>
    <s v="Saskachewan"/>
    <x v="4"/>
    <s v="Corporate"/>
    <s v="Technology"/>
    <x v="11"/>
    <x v="35"/>
    <d v="2009-05-09T00:00:00"/>
    <s v="09-May-2009"/>
  </r>
  <r>
    <n v="3783"/>
    <d v="2010-12-05T00:00:00"/>
    <s v="Not Specified"/>
    <s v="05-Dec-2010"/>
    <n v="40"/>
    <n v="257.43"/>
    <n v="0.05"/>
    <s v="Regular Air"/>
    <n v="-200.63"/>
    <n v="6.48"/>
    <n v="8.73"/>
    <s v="Jonathan Doherty"/>
    <s v="Saskachewan"/>
    <x v="4"/>
    <s v="Corporate"/>
    <s v="Office Supplies"/>
    <x v="12"/>
    <x v="7"/>
    <d v="2010-12-07T00:00:00"/>
    <s v="07-Dec-2010"/>
  </r>
  <r>
    <n v="57095"/>
    <d v="2011-03-23T00:00:00"/>
    <s v="Medium"/>
    <s v="23-Mar-2011"/>
    <n v="37"/>
    <n v="254.93"/>
    <n v="0.01"/>
    <s v="Regular Air"/>
    <n v="-62.88"/>
    <n v="6.81"/>
    <n v="5.48"/>
    <s v="Paul Prost"/>
    <s v="Saskachewan"/>
    <x v="4"/>
    <s v="Corporate"/>
    <s v="Office Supplies"/>
    <x v="1"/>
    <x v="7"/>
    <d v="2011-03-26T00:00:00"/>
    <s v="26-Mar-2011"/>
  </r>
  <r>
    <n v="48391"/>
    <d v="2010-10-29T00:00:00"/>
    <s v="Not Specified"/>
    <s v="29-Oct-2010"/>
    <n v="45"/>
    <n v="254.92"/>
    <n v="0.1"/>
    <s v="Regular Air"/>
    <n v="-99.62"/>
    <n v="5.98"/>
    <n v="5.46"/>
    <s v="Nick Crebassa"/>
    <s v="Saskachewan"/>
    <x v="4"/>
    <s v="Corporate"/>
    <s v="Office Supplies"/>
    <x v="12"/>
    <x v="10"/>
    <d v="2010-10-30T00:00:00"/>
    <s v="30-Oct-2010"/>
  </r>
  <r>
    <n v="5575"/>
    <d v="2011-07-23T00:00:00"/>
    <s v="Low"/>
    <s v="23-Jul-2011"/>
    <n v="41"/>
    <n v="254.69"/>
    <n v="0.06"/>
    <s v="Regular Air"/>
    <n v="-269.37"/>
    <n v="5.98"/>
    <n v="10.39"/>
    <s v="Rick Hansen"/>
    <s v="Saskachewan"/>
    <x v="4"/>
    <s v="Corporate"/>
    <s v="Office Supplies"/>
    <x v="12"/>
    <x v="27"/>
    <d v="2011-07-23T00:00:00"/>
    <s v="23-Jul-2011"/>
  </r>
  <r>
    <n v="47524"/>
    <d v="2010-04-15T00:00:00"/>
    <s v="Medium"/>
    <s v="15-Apr-2010"/>
    <n v="40"/>
    <n v="245.82"/>
    <n v="0.08"/>
    <s v="Regular Air"/>
    <n v="86.44"/>
    <n v="6.45"/>
    <n v="1.34"/>
    <s v="Jeremy Lonsdale"/>
    <s v="Saskachewan"/>
    <x v="4"/>
    <s v="Corporate"/>
    <s v="Office Supplies"/>
    <x v="12"/>
    <x v="10"/>
    <d v="2010-04-15T00:00:00"/>
    <s v="15-Apr-2010"/>
  </r>
  <r>
    <n v="18307"/>
    <d v="2010-02-02T00:00:00"/>
    <s v="Low"/>
    <s v="02-Feb-2010"/>
    <n v="34"/>
    <n v="245.19"/>
    <n v="0.03"/>
    <s v="Regular Air"/>
    <n v="37.99"/>
    <n v="7.08"/>
    <n v="2.35"/>
    <s v="Dennis Pardue"/>
    <s v="Saskachewan"/>
    <x v="4"/>
    <s v="Corporate"/>
    <s v="Office Supplies"/>
    <x v="13"/>
    <x v="26"/>
    <d v="2010-02-02T00:00:00"/>
    <s v="02-Feb-2010"/>
  </r>
  <r>
    <n v="23363"/>
    <d v="2012-05-29T00:00:00"/>
    <s v="Low"/>
    <s v="29-May-2012"/>
    <n v="46"/>
    <n v="241.81"/>
    <n v="0.02"/>
    <s v="Regular Air"/>
    <n v="-94.83"/>
    <n v="4.91"/>
    <n v="4.97"/>
    <s v="Robert Dilbeck"/>
    <s v="Saskachewan"/>
    <x v="4"/>
    <s v="Corporate"/>
    <s v="Office Supplies"/>
    <x v="1"/>
    <x v="1"/>
    <d v="2012-06-05T00:00:00"/>
    <s v="05-Jun-2012"/>
  </r>
  <r>
    <n v="8034"/>
    <d v="2012-01-19T00:00:00"/>
    <s v="High"/>
    <s v="19-Jan-2012"/>
    <n v="13"/>
    <n v="238.43"/>
    <n v="0.02"/>
    <s v="Regular Air"/>
    <n v="-36.11"/>
    <n v="16.989999999999998"/>
    <n v="8.99"/>
    <s v="Dennis Pardue"/>
    <s v="Saskachewan"/>
    <x v="4"/>
    <s v="Corporate"/>
    <s v="Office Supplies"/>
    <x v="13"/>
    <x v="0"/>
    <d v="2012-01-20T00:00:00"/>
    <s v="20-Jan-2012"/>
  </r>
  <r>
    <n v="27302"/>
    <d v="2012-09-12T00:00:00"/>
    <s v="Low"/>
    <s v="12-Sep-2012"/>
    <n v="16"/>
    <n v="237.54"/>
    <n v="0.04"/>
    <s v="Regular Air"/>
    <n v="29.76"/>
    <n v="13.79"/>
    <n v="8.7799999999999994"/>
    <s v="Maya Herman"/>
    <s v="Saskachewan"/>
    <x v="4"/>
    <s v="Corporate"/>
    <s v="Furniture"/>
    <x v="7"/>
    <x v="21"/>
    <d v="2012-09-12T00:00:00"/>
    <s v="12-Sep-2012"/>
  </r>
  <r>
    <n v="25120"/>
    <d v="2009-02-04T00:00:00"/>
    <s v="Medium"/>
    <s v="04-Feb-2009"/>
    <n v="46"/>
    <n v="237.15"/>
    <n v="0"/>
    <s v="Regular Air"/>
    <n v="123.02"/>
    <n v="4.91"/>
    <n v="0.5"/>
    <s v="Michael Grace"/>
    <s v="Saskachewan"/>
    <x v="4"/>
    <s v="Corporate"/>
    <s v="Office Supplies"/>
    <x v="9"/>
    <x v="10"/>
    <d v="2009-02-06T00:00:00"/>
    <s v="06-Feb-2009"/>
  </r>
  <r>
    <n v="6501"/>
    <d v="2012-01-13T00:00:00"/>
    <s v="High"/>
    <s v="13-Jan-2012"/>
    <n v="35"/>
    <n v="236.99"/>
    <n v="0.06"/>
    <s v="Regular Air"/>
    <n v="-95.79"/>
    <n v="6.48"/>
    <n v="6.74"/>
    <s v="Arianne Irving"/>
    <s v="Saskachewan"/>
    <x v="4"/>
    <s v="Corporate"/>
    <s v="Office Supplies"/>
    <x v="12"/>
    <x v="7"/>
    <d v="2012-01-15T00:00:00"/>
    <s v="15-Jan-2012"/>
  </r>
  <r>
    <n v="130"/>
    <d v="2012-05-07T00:00:00"/>
    <s v="High"/>
    <s v="07-May-2012"/>
    <n v="23"/>
    <n v="236.46"/>
    <n v="0.05"/>
    <s v="Regular Air"/>
    <n v="-134.31"/>
    <n v="9.7100000000000009"/>
    <n v="9.4499999999999993"/>
    <s v="Roy Collins"/>
    <s v="Saskachewan"/>
    <x v="4"/>
    <s v="Corporate"/>
    <s v="Office Supplies"/>
    <x v="4"/>
    <x v="18"/>
    <d v="2012-05-10T00:00:00"/>
    <s v="10-May-2012"/>
  </r>
  <r>
    <n v="28929"/>
    <d v="2012-10-09T00:00:00"/>
    <s v="Medium"/>
    <s v="09-Oct-2012"/>
    <n v="37"/>
    <n v="230.97"/>
    <n v="0.08"/>
    <s v="Regular Air"/>
    <n v="-173.73"/>
    <n v="6.48"/>
    <n v="8.19"/>
    <s v="Saphhira Shifley"/>
    <s v="Saskachewan"/>
    <x v="4"/>
    <s v="Corporate"/>
    <s v="Office Supplies"/>
    <x v="12"/>
    <x v="7"/>
    <d v="2012-10-10T00:00:00"/>
    <s v="10-Oct-2012"/>
  </r>
  <r>
    <n v="26084"/>
    <d v="2012-10-16T00:00:00"/>
    <s v="Low"/>
    <s v="16-Oct-2012"/>
    <n v="33"/>
    <n v="228.82"/>
    <n v="0.03"/>
    <s v="Express Air"/>
    <n v="-107"/>
    <n v="6.68"/>
    <n v="7.3"/>
    <s v="Patrick Ryan"/>
    <s v="Saskachewan"/>
    <x v="4"/>
    <s v="Corporate"/>
    <s v="Office Supplies"/>
    <x v="12"/>
    <x v="7"/>
    <d v="2012-10-21T00:00:00"/>
    <s v="21-Oct-2012"/>
  </r>
  <r>
    <n v="27776"/>
    <d v="2010-05-04T00:00:00"/>
    <s v="Low"/>
    <s v="04-May-2010"/>
    <n v="41"/>
    <n v="226.68"/>
    <n v="0.04"/>
    <s v="Express Air"/>
    <n v="-159.35"/>
    <n v="4.9800000000000004"/>
    <n v="7.28"/>
    <s v="Liz Price"/>
    <s v="Saskachewan"/>
    <x v="4"/>
    <s v="Corporate"/>
    <s v="Office Supplies"/>
    <x v="12"/>
    <x v="1"/>
    <d v="2010-05-08T00:00:00"/>
    <s v="08-May-2010"/>
  </r>
  <r>
    <n v="12355"/>
    <d v="2011-05-28T00:00:00"/>
    <s v="Not Specified"/>
    <s v="28-May-2011"/>
    <n v="14"/>
    <n v="225.47"/>
    <n v="0"/>
    <s v="Regular Air"/>
    <n v="-29.07"/>
    <n v="14.97"/>
    <n v="7.51"/>
    <s v="Ken Heidel"/>
    <s v="Saskachewan"/>
    <x v="4"/>
    <s v="Corporate"/>
    <s v="Office Supplies"/>
    <x v="4"/>
    <x v="6"/>
    <d v="2011-05-29T00:00:00"/>
    <s v="29-May-2011"/>
  </r>
  <r>
    <n v="53029"/>
    <d v="2009-07-27T00:00:00"/>
    <s v="Low"/>
    <s v="27-Jul-2009"/>
    <n v="39"/>
    <n v="223.34"/>
    <n v="0.1"/>
    <s v="Regular Air"/>
    <n v="95.42"/>
    <n v="6.3"/>
    <n v="0.5"/>
    <s v="Max Ludwig"/>
    <s v="Saskachewan"/>
    <x v="4"/>
    <s v="Corporate"/>
    <s v="Office Supplies"/>
    <x v="9"/>
    <x v="4"/>
    <d v="2009-08-01T00:00:00"/>
    <s v="01-Aug-2009"/>
  </r>
  <r>
    <n v="29539"/>
    <d v="2011-04-23T00:00:00"/>
    <s v="High"/>
    <s v="23-Apr-2011"/>
    <n v="24"/>
    <n v="223.2"/>
    <n v="0.1"/>
    <s v="Regular Air"/>
    <n v="78.739999999999995"/>
    <n v="9.7799999999999994"/>
    <n v="1.39"/>
    <s v="Neil French"/>
    <s v="Saskachewan"/>
    <x v="4"/>
    <s v="Corporate"/>
    <s v="Office Supplies"/>
    <x v="15"/>
    <x v="4"/>
    <d v="2011-04-24T00:00:00"/>
    <s v="24-Apr-2011"/>
  </r>
  <r>
    <n v="48257"/>
    <d v="2009-04-22T00:00:00"/>
    <s v="Low"/>
    <s v="22-Apr-2009"/>
    <n v="45"/>
    <n v="221.06"/>
    <n v="0.02"/>
    <s v="Regular Air"/>
    <n v="-124.28"/>
    <n v="4.57"/>
    <n v="5.42"/>
    <s v="Christina Anderson"/>
    <s v="Saskachewan"/>
    <x v="4"/>
    <s v="Corporate"/>
    <s v="Office Supplies"/>
    <x v="1"/>
    <x v="7"/>
    <d v="2009-04-26T00:00:00"/>
    <s v="26-Apr-2009"/>
  </r>
  <r>
    <n v="42631"/>
    <d v="2009-05-09T00:00:00"/>
    <s v="High"/>
    <s v="09-May-2009"/>
    <n v="18"/>
    <n v="211.4"/>
    <n v="0.09"/>
    <s v="Regular Air"/>
    <n v="91.63"/>
    <n v="12.53"/>
    <n v="0.5"/>
    <s v="Jeremy Lonsdale"/>
    <s v="Saskachewan"/>
    <x v="4"/>
    <s v="Corporate"/>
    <s v="Office Supplies"/>
    <x v="9"/>
    <x v="1"/>
    <d v="2009-05-10T00:00:00"/>
    <s v="10-May-2009"/>
  </r>
  <r>
    <n v="12355"/>
    <d v="2011-05-28T00:00:00"/>
    <s v="Not Specified"/>
    <s v="28-May-2011"/>
    <n v="36"/>
    <n v="209.53"/>
    <n v="0.03"/>
    <s v="Regular Air"/>
    <n v="-81.06"/>
    <n v="5.78"/>
    <n v="5.67"/>
    <s v="Ken Heidel"/>
    <s v="Saskachewan"/>
    <x v="4"/>
    <s v="Corporate"/>
    <s v="Office Supplies"/>
    <x v="12"/>
    <x v="10"/>
    <d v="2011-05-29T00:00:00"/>
    <s v="29-May-2011"/>
  </r>
  <r>
    <n v="42374"/>
    <d v="2012-07-17T00:00:00"/>
    <s v="Critical"/>
    <s v="17-Jul-2012"/>
    <n v="21"/>
    <n v="205.32"/>
    <n v="0.08"/>
    <s v="Express Air"/>
    <n v="37.299999999999997"/>
    <n v="10.01"/>
    <n v="1.99"/>
    <s v="Dennis Pardue"/>
    <s v="Saskachewan"/>
    <x v="4"/>
    <s v="Corporate"/>
    <s v="Technology"/>
    <x v="11"/>
    <x v="25"/>
    <d v="2012-07-17T00:00:00"/>
    <s v="17-Jul-2012"/>
  </r>
  <r>
    <n v="57157"/>
    <d v="2012-02-26T00:00:00"/>
    <s v="Critical"/>
    <s v="26-Feb-2012"/>
    <n v="18"/>
    <n v="203.57"/>
    <n v="0.01"/>
    <s v="Regular Air"/>
    <n v="-4.84"/>
    <n v="10.98"/>
    <n v="3.99"/>
    <s v="Maya Herman"/>
    <s v="Saskachewan"/>
    <x v="4"/>
    <s v="Corporate"/>
    <s v="Office Supplies"/>
    <x v="5"/>
    <x v="15"/>
    <d v="2012-02-29T00:00:00"/>
    <s v="29-Feb-2012"/>
  </r>
  <r>
    <n v="28037"/>
    <d v="2009-12-12T00:00:00"/>
    <s v="High"/>
    <s v="12-Dec-2009"/>
    <n v="31"/>
    <n v="203.53"/>
    <n v="0.06"/>
    <s v="Regular Air"/>
    <n v="-101.28"/>
    <n v="6.68"/>
    <n v="6.93"/>
    <s v="Maxwell Schwartz"/>
    <s v="Saskachewan"/>
    <x v="4"/>
    <s v="Corporate"/>
    <s v="Office Supplies"/>
    <x v="12"/>
    <x v="7"/>
    <d v="2009-12-13T00:00:00"/>
    <s v="13-Dec-2009"/>
  </r>
  <r>
    <n v="48577"/>
    <d v="2012-07-08T00:00:00"/>
    <s v="Medium"/>
    <s v="08-Jul-2012"/>
    <n v="6"/>
    <n v="201.83"/>
    <n v="0.02"/>
    <s v="Regular Air"/>
    <n v="34.979999999999997"/>
    <n v="30.98"/>
    <n v="5.09"/>
    <s v="Roy Collins"/>
    <s v="Saskachewan"/>
    <x v="4"/>
    <s v="Corporate"/>
    <s v="Office Supplies"/>
    <x v="12"/>
    <x v="27"/>
    <d v="2012-07-10T00:00:00"/>
    <s v="10-Jul-2012"/>
  </r>
  <r>
    <n v="45959"/>
    <d v="2009-12-06T00:00:00"/>
    <s v="Medium"/>
    <s v="06-Dec-2009"/>
    <n v="15"/>
    <n v="201.74"/>
    <n v="0.08"/>
    <s v="Express Air"/>
    <n v="-2.63"/>
    <n v="12.53"/>
    <n v="7.17"/>
    <s v="Roy Collins"/>
    <s v="Saskachewan"/>
    <x v="4"/>
    <s v="Corporate"/>
    <s v="Office Supplies"/>
    <x v="1"/>
    <x v="1"/>
    <d v="2009-12-08T00:00:00"/>
    <s v="08-Dec-2009"/>
  </r>
  <r>
    <n v="37923"/>
    <d v="2010-03-27T00:00:00"/>
    <s v="Not Specified"/>
    <s v="27-Mar-2010"/>
    <n v="29"/>
    <n v="198.43"/>
    <n v="0.01"/>
    <s v="Regular Air"/>
    <n v="-79.67"/>
    <n v="6.48"/>
    <n v="6.81"/>
    <s v="Paul Stevenson"/>
    <s v="Saskachewan"/>
    <x v="4"/>
    <s v="Corporate"/>
    <s v="Office Supplies"/>
    <x v="12"/>
    <x v="10"/>
    <d v="2010-03-28T00:00:00"/>
    <s v="28-Mar-2010"/>
  </r>
  <r>
    <n v="18208"/>
    <d v="2012-04-01T00:00:00"/>
    <s v="Not Specified"/>
    <s v="01-Apr-2012"/>
    <n v="34"/>
    <n v="197.45"/>
    <n v="0.06"/>
    <s v="Regular Air"/>
    <n v="65.44"/>
    <n v="5.68"/>
    <n v="1.39"/>
    <s v="Roy Collins"/>
    <s v="Saskachewan"/>
    <x v="4"/>
    <s v="Corporate"/>
    <s v="Office Supplies"/>
    <x v="15"/>
    <x v="1"/>
    <d v="2012-04-03T00:00:00"/>
    <s v="03-Apr-2012"/>
  </r>
  <r>
    <n v="14978"/>
    <d v="2010-05-27T00:00:00"/>
    <s v="Critical"/>
    <s v="27-May-2010"/>
    <n v="14"/>
    <n v="195.12"/>
    <n v="0"/>
    <s v="Regular Air"/>
    <n v="-6.32"/>
    <n v="13.48"/>
    <n v="4.51"/>
    <s v="Randy Bradley"/>
    <s v="Saskachewan"/>
    <x v="4"/>
    <s v="Corporate"/>
    <s v="Office Supplies"/>
    <x v="4"/>
    <x v="14"/>
    <d v="2010-05-28T00:00:00"/>
    <s v="28-May-2010"/>
  </r>
  <r>
    <n v="38596"/>
    <d v="2010-04-02T00:00:00"/>
    <s v="Medium"/>
    <s v="02-Apr-2010"/>
    <n v="20"/>
    <n v="193.7"/>
    <n v="0.06"/>
    <s v="Regular Air"/>
    <n v="-14.99"/>
    <n v="9.85"/>
    <n v="4.82"/>
    <s v="Aleksandra Gannaway"/>
    <s v="Saskachewan"/>
    <x v="4"/>
    <s v="Corporate"/>
    <s v="Office Supplies"/>
    <x v="13"/>
    <x v="26"/>
    <d v="2010-04-03T00:00:00"/>
    <s v="03-Apr-2010"/>
  </r>
  <r>
    <n v="15751"/>
    <d v="2009-08-15T00:00:00"/>
    <s v="Critical"/>
    <s v="15-Aug-2009"/>
    <n v="37"/>
    <n v="189.6"/>
    <n v="0.02"/>
    <s v="Regular Air"/>
    <n v="89.65"/>
    <n v="4.9800000000000004"/>
    <n v="0.49"/>
    <s v="Maya Herman"/>
    <s v="Saskachewan"/>
    <x v="4"/>
    <s v="Corporate"/>
    <s v="Office Supplies"/>
    <x v="9"/>
    <x v="4"/>
    <d v="2009-08-16T00:00:00"/>
    <s v="16-Aug-2009"/>
  </r>
  <r>
    <n v="35399"/>
    <d v="2011-01-21T00:00:00"/>
    <s v="Low"/>
    <s v="21-Jan-2011"/>
    <n v="38"/>
    <n v="188.38"/>
    <n v="0.04"/>
    <s v="Regular Air"/>
    <n v="-120.12"/>
    <n v="4.91"/>
    <n v="5.68"/>
    <s v="Karen Bern"/>
    <s v="Saskachewan"/>
    <x v="4"/>
    <s v="Corporate"/>
    <s v="Office Supplies"/>
    <x v="1"/>
    <x v="10"/>
    <d v="2011-01-23T00:00:00"/>
    <s v="23-Jan-2011"/>
  </r>
  <r>
    <n v="31106"/>
    <d v="2012-02-16T00:00:00"/>
    <s v="Low"/>
    <s v="16-Feb-2012"/>
    <n v="7"/>
    <n v="187.33"/>
    <n v="0.03"/>
    <s v="Regular Air"/>
    <n v="66.47"/>
    <n v="25.13"/>
    <n v="9.8699999999999992"/>
    <s v="Nick Crebassa"/>
    <s v="Saskachewan"/>
    <x v="4"/>
    <s v="Corporate"/>
    <s v="Furniture"/>
    <x v="7"/>
    <x v="15"/>
    <d v="2012-02-21T00:00:00"/>
    <s v="21-Feb-2012"/>
  </r>
  <r>
    <n v="28512"/>
    <d v="2010-04-27T00:00:00"/>
    <s v="Medium"/>
    <s v="27-Apr-2010"/>
    <n v="10"/>
    <n v="185.59"/>
    <n v="0.1"/>
    <s v="Regular Air"/>
    <n v="12.01"/>
    <n v="19.98"/>
    <n v="5.77"/>
    <s v="Lindsay Castell"/>
    <s v="Saskachewan"/>
    <x v="4"/>
    <s v="Corporate"/>
    <s v="Office Supplies"/>
    <x v="12"/>
    <x v="1"/>
    <d v="2010-04-29T00:00:00"/>
    <s v="29-Apr-2010"/>
  </r>
  <r>
    <n v="30657"/>
    <d v="2011-05-10T00:00:00"/>
    <s v="High"/>
    <s v="10-May-2011"/>
    <n v="8"/>
    <n v="179.66"/>
    <n v="0.01"/>
    <s v="Regular Air"/>
    <n v="-1.73"/>
    <n v="22.24"/>
    <n v="1.99"/>
    <s v="Paul Stevenson"/>
    <s v="Saskachewan"/>
    <x v="4"/>
    <s v="Corporate"/>
    <s v="Technology"/>
    <x v="11"/>
    <x v="21"/>
    <d v="2011-05-12T00:00:00"/>
    <s v="12-May-2011"/>
  </r>
  <r>
    <n v="25120"/>
    <d v="2009-02-04T00:00:00"/>
    <s v="Medium"/>
    <s v="04-Feb-2009"/>
    <n v="22"/>
    <n v="179.22"/>
    <n v="0.01"/>
    <s v="Regular Air"/>
    <n v="-139.9"/>
    <n v="7.28"/>
    <n v="11.15"/>
    <s v="Michael Grace"/>
    <s v="Saskachewan"/>
    <x v="4"/>
    <s v="Corporate"/>
    <s v="Office Supplies"/>
    <x v="12"/>
    <x v="7"/>
    <d v="2009-02-05T00:00:00"/>
    <s v="05-Feb-2009"/>
  </r>
  <r>
    <n v="37127"/>
    <d v="2010-10-02T00:00:00"/>
    <s v="High"/>
    <s v="02-Oct-2010"/>
    <n v="19"/>
    <n v="178.44"/>
    <n v="0.03"/>
    <s v="Regular Air"/>
    <n v="50.13"/>
    <n v="9.11"/>
    <n v="2.15"/>
    <s v="John Dryer"/>
    <s v="Saskachewan"/>
    <x v="4"/>
    <s v="Corporate"/>
    <s v="Office Supplies"/>
    <x v="12"/>
    <x v="27"/>
    <d v="2010-10-03T00:00:00"/>
    <s v="03-Oct-2010"/>
  </r>
  <r>
    <n v="46881"/>
    <d v="2009-10-06T00:00:00"/>
    <s v="Critical"/>
    <s v="06-Oct-2009"/>
    <n v="31"/>
    <n v="176.28"/>
    <n v="7.0000000000000007E-2"/>
    <s v="Express Air"/>
    <n v="-80.3"/>
    <n v="5.18"/>
    <n v="5.74"/>
    <s v="Nick Crebassa"/>
    <s v="Saskachewan"/>
    <x v="4"/>
    <s v="Corporate"/>
    <s v="Office Supplies"/>
    <x v="1"/>
    <x v="10"/>
    <d v="2009-10-08T00:00:00"/>
    <s v="08-Oct-2009"/>
  </r>
  <r>
    <n v="32804"/>
    <d v="2012-09-09T00:00:00"/>
    <s v="Medium"/>
    <s v="09-Sep-2012"/>
    <n v="49"/>
    <n v="174.81"/>
    <n v="7.0000000000000007E-2"/>
    <s v="Regular Air"/>
    <n v="74.819999999999993"/>
    <n v="3.75"/>
    <n v="0.5"/>
    <s v="Lycoris Saunders"/>
    <s v="Saskachewan"/>
    <x v="4"/>
    <s v="Corporate"/>
    <s v="Office Supplies"/>
    <x v="9"/>
    <x v="7"/>
    <d v="2012-09-10T00:00:00"/>
    <s v="10-Sep-2012"/>
  </r>
  <r>
    <n v="19105"/>
    <d v="2009-10-28T00:00:00"/>
    <s v="High"/>
    <s v="28-Oct-2009"/>
    <n v="29"/>
    <n v="172.98"/>
    <n v="0.08"/>
    <s v="Regular Air"/>
    <n v="-59.75"/>
    <n v="5.98"/>
    <n v="5.46"/>
    <s v="Max Ludwig"/>
    <s v="Saskachewan"/>
    <x v="4"/>
    <s v="Corporate"/>
    <s v="Office Supplies"/>
    <x v="12"/>
    <x v="10"/>
    <d v="2009-10-28T00:00:00"/>
    <s v="28-Oct-2009"/>
  </r>
  <r>
    <n v="56423"/>
    <d v="2011-12-25T00:00:00"/>
    <s v="Not Specified"/>
    <s v="25-Dec-2011"/>
    <n v="41"/>
    <n v="170.82"/>
    <n v="0"/>
    <s v="Express Air"/>
    <n v="85.45"/>
    <n v="3.69"/>
    <n v="0.5"/>
    <s v="Dennis Pardue"/>
    <s v="Saskachewan"/>
    <x v="4"/>
    <s v="Corporate"/>
    <s v="Office Supplies"/>
    <x v="9"/>
    <x v="1"/>
    <d v="2011-12-26T00:00:00"/>
    <s v="26-Dec-2011"/>
  </r>
  <r>
    <n v="26439"/>
    <d v="2011-09-15T00:00:00"/>
    <s v="Medium"/>
    <s v="15-Sep-2011"/>
    <n v="37"/>
    <n v="169.93"/>
    <n v="0.04"/>
    <s v="Regular Air"/>
    <n v="-114.35"/>
    <n v="4.28"/>
    <n v="5.74"/>
    <s v="Justin Deggeller"/>
    <s v="Saskachewan"/>
    <x v="4"/>
    <s v="Corporate"/>
    <s v="Office Supplies"/>
    <x v="12"/>
    <x v="27"/>
    <d v="2011-09-15T00:00:00"/>
    <s v="15-Sep-2011"/>
  </r>
  <r>
    <n v="6560"/>
    <d v="2011-01-04T00:00:00"/>
    <s v="Low"/>
    <s v="04-Jan-2011"/>
    <n v="20"/>
    <n v="169.18"/>
    <n v="0.09"/>
    <s v="Regular Air"/>
    <n v="-18.73"/>
    <n v="8.67"/>
    <n v="3.5"/>
    <s v="Max Ludwig"/>
    <s v="Saskachewan"/>
    <x v="4"/>
    <s v="Corporate"/>
    <s v="Office Supplies"/>
    <x v="5"/>
    <x v="15"/>
    <d v="2011-01-08T00:00:00"/>
    <s v="08-Jan-2011"/>
  </r>
  <r>
    <n v="52068"/>
    <d v="2012-01-13T00:00:00"/>
    <s v="Not Specified"/>
    <s v="13-Jan-2012"/>
    <n v="31"/>
    <n v="163.27000000000001"/>
    <n v="0.04"/>
    <s v="Regular Air"/>
    <n v="-0.62"/>
    <n v="5.28"/>
    <n v="2.99"/>
    <s v="Peter Fuller"/>
    <s v="Saskachewan"/>
    <x v="4"/>
    <s v="Corporate"/>
    <s v="Office Supplies"/>
    <x v="1"/>
    <x v="7"/>
    <d v="2012-01-13T00:00:00"/>
    <s v="13-Jan-2012"/>
  </r>
  <r>
    <n v="42886"/>
    <d v="2012-01-08T00:00:00"/>
    <s v="Medium"/>
    <s v="08-Jan-2012"/>
    <n v="42"/>
    <n v="162.57"/>
    <n v="0.02"/>
    <s v="Regular Air"/>
    <n v="75.8"/>
    <n v="3.75"/>
    <n v="0.5"/>
    <s v="Kristen Hastings"/>
    <s v="Saskachewan"/>
    <x v="4"/>
    <s v="Corporate"/>
    <s v="Office Supplies"/>
    <x v="9"/>
    <x v="7"/>
    <d v="2012-01-10T00:00:00"/>
    <s v="10-Jan-2012"/>
  </r>
  <r>
    <n v="55686"/>
    <d v="2011-03-25T00:00:00"/>
    <s v="Critical"/>
    <s v="25-Mar-2011"/>
    <n v="2"/>
    <n v="162.49"/>
    <n v="0.03"/>
    <s v="Regular Air"/>
    <n v="-94.83"/>
    <n v="81.319999999999993"/>
    <n v="0.99"/>
    <s v="Suzanne McNair"/>
    <s v="Saskachewan"/>
    <x v="4"/>
    <s v="Corporate"/>
    <s v="Office Supplies"/>
    <x v="5"/>
    <x v="6"/>
    <d v="2011-03-28T00:00:00"/>
    <s v="28-Mar-2011"/>
  </r>
  <r>
    <n v="35910"/>
    <d v="2010-11-24T00:00:00"/>
    <s v="High"/>
    <s v="24-Nov-2010"/>
    <n v="25"/>
    <n v="161.72"/>
    <n v="0.09"/>
    <s v="Regular Air"/>
    <n v="-121.18"/>
    <n v="6.48"/>
    <n v="8.4"/>
    <s v="Kristen Hastings"/>
    <s v="Saskachewan"/>
    <x v="4"/>
    <s v="Corporate"/>
    <s v="Office Supplies"/>
    <x v="12"/>
    <x v="7"/>
    <d v="2010-11-26T00:00:00"/>
    <s v="26-Nov-2010"/>
  </r>
  <r>
    <n v="58883"/>
    <d v="2012-08-12T00:00:00"/>
    <s v="Low"/>
    <s v="12-Aug-2012"/>
    <n v="36"/>
    <n v="161.56"/>
    <n v="0"/>
    <s v="Regular Air"/>
    <n v="59.67"/>
    <n v="4.13"/>
    <n v="0.99"/>
    <s v="Maya Herman"/>
    <s v="Saskachewan"/>
    <x v="4"/>
    <s v="Corporate"/>
    <s v="Office Supplies"/>
    <x v="9"/>
    <x v="4"/>
    <d v="2012-08-17T00:00:00"/>
    <s v="17-Aug-2012"/>
  </r>
  <r>
    <n v="3331"/>
    <d v="2010-05-20T00:00:00"/>
    <s v="High"/>
    <s v="20-May-2010"/>
    <n v="31"/>
    <n v="153.28"/>
    <n v="0.05"/>
    <s v="Regular Air"/>
    <n v="73.16"/>
    <n v="4.91"/>
    <n v="0.5"/>
    <s v="Neil Knudson"/>
    <s v="Saskachewan"/>
    <x v="4"/>
    <s v="Corporate"/>
    <s v="Office Supplies"/>
    <x v="9"/>
    <x v="10"/>
    <d v="2010-05-21T00:00:00"/>
    <s v="21-May-2010"/>
  </r>
  <r>
    <n v="43493"/>
    <d v="2012-05-10T00:00:00"/>
    <s v="High"/>
    <s v="10-May-2012"/>
    <n v="22"/>
    <n v="152.52000000000001"/>
    <n v="0.03"/>
    <s v="Regular Air"/>
    <n v="-43.87"/>
    <n v="6.48"/>
    <n v="5.94"/>
    <s v="Nick Crebassa"/>
    <s v="Saskachewan"/>
    <x v="4"/>
    <s v="Corporate"/>
    <s v="Office Supplies"/>
    <x v="12"/>
    <x v="7"/>
    <d v="2012-05-11T00:00:00"/>
    <s v="11-May-2012"/>
  </r>
  <r>
    <n v="8642"/>
    <d v="2010-01-16T00:00:00"/>
    <s v="High"/>
    <s v="16-Jan-2010"/>
    <n v="26"/>
    <n v="151.05000000000001"/>
    <n v="0.09"/>
    <s v="Regular Air"/>
    <n v="-76.14"/>
    <n v="5.8"/>
    <n v="5.59"/>
    <s v="Patrick Ryan"/>
    <s v="Saskachewan"/>
    <x v="4"/>
    <s v="Corporate"/>
    <s v="Office Supplies"/>
    <x v="1"/>
    <x v="27"/>
    <d v="2010-01-17T00:00:00"/>
    <s v="17-Jan-2010"/>
  </r>
  <r>
    <n v="18374"/>
    <d v="2012-09-30T00:00:00"/>
    <s v="Low"/>
    <s v="30-Sep-2012"/>
    <n v="21"/>
    <n v="150.16"/>
    <n v="0.09"/>
    <s v="Regular Air"/>
    <n v="-32.78"/>
    <n v="7.28"/>
    <n v="5.47"/>
    <s v="Nick Crebassa"/>
    <s v="Saskachewan"/>
    <x v="4"/>
    <s v="Corporate"/>
    <s v="Office Supplies"/>
    <x v="12"/>
    <x v="2"/>
    <d v="2012-10-02T00:00:00"/>
    <s v="02-Oct-2012"/>
  </r>
  <r>
    <n v="27302"/>
    <d v="2012-09-12T00:00:00"/>
    <s v="Low"/>
    <s v="12-Sep-2012"/>
    <n v="3"/>
    <n v="143.5"/>
    <n v="0.08"/>
    <s v="Regular Air"/>
    <n v="-27.51"/>
    <n v="48.91"/>
    <n v="5.81"/>
    <s v="Maya Herman"/>
    <s v="Saskachewan"/>
    <x v="4"/>
    <s v="Corporate"/>
    <s v="Office Supplies"/>
    <x v="12"/>
    <x v="1"/>
    <d v="2012-09-12T00:00:00"/>
    <s v="12-Sep-2012"/>
  </r>
  <r>
    <n v="58784"/>
    <d v="2009-01-18T00:00:00"/>
    <s v="Medium"/>
    <s v="18-Jan-2009"/>
    <n v="12"/>
    <n v="141.9"/>
    <n v="0.02"/>
    <s v="Regular Air"/>
    <n v="1.46"/>
    <n v="11.58"/>
    <n v="5.72"/>
    <s v="Kristen Hastings"/>
    <s v="Saskachewan"/>
    <x v="4"/>
    <s v="Corporate"/>
    <s v="Office Supplies"/>
    <x v="15"/>
    <x v="2"/>
    <d v="2009-01-19T00:00:00"/>
    <s v="19-Jan-2009"/>
  </r>
  <r>
    <n v="32"/>
    <d v="2011-07-15T00:00:00"/>
    <s v="High"/>
    <s v="15-Jul-2011"/>
    <n v="15"/>
    <n v="140.56"/>
    <n v="0.04"/>
    <s v="Regular Air"/>
    <n v="-128.38"/>
    <n v="8.4600000000000009"/>
    <n v="8.99"/>
    <s v="Liz Pelletier"/>
    <s v="Saskachewan"/>
    <x v="4"/>
    <s v="Corporate"/>
    <s v="Technology"/>
    <x v="11"/>
    <x v="11"/>
    <d v="2011-07-16T00:00:00"/>
    <s v="16-Jul-2011"/>
  </r>
  <r>
    <n v="33731"/>
    <d v="2012-10-08T00:00:00"/>
    <s v="High"/>
    <s v="08-Oct-2012"/>
    <n v="12"/>
    <n v="138.88"/>
    <n v="0.05"/>
    <s v="Regular Air"/>
    <n v="-23.99"/>
    <n v="11.29"/>
    <n v="5.03"/>
    <s v="Jonathan Doherty"/>
    <s v="Saskachewan"/>
    <x v="4"/>
    <s v="Corporate"/>
    <s v="Office Supplies"/>
    <x v="4"/>
    <x v="14"/>
    <d v="2012-10-10T00:00:00"/>
    <s v="10-Oct-2012"/>
  </r>
  <r>
    <n v="4166"/>
    <d v="2010-02-27T00:00:00"/>
    <s v="Low"/>
    <s v="27-Feb-2010"/>
    <n v="19"/>
    <n v="138.85"/>
    <n v="0.08"/>
    <s v="Regular Air"/>
    <n v="-49.35"/>
    <n v="7.1"/>
    <n v="6.05"/>
    <s v="Patrick Ryan"/>
    <s v="Saskachewan"/>
    <x v="4"/>
    <s v="Corporate"/>
    <s v="Office Supplies"/>
    <x v="1"/>
    <x v="4"/>
    <d v="2010-02-27T00:00:00"/>
    <s v="27-Feb-2010"/>
  </r>
  <r>
    <n v="20032"/>
    <d v="2012-11-05T00:00:00"/>
    <s v="Medium"/>
    <s v="05-Nov-2012"/>
    <n v="8"/>
    <n v="137.38"/>
    <n v="0.06"/>
    <s v="Regular Air"/>
    <n v="-11.39"/>
    <n v="17.48"/>
    <n v="1.99"/>
    <s v="Liz Carlisle"/>
    <s v="Saskachewan"/>
    <x v="4"/>
    <s v="Corporate"/>
    <s v="Technology"/>
    <x v="11"/>
    <x v="45"/>
    <d v="2012-11-07T00:00:00"/>
    <s v="07-Nov-2012"/>
  </r>
  <r>
    <n v="25799"/>
    <d v="2011-02-24T00:00:00"/>
    <s v="Low"/>
    <s v="24-Feb-2011"/>
    <n v="38"/>
    <n v="136.5"/>
    <n v="0.05"/>
    <s v="Regular Air"/>
    <n v="-216.66"/>
    <n v="3.34"/>
    <n v="7.49"/>
    <s v="Saphhira Shifley"/>
    <s v="Saskachewan"/>
    <x v="4"/>
    <s v="Corporate"/>
    <s v="Office Supplies"/>
    <x v="13"/>
    <x v="41"/>
    <d v="2011-02-27T00:00:00"/>
    <s v="27-Feb-2011"/>
  </r>
  <r>
    <n v="8642"/>
    <d v="2010-01-16T00:00:00"/>
    <s v="High"/>
    <s v="16-Jan-2010"/>
    <n v="13"/>
    <n v="133.04"/>
    <n v="0.04"/>
    <s v="Regular Air"/>
    <n v="49.69"/>
    <n v="10.35"/>
    <n v="0.99"/>
    <s v="Patrick Ryan"/>
    <s v="Saskachewan"/>
    <x v="4"/>
    <s v="Corporate"/>
    <s v="Office Supplies"/>
    <x v="9"/>
    <x v="7"/>
    <d v="2010-01-17T00:00:00"/>
    <s v="17-Jan-2010"/>
  </r>
  <r>
    <n v="46884"/>
    <d v="2009-01-17T00:00:00"/>
    <s v="Medium"/>
    <s v="17-Jan-2009"/>
    <n v="18"/>
    <n v="130.11000000000001"/>
    <n v="0.1"/>
    <s v="Regular Air"/>
    <n v="40.299999999999997"/>
    <n v="7.64"/>
    <n v="1.39"/>
    <s v="Paul Prost"/>
    <s v="Saskachewan"/>
    <x v="4"/>
    <s v="Corporate"/>
    <s v="Office Supplies"/>
    <x v="15"/>
    <x v="10"/>
    <d v="2009-01-19T00:00:00"/>
    <s v="19-Jan-2009"/>
  </r>
  <r>
    <n v="47203"/>
    <d v="2009-12-18T00:00:00"/>
    <s v="Critical"/>
    <s v="18-Dec-2009"/>
    <n v="8"/>
    <n v="129.18"/>
    <n v="0.04"/>
    <s v="Regular Air"/>
    <n v="-30.02"/>
    <n v="15.98"/>
    <n v="4"/>
    <s v="Bill Eplett"/>
    <s v="Saskachewan"/>
    <x v="4"/>
    <s v="Corporate"/>
    <s v="Technology"/>
    <x v="11"/>
    <x v="7"/>
    <d v="2009-12-19T00:00:00"/>
    <s v="19-Dec-2009"/>
  </r>
  <r>
    <n v="22407"/>
    <d v="2009-11-17T00:00:00"/>
    <s v="Not Specified"/>
    <s v="17-Nov-2009"/>
    <n v="10"/>
    <n v="128.02000000000001"/>
    <n v="0.02"/>
    <s v="Regular Air"/>
    <n v="-7.9"/>
    <n v="12.28"/>
    <n v="6.47"/>
    <s v="Sung Shariari"/>
    <s v="Saskachewan"/>
    <x v="4"/>
    <s v="Corporate"/>
    <s v="Office Supplies"/>
    <x v="12"/>
    <x v="1"/>
    <d v="2009-11-17T00:00:00"/>
    <s v="17-Nov-2009"/>
  </r>
  <r>
    <n v="19748"/>
    <d v="2010-08-04T00:00:00"/>
    <s v="Not Specified"/>
    <s v="04-Aug-2010"/>
    <n v="6"/>
    <n v="124.65"/>
    <n v="0.01"/>
    <s v="Regular Air"/>
    <n v="13.34"/>
    <n v="18.97"/>
    <n v="5.21"/>
    <s v="Maxwell Schwartz"/>
    <s v="Saskachewan"/>
    <x v="4"/>
    <s v="Corporate"/>
    <s v="Office Supplies"/>
    <x v="12"/>
    <x v="7"/>
    <d v="2010-08-05T00:00:00"/>
    <s v="05-Aug-2010"/>
  </r>
  <r>
    <n v="9637"/>
    <d v="2009-01-03T00:00:00"/>
    <s v="Low"/>
    <s v="03-Jan-2009"/>
    <n v="12"/>
    <n v="123.76"/>
    <n v="0.04"/>
    <s v="Regular Air"/>
    <n v="32.44"/>
    <n v="10.14"/>
    <n v="2.27"/>
    <s v="Andy Reiter"/>
    <s v="Saskachewan"/>
    <x v="4"/>
    <s v="Corporate"/>
    <s v="Office Supplies"/>
    <x v="12"/>
    <x v="10"/>
    <d v="2009-01-07T00:00:00"/>
    <s v="07-Jan-2009"/>
  </r>
  <r>
    <n v="31687"/>
    <d v="2011-05-19T00:00:00"/>
    <s v="High"/>
    <s v="19-May-2011"/>
    <n v="44"/>
    <n v="123.06"/>
    <n v="7.0000000000000007E-2"/>
    <s v="Regular Air"/>
    <n v="3.5"/>
    <n v="2.78"/>
    <n v="1.34"/>
    <s v="Arianne Irving"/>
    <s v="Saskachewan"/>
    <x v="4"/>
    <s v="Corporate"/>
    <s v="Office Supplies"/>
    <x v="13"/>
    <x v="45"/>
    <d v="2011-05-19T00:00:00"/>
    <s v="19-May-2011"/>
  </r>
  <r>
    <n v="56099"/>
    <d v="2010-10-05T00:00:00"/>
    <s v="Low"/>
    <s v="05-Oct-2010"/>
    <n v="11"/>
    <n v="122.35"/>
    <n v="0.02"/>
    <s v="Regular Air"/>
    <n v="-13.55"/>
    <n v="10.98"/>
    <n v="3.99"/>
    <s v="Michelle Moray"/>
    <s v="Saskachewan"/>
    <x v="4"/>
    <s v="Corporate"/>
    <s v="Office Supplies"/>
    <x v="5"/>
    <x v="15"/>
    <d v="2010-10-12T00:00:00"/>
    <s v="12-Oct-2010"/>
  </r>
  <r>
    <n v="3012"/>
    <d v="2010-05-04T00:00:00"/>
    <s v="Critical"/>
    <s v="04-May-2010"/>
    <n v="41"/>
    <n v="120.03"/>
    <n v="0"/>
    <s v="Regular Air"/>
    <n v="10.5"/>
    <n v="2.78"/>
    <n v="1.49"/>
    <s v="Maxwell Schwartz"/>
    <s v="Saskachewan"/>
    <x v="4"/>
    <s v="Corporate"/>
    <s v="Office Supplies"/>
    <x v="1"/>
    <x v="10"/>
    <d v="2010-05-06T00:00:00"/>
    <s v="06-May-2010"/>
  </r>
  <r>
    <n v="16935"/>
    <d v="2012-12-15T00:00:00"/>
    <s v="Not Specified"/>
    <s v="15-Dec-2012"/>
    <n v="43"/>
    <n v="117.68"/>
    <n v="0.09"/>
    <s v="Express Air"/>
    <n v="12.47"/>
    <n v="2.88"/>
    <n v="0.7"/>
    <s v="Michael Grace"/>
    <s v="Saskachewan"/>
    <x v="4"/>
    <s v="Corporate"/>
    <s v="Office Supplies"/>
    <x v="13"/>
    <x v="0"/>
    <d v="2012-12-17T00:00:00"/>
    <s v="17-Dec-2012"/>
  </r>
  <r>
    <n v="20292"/>
    <d v="2012-11-08T00:00:00"/>
    <s v="Medium"/>
    <s v="08-Nov-2012"/>
    <n v="5"/>
    <n v="117.13"/>
    <n v="0"/>
    <s v="Regular Air"/>
    <n v="-70.47"/>
    <n v="20.95"/>
    <n v="4"/>
    <s v="Michael Grace"/>
    <s v="Saskachewan"/>
    <x v="4"/>
    <s v="Corporate"/>
    <s v="Technology"/>
    <x v="11"/>
    <x v="18"/>
    <d v="2012-11-09T00:00:00"/>
    <s v="09-Nov-2012"/>
  </r>
  <r>
    <n v="25155"/>
    <d v="2010-01-20T00:00:00"/>
    <s v="Low"/>
    <s v="20-Jan-2010"/>
    <n v="17"/>
    <n v="114.01"/>
    <n v="0.08"/>
    <s v="Regular Air"/>
    <n v="6.99"/>
    <n v="6.69"/>
    <n v="3.1"/>
    <s v="John Dryer"/>
    <s v="Saskachewan"/>
    <x v="4"/>
    <s v="Corporate"/>
    <s v="Office Supplies"/>
    <x v="12"/>
    <x v="10"/>
    <d v="2010-01-27T00:00:00"/>
    <s v="27-Jan-2010"/>
  </r>
  <r>
    <n v="52678"/>
    <d v="2012-07-29T00:00:00"/>
    <s v="High"/>
    <s v="29-Jul-2012"/>
    <n v="3"/>
    <n v="112.79"/>
    <n v="0.06"/>
    <s v="Delivery Truck"/>
    <n v="-95.39"/>
    <n v="20.98"/>
    <n v="53.03"/>
    <s v="Jonathan Doherty"/>
    <s v="Saskachewan"/>
    <x v="4"/>
    <s v="Corporate"/>
    <s v="Office Supplies"/>
    <x v="4"/>
    <x v="8"/>
    <d v="2012-07-31T00:00:00"/>
    <s v="31-Jul-2012"/>
  </r>
  <r>
    <n v="26310"/>
    <d v="2012-07-29T00:00:00"/>
    <s v="Not Specified"/>
    <s v="29-Jul-2012"/>
    <n v="19"/>
    <n v="112.67"/>
    <n v="0.09"/>
    <s v="Regular Air"/>
    <n v="-37.85"/>
    <n v="5.98"/>
    <n v="5.14"/>
    <s v="Neil French"/>
    <s v="Saskachewan"/>
    <x v="4"/>
    <s v="Corporate"/>
    <s v="Office Supplies"/>
    <x v="12"/>
    <x v="10"/>
    <d v="2012-07-30T00:00:00"/>
    <s v="30-Jul-2012"/>
  </r>
  <r>
    <n v="49351"/>
    <d v="2012-03-30T00:00:00"/>
    <s v="Low"/>
    <s v="30-Mar-2012"/>
    <n v="27"/>
    <n v="109.92"/>
    <n v="0.06"/>
    <s v="Regular Air"/>
    <n v="24.75"/>
    <n v="3.98"/>
    <n v="0.83"/>
    <s v="Michelle Moray"/>
    <s v="Saskachewan"/>
    <x v="4"/>
    <s v="Corporate"/>
    <s v="Office Supplies"/>
    <x v="13"/>
    <x v="51"/>
    <d v="2012-04-03T00:00:00"/>
    <s v="03-Apr-2012"/>
  </r>
  <r>
    <n v="33731"/>
    <d v="2012-10-08T00:00:00"/>
    <s v="High"/>
    <s v="08-Oct-2012"/>
    <n v="32"/>
    <n v="109.01"/>
    <n v="0.09"/>
    <s v="Regular Air"/>
    <n v="8.4499999999999993"/>
    <n v="3.58"/>
    <n v="1.63"/>
    <s v="Jonathan Doherty"/>
    <s v="Saskachewan"/>
    <x v="4"/>
    <s v="Corporate"/>
    <s v="Office Supplies"/>
    <x v="16"/>
    <x v="10"/>
    <d v="2012-10-08T00:00:00"/>
    <s v="08-Oct-2012"/>
  </r>
  <r>
    <n v="15815"/>
    <d v="2009-05-01T00:00:00"/>
    <s v="Critical"/>
    <s v="01-May-2009"/>
    <n v="24"/>
    <n v="107.41"/>
    <n v="0.03"/>
    <s v="Regular Air"/>
    <n v="20.68"/>
    <n v="4.55"/>
    <n v="1.49"/>
    <s v="Mitch Willingham"/>
    <s v="Saskachewan"/>
    <x v="4"/>
    <s v="Corporate"/>
    <s v="Office Supplies"/>
    <x v="1"/>
    <x v="2"/>
    <d v="2009-05-01T00:00:00"/>
    <s v="01-May-2009"/>
  </r>
  <r>
    <n v="31106"/>
    <d v="2012-02-16T00:00:00"/>
    <s v="Low"/>
    <s v="16-Feb-2012"/>
    <n v="37"/>
    <n v="101.9"/>
    <n v="0"/>
    <s v="Regular Air"/>
    <n v="40.520000000000003"/>
    <n v="2.61"/>
    <n v="0.5"/>
    <s v="Nick Crebassa"/>
    <s v="Saskachewan"/>
    <x v="4"/>
    <s v="Corporate"/>
    <s v="Office Supplies"/>
    <x v="9"/>
    <x v="4"/>
    <d v="2012-02-16T00:00:00"/>
    <s v="16-Feb-2012"/>
  </r>
  <r>
    <n v="17381"/>
    <d v="2010-08-14T00:00:00"/>
    <s v="High"/>
    <s v="14-Aug-2010"/>
    <n v="28"/>
    <n v="101.25"/>
    <n v="0.05"/>
    <s v="Regular Air"/>
    <n v="40.9"/>
    <n v="3.75"/>
    <n v="0.5"/>
    <s v="Rick Wilson"/>
    <s v="Saskachewan"/>
    <x v="4"/>
    <s v="Corporate"/>
    <s v="Office Supplies"/>
    <x v="9"/>
    <x v="7"/>
    <d v="2010-08-15T00:00:00"/>
    <s v="15-Aug-2010"/>
  </r>
  <r>
    <n v="49319"/>
    <d v="2011-08-25T00:00:00"/>
    <s v="Low"/>
    <s v="25-Aug-2011"/>
    <n v="13"/>
    <n v="98.82"/>
    <n v="0.09"/>
    <s v="Regular Air"/>
    <n v="-68.66"/>
    <n v="7.37"/>
    <n v="5.53"/>
    <s v="Karen Bern"/>
    <s v="Saskachewan"/>
    <x v="4"/>
    <s v="Corporate"/>
    <s v="Technology"/>
    <x v="11"/>
    <x v="39"/>
    <d v="2011-08-27T00:00:00"/>
    <s v="27-Aug-2011"/>
  </r>
  <r>
    <n v="56099"/>
    <d v="2010-10-05T00:00:00"/>
    <s v="Low"/>
    <s v="05-Oct-2010"/>
    <n v="6"/>
    <n v="96.03"/>
    <n v="0.1"/>
    <s v="Regular Air"/>
    <n v="-59.39"/>
    <n v="15.7"/>
    <n v="11.25"/>
    <s v="Michelle Moray"/>
    <s v="Saskachewan"/>
    <x v="4"/>
    <s v="Corporate"/>
    <s v="Office Supplies"/>
    <x v="4"/>
    <x v="18"/>
    <d v="2010-10-12T00:00:00"/>
    <s v="12-Oct-2010"/>
  </r>
  <r>
    <n v="49346"/>
    <d v="2011-05-05T00:00:00"/>
    <s v="Not Specified"/>
    <s v="05-May-2011"/>
    <n v="8"/>
    <n v="94.35"/>
    <n v="0.1"/>
    <s v="Regular Air"/>
    <n v="42.22"/>
    <n v="12.22"/>
    <n v="2.85"/>
    <s v="Rick Hansen"/>
    <s v="Saskachewan"/>
    <x v="4"/>
    <s v="Corporate"/>
    <s v="Furniture"/>
    <x v="7"/>
    <x v="20"/>
    <d v="2011-05-08T00:00:00"/>
    <s v="08-May-2011"/>
  </r>
  <r>
    <n v="3783"/>
    <d v="2010-12-05T00:00:00"/>
    <s v="Not Specified"/>
    <s v="05-Dec-2010"/>
    <n v="11"/>
    <n v="92.14"/>
    <n v="0.01"/>
    <s v="Regular Air"/>
    <n v="-40.25"/>
    <n v="8.1199999999999992"/>
    <n v="2.83"/>
    <s v="Jonathan Doherty"/>
    <s v="Saskachewan"/>
    <x v="4"/>
    <s v="Corporate"/>
    <s v="Technology"/>
    <x v="11"/>
    <x v="36"/>
    <d v="2010-12-05T00:00:00"/>
    <s v="05-Dec-2010"/>
  </r>
  <r>
    <n v="52197"/>
    <d v="2012-08-04T00:00:00"/>
    <s v="Critical"/>
    <s v="04-Aug-2012"/>
    <n v="23"/>
    <n v="91.94"/>
    <n v="0.01"/>
    <s v="Regular Air"/>
    <n v="-10.11"/>
    <n v="3.95"/>
    <n v="2"/>
    <s v="Maxwell Schwartz"/>
    <s v="Saskachewan"/>
    <x v="4"/>
    <s v="Corporate"/>
    <s v="Office Supplies"/>
    <x v="16"/>
    <x v="17"/>
    <d v="2012-08-05T00:00:00"/>
    <s v="05-Aug-2012"/>
  </r>
  <r>
    <n v="7559"/>
    <d v="2010-10-12T00:00:00"/>
    <s v="Critical"/>
    <s v="12-Oct-2010"/>
    <n v="9"/>
    <n v="90.37"/>
    <n v="0.05"/>
    <s v="Regular Air"/>
    <n v="-374.82"/>
    <n v="4.4800000000000004"/>
    <n v="49"/>
    <s v="Patrick Ryan"/>
    <s v="Saskachewan"/>
    <x v="4"/>
    <s v="Corporate"/>
    <s v="Office Supplies"/>
    <x v="5"/>
    <x v="18"/>
    <d v="2010-10-14T00:00:00"/>
    <s v="14-Oct-2010"/>
  </r>
  <r>
    <n v="32804"/>
    <d v="2012-09-09T00:00:00"/>
    <s v="Medium"/>
    <s v="09-Sep-2012"/>
    <n v="20"/>
    <n v="89.51"/>
    <n v="0.02"/>
    <s v="Regular Air"/>
    <n v="-61.99"/>
    <n v="3.98"/>
    <n v="5.26"/>
    <s v="Lycoris Saunders"/>
    <s v="Saskachewan"/>
    <x v="4"/>
    <s v="Corporate"/>
    <s v="Office Supplies"/>
    <x v="1"/>
    <x v="1"/>
    <d v="2012-09-11T00:00:00"/>
    <s v="11-Sep-2012"/>
  </r>
  <r>
    <n v="43650"/>
    <d v="2009-03-23T00:00:00"/>
    <s v="Not Specified"/>
    <s v="23-Mar-2009"/>
    <n v="7"/>
    <n v="88.59"/>
    <n v="0.05"/>
    <s v="Regular Air"/>
    <n v="-26.29"/>
    <n v="11.97"/>
    <n v="5.81"/>
    <s v="William Brown"/>
    <s v="Saskachewan"/>
    <x v="4"/>
    <s v="Corporate"/>
    <s v="Office Supplies"/>
    <x v="13"/>
    <x v="18"/>
    <d v="2009-03-25T00:00:00"/>
    <s v="25-Mar-2009"/>
  </r>
  <r>
    <n v="19206"/>
    <d v="2010-03-30T00:00:00"/>
    <s v="Low"/>
    <s v="30-Mar-2010"/>
    <n v="40"/>
    <n v="88.02"/>
    <n v="0"/>
    <s v="Regular Air"/>
    <n v="-6.54"/>
    <n v="2.08"/>
    <n v="1.49"/>
    <s v="Michelle Moray"/>
    <s v="Saskachewan"/>
    <x v="4"/>
    <s v="Corporate"/>
    <s v="Office Supplies"/>
    <x v="1"/>
    <x v="10"/>
    <d v="2010-04-03T00:00:00"/>
    <s v="03-Apr-2010"/>
  </r>
  <r>
    <n v="18208"/>
    <d v="2012-04-01T00:00:00"/>
    <s v="Not Specified"/>
    <s v="01-Apr-2012"/>
    <n v="36"/>
    <n v="82.98"/>
    <n v="0.08"/>
    <s v="Regular Air"/>
    <n v="-137.87"/>
    <n v="2.2799999999999998"/>
    <n v="5.2"/>
    <s v="Roy Collins"/>
    <s v="Saskachewan"/>
    <x v="4"/>
    <s v="Corporate"/>
    <s v="Office Supplies"/>
    <x v="13"/>
    <x v="25"/>
    <d v="2012-04-03T00:00:00"/>
    <s v="03-Apr-2012"/>
  </r>
  <r>
    <n v="9383"/>
    <d v="2009-03-16T00:00:00"/>
    <s v="Not Specified"/>
    <s v="16-Mar-2009"/>
    <n v="11"/>
    <n v="82.42"/>
    <n v="7.0000000000000007E-2"/>
    <s v="Regular Air"/>
    <n v="18.53"/>
    <n v="7.59"/>
    <n v="4"/>
    <s v="John Dryer"/>
    <s v="Saskachewan"/>
    <x v="4"/>
    <s v="Corporate"/>
    <s v="Furniture"/>
    <x v="7"/>
    <x v="22"/>
    <d v="2009-03-18T00:00:00"/>
    <s v="18-Mar-2009"/>
  </r>
  <r>
    <n v="24326"/>
    <d v="2011-09-29T00:00:00"/>
    <s v="Critical"/>
    <s v="29-Sep-2011"/>
    <n v="12"/>
    <n v="78.36"/>
    <n v="0.06"/>
    <s v="Regular Air"/>
    <n v="8.52"/>
    <n v="6.68"/>
    <n v="1.5"/>
    <s v="Cindy Schnelling"/>
    <s v="Saskachewan"/>
    <x v="4"/>
    <s v="Corporate"/>
    <s v="Office Supplies"/>
    <x v="13"/>
    <x v="23"/>
    <d v="2011-09-30T00:00:00"/>
    <s v="30-Sep-2011"/>
  </r>
  <r>
    <n v="26310"/>
    <d v="2012-07-29T00:00:00"/>
    <s v="Not Specified"/>
    <s v="29-Jul-2012"/>
    <n v="5"/>
    <n v="77.41"/>
    <n v="0.05"/>
    <s v="Regular Air"/>
    <n v="9.35"/>
    <n v="15.67"/>
    <n v="1.39"/>
    <s v="Neil French"/>
    <s v="Saskachewan"/>
    <x v="4"/>
    <s v="Corporate"/>
    <s v="Office Supplies"/>
    <x v="15"/>
    <x v="1"/>
    <d v="2012-07-31T00:00:00"/>
    <s v="31-Jul-2012"/>
  </r>
  <r>
    <n v="7105"/>
    <d v="2010-06-21T00:00:00"/>
    <s v="Low"/>
    <s v="21-Jun-2010"/>
    <n v="17"/>
    <n v="77.19"/>
    <n v="0.03"/>
    <s v="Regular Air"/>
    <n v="-81.349999999999994"/>
    <n v="4.0599999999999996"/>
    <n v="6.89"/>
    <s v="Brian Moss"/>
    <s v="Saskachewan"/>
    <x v="4"/>
    <s v="Corporate"/>
    <s v="Office Supplies"/>
    <x v="5"/>
    <x v="18"/>
    <d v="2010-06-28T00:00:00"/>
    <s v="28-Jun-2010"/>
  </r>
  <r>
    <n v="52615"/>
    <d v="2009-10-19T00:00:00"/>
    <s v="Low"/>
    <s v="19-Oct-2009"/>
    <n v="18"/>
    <n v="76.849999999999994"/>
    <n v="0.1"/>
    <s v="Regular Air"/>
    <n v="-64.08"/>
    <n v="4.24"/>
    <n v="5.41"/>
    <s v="Liz Pelletier"/>
    <s v="Saskachewan"/>
    <x v="4"/>
    <s v="Corporate"/>
    <s v="Office Supplies"/>
    <x v="1"/>
    <x v="2"/>
    <d v="2009-10-23T00:00:00"/>
    <s v="23-Oct-2009"/>
  </r>
  <r>
    <n v="44965"/>
    <d v="2011-10-02T00:00:00"/>
    <s v="Low"/>
    <s v="02-Oct-2011"/>
    <n v="45"/>
    <n v="75.39"/>
    <n v="0.05"/>
    <s v="Regular Air"/>
    <n v="-4.83"/>
    <n v="1.68"/>
    <n v="0.7"/>
    <s v="Peter Fuller"/>
    <s v="Saskachewan"/>
    <x v="4"/>
    <s v="Corporate"/>
    <s v="Office Supplies"/>
    <x v="13"/>
    <x v="18"/>
    <d v="2011-10-06T00:00:00"/>
    <s v="06-Oct-2011"/>
  </r>
  <r>
    <n v="27491"/>
    <d v="2009-04-09T00:00:00"/>
    <s v="Not Specified"/>
    <s v="09-Apr-2009"/>
    <n v="2"/>
    <n v="75.23"/>
    <n v="0.09"/>
    <s v="Regular Air"/>
    <n v="-51.5"/>
    <n v="34.99"/>
    <n v="7.73"/>
    <s v="Roy Collins"/>
    <s v="Saskachewan"/>
    <x v="4"/>
    <s v="Corporate"/>
    <s v="Office Supplies"/>
    <x v="13"/>
    <x v="14"/>
    <d v="2009-04-11T00:00:00"/>
    <s v="11-Apr-2009"/>
  </r>
  <r>
    <n v="9957"/>
    <d v="2010-11-30T00:00:00"/>
    <s v="Not Specified"/>
    <s v="30-Nov-2010"/>
    <n v="31"/>
    <n v="74.75"/>
    <n v="0.06"/>
    <s v="Express Air"/>
    <n v="-115.43"/>
    <n v="2.2799999999999998"/>
    <n v="5.2"/>
    <s v="Suzanne McNair"/>
    <s v="Saskachewan"/>
    <x v="4"/>
    <s v="Corporate"/>
    <s v="Office Supplies"/>
    <x v="13"/>
    <x v="25"/>
    <d v="2010-12-01T00:00:00"/>
    <s v="01-Dec-2010"/>
  </r>
  <r>
    <n v="50304"/>
    <d v="2010-01-31T00:00:00"/>
    <s v="Critical"/>
    <s v="31-Jan-2010"/>
    <n v="3"/>
    <n v="72.459999999999994"/>
    <n v="0.05"/>
    <s v="Delivery Truck"/>
    <n v="-60.74"/>
    <n v="15.23"/>
    <n v="27.75"/>
    <s v="Jonathan Doherty"/>
    <s v="Saskachewan"/>
    <x v="4"/>
    <s v="Corporate"/>
    <s v="Furniture"/>
    <x v="3"/>
    <x v="40"/>
    <d v="2010-02-02T00:00:00"/>
    <s v="02-Feb-2010"/>
  </r>
  <r>
    <n v="25120"/>
    <d v="2009-02-04T00:00:00"/>
    <s v="Medium"/>
    <s v="04-Feb-2009"/>
    <n v="10"/>
    <n v="71.86"/>
    <n v="0.1"/>
    <s v="Regular Air"/>
    <n v="-35.520000000000003"/>
    <n v="6.68"/>
    <n v="6.93"/>
    <s v="Michael Grace"/>
    <s v="Saskachewan"/>
    <x v="4"/>
    <s v="Corporate"/>
    <s v="Office Supplies"/>
    <x v="12"/>
    <x v="7"/>
    <d v="2009-02-07T00:00:00"/>
    <s v="07-Feb-2009"/>
  </r>
  <r>
    <n v="43493"/>
    <d v="2012-05-10T00:00:00"/>
    <s v="High"/>
    <s v="10-May-2012"/>
    <n v="14"/>
    <n v="71.599999999999994"/>
    <n v="0.05"/>
    <s v="Regular Air"/>
    <n v="-30.65"/>
    <n v="4.9800000000000004"/>
    <n v="4.7"/>
    <s v="Nick Crebassa"/>
    <s v="Saskachewan"/>
    <x v="4"/>
    <s v="Corporate"/>
    <s v="Office Supplies"/>
    <x v="12"/>
    <x v="1"/>
    <d v="2012-05-12T00:00:00"/>
    <s v="12-May-2012"/>
  </r>
  <r>
    <n v="30375"/>
    <d v="2012-05-03T00:00:00"/>
    <s v="Low"/>
    <s v="03-May-2012"/>
    <n v="20"/>
    <n v="71.45"/>
    <n v="0.03"/>
    <s v="Regular Air"/>
    <n v="-92.95"/>
    <n v="3.36"/>
    <n v="6.27"/>
    <s v="Christina Anderson"/>
    <s v="Saskachewan"/>
    <x v="4"/>
    <s v="Corporate"/>
    <s v="Office Supplies"/>
    <x v="1"/>
    <x v="27"/>
    <d v="2012-05-07T00:00:00"/>
    <s v="07-May-2012"/>
  </r>
  <r>
    <n v="47175"/>
    <d v="2010-04-25T00:00:00"/>
    <s v="Not Specified"/>
    <s v="25-Apr-2010"/>
    <n v="40"/>
    <n v="70.45"/>
    <n v="0.1"/>
    <s v="Regular Air"/>
    <n v="-2.31"/>
    <n v="1.82"/>
    <n v="1"/>
    <s v="Jeremy Lonsdale"/>
    <s v="Saskachewan"/>
    <x v="4"/>
    <s v="Corporate"/>
    <s v="Office Supplies"/>
    <x v="13"/>
    <x v="27"/>
    <d v="2010-04-26T00:00:00"/>
    <s v="26-Apr-2010"/>
  </r>
  <r>
    <n v="35136"/>
    <d v="2009-10-08T00:00:00"/>
    <s v="Critical"/>
    <s v="08-Oct-2009"/>
    <n v="23"/>
    <n v="68.73"/>
    <n v="7.0000000000000007E-2"/>
    <s v="Regular Air"/>
    <n v="17.170000000000002"/>
    <n v="2.94"/>
    <n v="0.81"/>
    <s v="Peter Fuller"/>
    <s v="Saskachewan"/>
    <x v="4"/>
    <s v="Corporate"/>
    <s v="Office Supplies"/>
    <x v="13"/>
    <x v="27"/>
    <d v="2009-10-09T00:00:00"/>
    <s v="09-Oct-2009"/>
  </r>
  <r>
    <n v="6211"/>
    <d v="2009-11-23T00:00:00"/>
    <s v="Critical"/>
    <s v="23-Nov-2009"/>
    <n v="3"/>
    <n v="68.64"/>
    <n v="7.0000000000000007E-2"/>
    <s v="Regular Air"/>
    <n v="-38.93"/>
    <n v="21.38"/>
    <n v="8.99"/>
    <s v="Nona Balk"/>
    <s v="Saskachewan"/>
    <x v="4"/>
    <s v="Corporate"/>
    <s v="Office Supplies"/>
    <x v="13"/>
    <x v="14"/>
    <d v="2009-11-25T00:00:00"/>
    <s v="25-Nov-2009"/>
  </r>
  <r>
    <n v="45893"/>
    <d v="2011-05-26T00:00:00"/>
    <s v="High"/>
    <s v="26-May-2011"/>
    <n v="15"/>
    <n v="68.03"/>
    <n v="0.05"/>
    <s v="Regular Air"/>
    <n v="8.8699999999999992"/>
    <n v="4.49"/>
    <n v="1.49"/>
    <s v="Patrick Ryan"/>
    <s v="Saskachewan"/>
    <x v="4"/>
    <s v="Corporate"/>
    <s v="Office Supplies"/>
    <x v="1"/>
    <x v="4"/>
    <d v="2011-05-27T00:00:00"/>
    <s v="27-May-2011"/>
  </r>
  <r>
    <n v="17862"/>
    <d v="2012-05-07T00:00:00"/>
    <s v="Not Specified"/>
    <s v="07-May-2012"/>
    <n v="31"/>
    <n v="67.88"/>
    <n v="0.08"/>
    <s v="Express Air"/>
    <n v="4.87"/>
    <n v="2.1"/>
    <n v="0.7"/>
    <s v="Neil Knudson"/>
    <s v="Saskachewan"/>
    <x v="4"/>
    <s v="Corporate"/>
    <s v="Office Supplies"/>
    <x v="13"/>
    <x v="6"/>
    <d v="2012-05-09T00:00:00"/>
    <s v="09-May-2012"/>
  </r>
  <r>
    <n v="55362"/>
    <d v="2011-04-20T00:00:00"/>
    <s v="High"/>
    <s v="20-Apr-2011"/>
    <n v="24"/>
    <n v="67.84"/>
    <n v="7.0000000000000007E-2"/>
    <s v="Regular Air"/>
    <n v="13.44"/>
    <n v="2.88"/>
    <n v="0.99"/>
    <s v="Cindy Schnelling"/>
    <s v="Saskachewan"/>
    <x v="4"/>
    <s v="Corporate"/>
    <s v="Office Supplies"/>
    <x v="9"/>
    <x v="10"/>
    <d v="2011-04-22T00:00:00"/>
    <s v="22-Apr-2011"/>
  </r>
  <r>
    <n v="6211"/>
    <d v="2009-11-23T00:00:00"/>
    <s v="Critical"/>
    <s v="23-Nov-2009"/>
    <n v="28"/>
    <n v="67.72"/>
    <n v="0.01"/>
    <s v="Regular Air"/>
    <n v="-142.66999999999999"/>
    <n v="2.16"/>
    <n v="6.05"/>
    <s v="Nona Balk"/>
    <s v="Saskachewan"/>
    <x v="4"/>
    <s v="Corporate"/>
    <s v="Office Supplies"/>
    <x v="1"/>
    <x v="7"/>
    <d v="2009-11-25T00:00:00"/>
    <s v="25-Nov-2009"/>
  </r>
  <r>
    <n v="52615"/>
    <d v="2009-10-19T00:00:00"/>
    <s v="Low"/>
    <s v="19-Oct-2009"/>
    <n v="4"/>
    <n v="67.22"/>
    <n v="0.05"/>
    <s v="Regular Air"/>
    <n v="-139.53"/>
    <n v="4.4800000000000004"/>
    <n v="49"/>
    <s v="Liz Pelletier"/>
    <s v="Saskachewan"/>
    <x v="4"/>
    <s v="Corporate"/>
    <s v="Office Supplies"/>
    <x v="5"/>
    <x v="18"/>
    <d v="2009-10-23T00:00:00"/>
    <s v="23-Oct-2009"/>
  </r>
  <r>
    <n v="6020"/>
    <d v="2009-09-21T00:00:00"/>
    <s v="Medium"/>
    <s v="21-Sep-2009"/>
    <n v="23"/>
    <n v="66.09"/>
    <n v="0.09"/>
    <s v="Regular Air"/>
    <n v="13.71"/>
    <n v="2.88"/>
    <n v="0.99"/>
    <s v="Arianne Irving"/>
    <s v="Saskachewan"/>
    <x v="4"/>
    <s v="Corporate"/>
    <s v="Office Supplies"/>
    <x v="9"/>
    <x v="10"/>
    <d v="2009-09-23T00:00:00"/>
    <s v="23-Sep-2009"/>
  </r>
  <r>
    <n v="18049"/>
    <d v="2009-08-13T00:00:00"/>
    <s v="Medium"/>
    <s v="13-Aug-2009"/>
    <n v="10"/>
    <n v="65.52"/>
    <n v="7.0000000000000007E-2"/>
    <s v="Regular Air"/>
    <n v="-22.57"/>
    <n v="5.98"/>
    <n v="5.46"/>
    <s v="Liz Carlisle"/>
    <s v="Saskachewan"/>
    <x v="4"/>
    <s v="Corporate"/>
    <s v="Office Supplies"/>
    <x v="12"/>
    <x v="10"/>
    <d v="2009-08-15T00:00:00"/>
    <s v="15-Aug-2009"/>
  </r>
  <r>
    <n v="28294"/>
    <d v="2012-05-22T00:00:00"/>
    <s v="High"/>
    <s v="22-May-2012"/>
    <n v="47"/>
    <n v="63.47"/>
    <n v="0"/>
    <s v="Regular Air"/>
    <n v="-19.920000000000002"/>
    <n v="1.26"/>
    <n v="0.7"/>
    <s v="Lindsay Castell"/>
    <s v="Saskachewan"/>
    <x v="4"/>
    <s v="Corporate"/>
    <s v="Office Supplies"/>
    <x v="16"/>
    <x v="43"/>
    <d v="2012-05-23T00:00:00"/>
    <s v="23-May-2012"/>
  </r>
  <r>
    <n v="50087"/>
    <d v="2010-05-15T00:00:00"/>
    <s v="Not Specified"/>
    <s v="15-May-2010"/>
    <n v="17"/>
    <n v="58.86"/>
    <n v="0.03"/>
    <s v="Regular Air"/>
    <n v="6.96"/>
    <n v="3.29"/>
    <n v="1.35"/>
    <s v="Patrick Ryan"/>
    <s v="Saskachewan"/>
    <x v="4"/>
    <s v="Corporate"/>
    <s v="Office Supplies"/>
    <x v="16"/>
    <x v="27"/>
    <d v="2010-05-17T00:00:00"/>
    <s v="17-May-2010"/>
  </r>
  <r>
    <n v="69"/>
    <d v="2009-06-03T00:00:00"/>
    <s v="Not Specified"/>
    <s v="03-Jun-2009"/>
    <n v="28"/>
    <n v="51.53"/>
    <n v="0.03"/>
    <s v="Express Air"/>
    <n v="0.35"/>
    <n v="1.68"/>
    <n v="0.7"/>
    <s v="Jonathan Doherty"/>
    <s v="Saskachewan"/>
    <x v="4"/>
    <s v="Corporate"/>
    <s v="Office Supplies"/>
    <x v="13"/>
    <x v="18"/>
    <d v="2009-06-05T00:00:00"/>
    <s v="05-Jun-2009"/>
  </r>
  <r>
    <n v="34402"/>
    <d v="2010-05-02T00:00:00"/>
    <s v="High"/>
    <s v="02-May-2010"/>
    <n v="11"/>
    <n v="48.5"/>
    <n v="7.0000000000000007E-2"/>
    <s v="Express Air"/>
    <n v="23.88"/>
    <n v="3.15"/>
    <n v="0.5"/>
    <s v="Mitch Willingham"/>
    <s v="Saskachewan"/>
    <x v="4"/>
    <s v="Corporate"/>
    <s v="Office Supplies"/>
    <x v="9"/>
    <x v="7"/>
    <d v="2010-05-05T00:00:00"/>
    <s v="05-May-2010"/>
  </r>
  <r>
    <n v="57510"/>
    <d v="2011-12-10T00:00:00"/>
    <s v="Not Specified"/>
    <s v="10-Dec-2011"/>
    <n v="6"/>
    <n v="48.05"/>
    <n v="0.01"/>
    <s v="Regular Air"/>
    <n v="-11.34"/>
    <n v="6.68"/>
    <n v="5.2"/>
    <s v="Liz Carlisle"/>
    <s v="Saskachewan"/>
    <x v="4"/>
    <s v="Corporate"/>
    <s v="Office Supplies"/>
    <x v="12"/>
    <x v="7"/>
    <d v="2011-12-10T00:00:00"/>
    <s v="10-Dec-2011"/>
  </r>
  <r>
    <n v="10754"/>
    <d v="2010-03-17T00:00:00"/>
    <s v="Low"/>
    <s v="17-Mar-2010"/>
    <n v="7"/>
    <n v="48.04"/>
    <n v="0.09"/>
    <s v="Regular Air"/>
    <n v="-23.28"/>
    <n v="6.48"/>
    <n v="5.94"/>
    <s v="Saphhira Shifley"/>
    <s v="Saskachewan"/>
    <x v="4"/>
    <s v="Corporate"/>
    <s v="Office Supplies"/>
    <x v="12"/>
    <x v="7"/>
    <d v="2010-03-19T00:00:00"/>
    <s v="19-Mar-2010"/>
  </r>
  <r>
    <n v="43555"/>
    <d v="2012-07-03T00:00:00"/>
    <s v="Medium"/>
    <s v="03-Jul-2012"/>
    <n v="34"/>
    <n v="43.54"/>
    <n v="0"/>
    <s v="Regular Air"/>
    <n v="-17.48"/>
    <n v="1.26"/>
    <n v="0.7"/>
    <s v="Sung Shariari"/>
    <s v="Saskachewan"/>
    <x v="4"/>
    <s v="Corporate"/>
    <s v="Office Supplies"/>
    <x v="16"/>
    <x v="43"/>
    <d v="2012-07-05T00:00:00"/>
    <s v="05-Jul-2012"/>
  </r>
  <r>
    <n v="1895"/>
    <d v="2009-05-29T00:00:00"/>
    <s v="Medium"/>
    <s v="29-May-2009"/>
    <n v="5"/>
    <n v="41.25"/>
    <n v="0.02"/>
    <s v="Regular Air"/>
    <n v="-23.25"/>
    <n v="6.48"/>
    <n v="7.91"/>
    <s v="Mitch Willingham"/>
    <s v="Saskachewan"/>
    <x v="4"/>
    <s v="Corporate"/>
    <s v="Office Supplies"/>
    <x v="12"/>
    <x v="7"/>
    <d v="2009-05-31T00:00:00"/>
    <s v="31-May-2009"/>
  </r>
  <r>
    <n v="58308"/>
    <d v="2010-05-21T00:00:00"/>
    <s v="Not Specified"/>
    <s v="21-May-2010"/>
    <n v="2"/>
    <n v="40.340000000000003"/>
    <n v="0.03"/>
    <s v="Regular Air"/>
    <n v="-23.62"/>
    <n v="16.16"/>
    <n v="7.74"/>
    <s v="William Brown"/>
    <s v="Saskachewan"/>
    <x v="4"/>
    <s v="Corporate"/>
    <s v="Furniture"/>
    <x v="7"/>
    <x v="31"/>
    <d v="2010-05-23T00:00:00"/>
    <s v="23-May-2010"/>
  </r>
  <r>
    <n v="58339"/>
    <d v="2009-06-13T00:00:00"/>
    <s v="High"/>
    <s v="13-Jun-2009"/>
    <n v="11"/>
    <n v="37.64"/>
    <n v="0.01"/>
    <s v="Express Air"/>
    <n v="7.52"/>
    <n v="2.08"/>
    <n v="1.49"/>
    <s v="Rick Hansen"/>
    <s v="Saskachewan"/>
    <x v="4"/>
    <s v="Corporate"/>
    <s v="Office Supplies"/>
    <x v="1"/>
    <x v="10"/>
    <d v="2009-06-14T00:00:00"/>
    <s v="14-Jun-2009"/>
  </r>
  <r>
    <n v="58181"/>
    <d v="2012-10-07T00:00:00"/>
    <s v="Not Specified"/>
    <s v="07-Oct-2012"/>
    <n v="5"/>
    <n v="36.43"/>
    <n v="0.04"/>
    <s v="Regular Air"/>
    <n v="-22.04"/>
    <n v="5.98"/>
    <n v="7.15"/>
    <s v="William Brown"/>
    <s v="Saskachewan"/>
    <x v="4"/>
    <s v="Corporate"/>
    <s v="Office Supplies"/>
    <x v="12"/>
    <x v="10"/>
    <d v="2012-10-09T00:00:00"/>
    <s v="09-Oct-2012"/>
  </r>
  <r>
    <n v="3169"/>
    <d v="2010-12-20T00:00:00"/>
    <s v="Medium"/>
    <s v="20-Dec-2010"/>
    <n v="7"/>
    <n v="35.58"/>
    <n v="0.04"/>
    <s v="Regular Air"/>
    <n v="-19.95"/>
    <n v="4.42"/>
    <n v="4.99"/>
    <s v="Liz Carlisle"/>
    <s v="Saskachewan"/>
    <x v="4"/>
    <s v="Corporate"/>
    <s v="Office Supplies"/>
    <x v="15"/>
    <x v="1"/>
    <d v="2010-12-21T00:00:00"/>
    <s v="21-Dec-2010"/>
  </r>
  <r>
    <n v="9473"/>
    <d v="2012-10-11T00:00:00"/>
    <s v="Not Specified"/>
    <s v="11-Oct-2012"/>
    <n v="3"/>
    <n v="31.95"/>
    <n v="0.1"/>
    <s v="Regular Air"/>
    <n v="-23.69"/>
    <n v="8.0399999999999991"/>
    <n v="8.94"/>
    <s v="Jonathan Doherty"/>
    <s v="Saskachewan"/>
    <x v="4"/>
    <s v="Corporate"/>
    <s v="Office Supplies"/>
    <x v="1"/>
    <x v="27"/>
    <d v="2012-10-13T00:00:00"/>
    <s v="13-Oct-2012"/>
  </r>
  <r>
    <n v="25155"/>
    <d v="2010-01-20T00:00:00"/>
    <s v="Low"/>
    <s v="20-Jan-2010"/>
    <n v="3"/>
    <n v="30.37"/>
    <n v="0.01"/>
    <s v="Express Air"/>
    <n v="-1.74"/>
    <n v="4.9800000000000004"/>
    <n v="5.49"/>
    <s v="John Dryer"/>
    <s v="Saskachewan"/>
    <x v="4"/>
    <s v="Corporate"/>
    <s v="Office Supplies"/>
    <x v="12"/>
    <x v="1"/>
    <d v="2010-01-25T00:00:00"/>
    <s v="25-Jan-2010"/>
  </r>
  <r>
    <n v="44965"/>
    <d v="2011-10-02T00:00:00"/>
    <s v="Low"/>
    <s v="02-Oct-2011"/>
    <n v="19"/>
    <n v="28.82"/>
    <n v="0"/>
    <s v="Regular Air"/>
    <n v="2.16"/>
    <n v="1.48"/>
    <n v="0.7"/>
    <s v="Peter Fuller"/>
    <s v="Saskachewan"/>
    <x v="4"/>
    <s v="Corporate"/>
    <s v="Office Supplies"/>
    <x v="16"/>
    <x v="7"/>
    <d v="2011-10-06T00:00:00"/>
    <s v="06-Oct-2011"/>
  </r>
  <r>
    <n v="17862"/>
    <d v="2012-05-07T00:00:00"/>
    <s v="Not Specified"/>
    <s v="07-May-2012"/>
    <n v="1"/>
    <n v="28.73"/>
    <n v="0"/>
    <s v="Regular Air"/>
    <n v="-57.04"/>
    <n v="20.97"/>
    <n v="6.5"/>
    <s v="Neil Knudson"/>
    <s v="Saskachewan"/>
    <x v="4"/>
    <s v="Corporate"/>
    <s v="Technology"/>
    <x v="11"/>
    <x v="8"/>
    <d v="2012-05-08T00:00:00"/>
    <s v="08-May-2012"/>
  </r>
  <r>
    <n v="56516"/>
    <d v="2009-08-03T00:00:00"/>
    <s v="Medium"/>
    <s v="03-Aug-2009"/>
    <n v="6"/>
    <n v="27.89"/>
    <n v="0.08"/>
    <s v="Regular Air"/>
    <n v="-23.81"/>
    <n v="3.98"/>
    <n v="5.26"/>
    <s v="Stefania Perrino"/>
    <s v="Saskachewan"/>
    <x v="4"/>
    <s v="Corporate"/>
    <s v="Office Supplies"/>
    <x v="1"/>
    <x v="1"/>
    <d v="2009-08-04T00:00:00"/>
    <s v="04-Aug-2009"/>
  </r>
  <r>
    <n v="13543"/>
    <d v="2012-08-08T00:00:00"/>
    <s v="Medium"/>
    <s v="08-Aug-2012"/>
    <n v="2"/>
    <n v="27.83"/>
    <n v="0.09"/>
    <s v="Regular Air"/>
    <n v="-22.14"/>
    <n v="9.7100000000000009"/>
    <n v="9.4499999999999993"/>
    <s v="Andy Reiter"/>
    <s v="Saskachewan"/>
    <x v="4"/>
    <s v="Corporate"/>
    <s v="Office Supplies"/>
    <x v="4"/>
    <x v="18"/>
    <d v="2012-08-08T00:00:00"/>
    <s v="08-Aug-2012"/>
  </r>
  <r>
    <n v="47942"/>
    <d v="2010-02-27T00:00:00"/>
    <s v="Medium"/>
    <s v="27-Feb-2010"/>
    <n v="3"/>
    <n v="22.6"/>
    <n v="0.04"/>
    <s v="Express Air"/>
    <n v="-4.63"/>
    <n v="5.88"/>
    <n v="3.04"/>
    <s v="Harold Dahlen"/>
    <s v="Saskachewan"/>
    <x v="4"/>
    <s v="Corporate"/>
    <s v="Office Supplies"/>
    <x v="12"/>
    <x v="10"/>
    <d v="2010-03-01T00:00:00"/>
    <s v="01-Mar-2010"/>
  </r>
  <r>
    <n v="29639"/>
    <d v="2011-04-17T00:00:00"/>
    <s v="Critical"/>
    <s v="17-Apr-2011"/>
    <n v="8"/>
    <n v="22.37"/>
    <n v="0.04"/>
    <s v="Regular Air"/>
    <n v="-14.09"/>
    <n v="2.6"/>
    <n v="2.4"/>
    <s v="Patrick Ryan"/>
    <s v="Saskachewan"/>
    <x v="4"/>
    <s v="Corporate"/>
    <s v="Office Supplies"/>
    <x v="13"/>
    <x v="15"/>
    <d v="2011-04-19T00:00:00"/>
    <s v="19-Apr-2011"/>
  </r>
  <r>
    <n v="43110"/>
    <d v="2011-02-06T00:00:00"/>
    <s v="High"/>
    <s v="06-Feb-2011"/>
    <n v="3"/>
    <n v="21.01"/>
    <n v="0"/>
    <s v="Regular Air"/>
    <n v="-9.69"/>
    <n v="4.9800000000000004"/>
    <n v="5.0199999999999996"/>
    <s v="Maxwell Schwartz"/>
    <s v="Saskachewan"/>
    <x v="4"/>
    <s v="Corporate"/>
    <s v="Office Supplies"/>
    <x v="12"/>
    <x v="1"/>
    <d v="2011-02-06T00:00:00"/>
    <s v="06-Feb-2011"/>
  </r>
  <r>
    <n v="55234"/>
    <d v="2010-07-28T00:00:00"/>
    <s v="Low"/>
    <s v="28-Jul-2010"/>
    <n v="5"/>
    <n v="17.059999999999999"/>
    <n v="0.03"/>
    <s v="Regular Air"/>
    <n v="-7.54"/>
    <n v="2.98"/>
    <n v="2.0299999999999998"/>
    <s v="Tiffany House"/>
    <s v="Saskachewan"/>
    <x v="4"/>
    <s v="Corporate"/>
    <s v="Office Supplies"/>
    <x v="13"/>
    <x v="6"/>
    <d v="2010-07-30T00:00:00"/>
    <s v="30-Jul-2010"/>
  </r>
  <r>
    <n v="11335"/>
    <d v="2009-10-21T00:00:00"/>
    <s v="High"/>
    <s v="21-Oct-2009"/>
    <n v="3"/>
    <n v="14.84"/>
    <n v="0.08"/>
    <s v="Regular Air"/>
    <n v="-2.42"/>
    <n v="4.9800000000000004"/>
    <n v="0.49"/>
    <s v="Maya Herman"/>
    <s v="Saskachewan"/>
    <x v="4"/>
    <s v="Corporate"/>
    <s v="Office Supplies"/>
    <x v="9"/>
    <x v="4"/>
    <d v="2009-10-22T00:00:00"/>
    <s v="22-Oct-2009"/>
  </r>
  <r>
    <n v="55648"/>
    <d v="2009-09-09T00:00:00"/>
    <s v="Critical"/>
    <s v="09-Sep-2009"/>
    <n v="5"/>
    <n v="14.74"/>
    <n v="0.08"/>
    <s v="Regular Air"/>
    <n v="-2.58"/>
    <n v="2.88"/>
    <n v="0.7"/>
    <s v="Sung Shariari"/>
    <s v="Saskachewan"/>
    <x v="4"/>
    <s v="Corporate"/>
    <s v="Office Supplies"/>
    <x v="13"/>
    <x v="0"/>
    <d v="2009-09-12T00:00:00"/>
    <s v="12-Sep-2009"/>
  </r>
  <r>
    <n v="16935"/>
    <d v="2012-12-15T00:00:00"/>
    <s v="Not Specified"/>
    <s v="15-Dec-2012"/>
    <n v="3"/>
    <n v="14.74"/>
    <n v="0.06"/>
    <s v="Regular Air"/>
    <n v="-2.72"/>
    <n v="4.4800000000000004"/>
    <n v="1.22"/>
    <s v="Michael Grace"/>
    <s v="Saskachewan"/>
    <x v="4"/>
    <s v="Corporate"/>
    <s v="Office Supplies"/>
    <x v="12"/>
    <x v="10"/>
    <d v="2012-12-16T00:00:00"/>
    <s v="16-Dec-2012"/>
  </r>
  <r>
    <n v="31330"/>
    <d v="2010-06-01T00:00:00"/>
    <s v="High"/>
    <s v="01-Jun-2010"/>
    <n v="2"/>
    <n v="13.5"/>
    <n v="0.04"/>
    <s v="Regular Air"/>
    <n v="-7.9"/>
    <n v="5.98"/>
    <n v="1.67"/>
    <s v="Paul Stevenson"/>
    <s v="Saskachewan"/>
    <x v="4"/>
    <s v="Corporate"/>
    <s v="Office Supplies"/>
    <x v="13"/>
    <x v="51"/>
    <d v="2010-06-02T00:00:00"/>
    <s v="02-Jun-2010"/>
  </r>
  <r>
    <n v="9671"/>
    <d v="2011-09-12T00:00:00"/>
    <s v="High"/>
    <s v="12-Sep-2011"/>
    <n v="6"/>
    <n v="12.61"/>
    <n v="7.0000000000000007E-2"/>
    <s v="Regular Air"/>
    <n v="-4.9000000000000004"/>
    <n v="1.88"/>
    <n v="1.49"/>
    <s v="Sung Shariari"/>
    <s v="Saskachewan"/>
    <x v="4"/>
    <s v="Corporate"/>
    <s v="Office Supplies"/>
    <x v="1"/>
    <x v="7"/>
    <d v="2011-09-14T00:00:00"/>
    <s v="14-Sep-2011"/>
  </r>
  <r>
    <n v="23648"/>
    <d v="2012-09-24T00:00:00"/>
    <s v="Critical"/>
    <s v="24-Sep-2012"/>
    <n v="4"/>
    <n v="10.65"/>
    <n v="0.1"/>
    <s v="Regular Air"/>
    <n v="-0.64"/>
    <n v="2.61"/>
    <n v="0.5"/>
    <s v="Liz Carlisle"/>
    <s v="Saskachewan"/>
    <x v="4"/>
    <s v="Corporate"/>
    <s v="Office Supplies"/>
    <x v="9"/>
    <x v="4"/>
    <d v="2012-09-25T00:00:00"/>
    <s v="25-Sep-2012"/>
  </r>
  <r>
    <n v="59911"/>
    <d v="2011-12-18T00:00:00"/>
    <s v="Not Specified"/>
    <s v="18-Dec-2011"/>
    <n v="1"/>
    <n v="10.59"/>
    <n v="0.1"/>
    <s v="Regular Air"/>
    <n v="-4.3099999999999996"/>
    <n v="9.11"/>
    <n v="2.15"/>
    <s v="Arianne Irving"/>
    <s v="Saskachewan"/>
    <x v="4"/>
    <s v="Corporate"/>
    <s v="Office Supplies"/>
    <x v="12"/>
    <x v="27"/>
    <d v="2011-12-19T00:00:00"/>
    <s v="19-Dec-2011"/>
  </r>
  <r>
    <n v="59207"/>
    <d v="2009-05-18T00:00:00"/>
    <s v="Critical"/>
    <s v="18-May-2009"/>
    <n v="3"/>
    <n v="10.119999999999999"/>
    <n v="0.09"/>
    <s v="Regular Air"/>
    <n v="-4.07"/>
    <n v="2.98"/>
    <n v="1.58"/>
    <s v="Roy Collins"/>
    <s v="Saskachewan"/>
    <x v="4"/>
    <s v="Corporate"/>
    <s v="Office Supplies"/>
    <x v="16"/>
    <x v="4"/>
    <d v="2009-05-19T00:00:00"/>
    <s v="19-May-2009"/>
  </r>
  <r>
    <n v="28550"/>
    <d v="2011-03-20T00:00:00"/>
    <s v="Not Specified"/>
    <s v="20-Mar-2011"/>
    <n v="1"/>
    <n v="7.64"/>
    <n v="0.1"/>
    <s v="Regular Air"/>
    <n v="-6.6"/>
    <n v="4.76"/>
    <n v="3.01"/>
    <s v="Cindy Schnelling"/>
    <s v="Saskachewan"/>
    <x v="4"/>
    <s v="Corporate"/>
    <s v="Office Supplies"/>
    <x v="12"/>
    <x v="10"/>
    <d v="2011-03-21T00:00:00"/>
    <s v="21-Mar-2011"/>
  </r>
  <r>
    <n v="26432"/>
    <d v="2009-12-30T00:00:00"/>
    <s v="Low"/>
    <s v="30-Dec-2009"/>
    <n v="48"/>
    <n v="27820.34"/>
    <n v="0.08"/>
    <s v="Regular Air"/>
    <n v="11630.15"/>
    <n v="599.99"/>
    <n v="24.49"/>
    <s v="Logan Haushalter"/>
    <s v="Quebec"/>
    <x v="5"/>
    <s v="Corporate"/>
    <s v="Technology"/>
    <x v="6"/>
    <x v="7"/>
    <d v="2010-01-08T00:00:00"/>
    <s v="08-Jan-2010"/>
  </r>
  <r>
    <n v="59781"/>
    <d v="2012-12-12T00:00:00"/>
    <s v="Not Specified"/>
    <s v="12-Dec-2012"/>
    <n v="28"/>
    <n v="24391.16"/>
    <n v="0.04"/>
    <s v="Delivery Truck"/>
    <n v="-9611.91"/>
    <n v="880.98"/>
    <n v="44.55"/>
    <s v="Julia Barnett"/>
    <s v="Quebec"/>
    <x v="5"/>
    <s v="Corporate"/>
    <s v="Furniture"/>
    <x v="8"/>
    <x v="44"/>
    <d v="2012-12-13T00:00:00"/>
    <s v="13-Dec-2012"/>
  </r>
  <r>
    <n v="44647"/>
    <d v="2012-01-24T00:00:00"/>
    <s v="Low"/>
    <s v="24-Jan-2012"/>
    <n v="47"/>
    <n v="23239.96"/>
    <n v="0.06"/>
    <s v="Delivery Truck"/>
    <n v="6888.36"/>
    <n v="500.98"/>
    <n v="26"/>
    <s v="Ross DeVincentis"/>
    <s v="Quebec"/>
    <x v="5"/>
    <s v="Corporate"/>
    <s v="Furniture"/>
    <x v="2"/>
    <x v="18"/>
    <d v="2012-01-24T00:00:00"/>
    <s v="24-Jan-2012"/>
  </r>
  <r>
    <n v="23782"/>
    <d v="2010-01-10T00:00:00"/>
    <s v="Low"/>
    <s v="10-Jan-2010"/>
    <n v="46"/>
    <n v="21390.44"/>
    <n v="0.09"/>
    <s v="Delivery Truck"/>
    <n v="5365.43"/>
    <n v="500.98"/>
    <n v="26"/>
    <s v="Justin MacKendrick"/>
    <s v="Quebec"/>
    <x v="5"/>
    <s v="Corporate"/>
    <s v="Furniture"/>
    <x v="2"/>
    <x v="18"/>
    <d v="2010-01-10T00:00:00"/>
    <s v="10-Jan-2010"/>
  </r>
  <r>
    <n v="26276"/>
    <d v="2010-09-12T00:00:00"/>
    <s v="Low"/>
    <s v="12-Sep-2010"/>
    <n v="19"/>
    <n v="20329.8"/>
    <n v="0"/>
    <s v="Regular Air"/>
    <n v="9224.1"/>
    <n v="999.99"/>
    <n v="13.99"/>
    <s v="Janet Martin"/>
    <s v="Quebec"/>
    <x v="5"/>
    <s v="Corporate"/>
    <s v="Technology"/>
    <x v="0"/>
    <x v="10"/>
    <d v="2010-09-16T00:00:00"/>
    <s v="16-Sep-2010"/>
  </r>
  <r>
    <n v="30279"/>
    <d v="2011-12-07T00:00:00"/>
    <s v="Critical"/>
    <s v="07-Dec-2011"/>
    <n v="39"/>
    <n v="19539.939999999999"/>
    <n v="0.06"/>
    <s v="Delivery Truck"/>
    <n v="4914.24"/>
    <n v="517.48"/>
    <n v="16.63"/>
    <s v="Ellis Ballard"/>
    <s v="Quebec"/>
    <x v="5"/>
    <s v="Corporate"/>
    <s v="Technology"/>
    <x v="0"/>
    <x v="14"/>
    <d v="2011-12-08T00:00:00"/>
    <s v="08-Dec-2011"/>
  </r>
  <r>
    <n v="40870"/>
    <d v="2011-12-11T00:00:00"/>
    <s v="Critical"/>
    <s v="11-Dec-2011"/>
    <n v="43"/>
    <n v="12858.88"/>
    <n v="0.08"/>
    <s v="Regular Air"/>
    <n v="4833.2700000000004"/>
    <n v="300.97000000000003"/>
    <n v="7.18"/>
    <s v="Justin MacKendrick"/>
    <s v="Quebec"/>
    <x v="5"/>
    <s v="Corporate"/>
    <s v="Technology"/>
    <x v="11"/>
    <x v="23"/>
    <d v="2011-12-11T00:00:00"/>
    <s v="11-Dec-2011"/>
  </r>
  <r>
    <n v="29220"/>
    <d v="2012-12-29T00:00:00"/>
    <s v="Medium"/>
    <s v="29-Dec-2012"/>
    <n v="36"/>
    <n v="12690.33"/>
    <n v="0.08"/>
    <s v="Express Air"/>
    <n v="5045.3"/>
    <n v="367.99"/>
    <n v="19.989999999999998"/>
    <s v="Logan Haushalter"/>
    <s v="Quebec"/>
    <x v="5"/>
    <s v="Corporate"/>
    <s v="Office Supplies"/>
    <x v="1"/>
    <x v="27"/>
    <d v="2012-12-29T00:00:00"/>
    <s v="29-Dec-2012"/>
  </r>
  <r>
    <n v="46177"/>
    <d v="2010-12-05T00:00:00"/>
    <s v="Low"/>
    <s v="05-Dec-2010"/>
    <n v="13"/>
    <n v="11169.95"/>
    <n v="7.0000000000000007E-2"/>
    <s v="Regular Air"/>
    <n v="3982.22"/>
    <n v="896.99"/>
    <n v="19.989999999999998"/>
    <s v="Rick Duston"/>
    <s v="Quebec"/>
    <x v="5"/>
    <s v="Corporate"/>
    <s v="Office Supplies"/>
    <x v="1"/>
    <x v="1"/>
    <d v="2010-12-05T00:00:00"/>
    <s v="05-Dec-2010"/>
  </r>
  <r>
    <n v="56291"/>
    <d v="2012-09-17T00:00:00"/>
    <s v="Not Specified"/>
    <s v="17-Sep-2012"/>
    <n v="22"/>
    <n v="11022.53"/>
    <n v="0.06"/>
    <s v="Delivery Truck"/>
    <n v="1869.86"/>
    <n v="517.48"/>
    <n v="16.63"/>
    <s v="Shirley Daniels"/>
    <s v="Quebec"/>
    <x v="5"/>
    <s v="Corporate"/>
    <s v="Technology"/>
    <x v="0"/>
    <x v="14"/>
    <d v="2012-09-19T00:00:00"/>
    <s v="19-Sep-2012"/>
  </r>
  <r>
    <n v="59714"/>
    <d v="2010-12-13T00:00:00"/>
    <s v="Critical"/>
    <s v="13-Dec-2010"/>
    <n v="26"/>
    <n v="9225.65"/>
    <n v="0.03"/>
    <s v="Delivery Truck"/>
    <n v="1656.46"/>
    <n v="349.45"/>
    <n v="60"/>
    <s v="Julia Barnett"/>
    <s v="Quebec"/>
    <x v="5"/>
    <s v="Corporate"/>
    <s v="Furniture"/>
    <x v="3"/>
    <x v="49"/>
    <d v="2010-12-15T00:00:00"/>
    <s v="15-Dec-2010"/>
  </r>
  <r>
    <n v="20518"/>
    <d v="2009-10-05T00:00:00"/>
    <s v="Critical"/>
    <s v="05-Oct-2009"/>
    <n v="49"/>
    <n v="8252.3610000000008"/>
    <n v="7.0000000000000007E-2"/>
    <s v="Regular Air"/>
    <n v="2418.56"/>
    <n v="200.99"/>
    <n v="4.2"/>
    <s v="Paul Knutson"/>
    <s v="Quebec"/>
    <x v="5"/>
    <s v="Corporate"/>
    <s v="Technology"/>
    <x v="10"/>
    <x v="14"/>
    <d v="2009-10-06T00:00:00"/>
    <s v="06-Oct-2009"/>
  </r>
  <r>
    <n v="39878"/>
    <d v="2011-03-05T00:00:00"/>
    <s v="Not Specified"/>
    <s v="05-Mar-2011"/>
    <n v="50"/>
    <n v="7663.74"/>
    <n v="0"/>
    <s v="Delivery Truck"/>
    <n v="-375.33"/>
    <n v="150.97999999999999"/>
    <n v="39.25"/>
    <s v="Sheri Gordon"/>
    <s v="Quebec"/>
    <x v="5"/>
    <s v="Corporate"/>
    <s v="Furniture"/>
    <x v="3"/>
    <x v="16"/>
    <d v="2011-03-07T00:00:00"/>
    <s v="07-Mar-2011"/>
  </r>
  <r>
    <n v="30276"/>
    <d v="2011-08-26T00:00:00"/>
    <s v="Low"/>
    <s v="26-Aug-2011"/>
    <n v="34"/>
    <n v="7656.3040000000001"/>
    <n v="0.1"/>
    <s v="Delivery Truck"/>
    <n v="-715.78"/>
    <n v="296.18"/>
    <n v="54.12"/>
    <s v="Carlos Meador"/>
    <s v="Quebec"/>
    <x v="5"/>
    <s v="Corporate"/>
    <s v="Furniture"/>
    <x v="3"/>
    <x v="40"/>
    <d v="2011-08-30T00:00:00"/>
    <s v="30-Aug-2011"/>
  </r>
  <r>
    <n v="38912"/>
    <d v="2012-10-28T00:00:00"/>
    <s v="Low"/>
    <s v="28-Oct-2012"/>
    <n v="46"/>
    <n v="6943.94"/>
    <n v="0.01"/>
    <s v="Regular Air"/>
    <n v="608.9"/>
    <n v="152.47999999999999"/>
    <n v="4"/>
    <s v="Ben Peterman"/>
    <s v="Quebec"/>
    <x v="5"/>
    <s v="Corporate"/>
    <s v="Technology"/>
    <x v="11"/>
    <x v="11"/>
    <d v="2012-10-30T00:00:00"/>
    <s v="30-Oct-2012"/>
  </r>
  <r>
    <n v="20384"/>
    <d v="2011-10-25T00:00:00"/>
    <s v="Low"/>
    <s v="25-Oct-2011"/>
    <n v="32"/>
    <n v="6902.51"/>
    <n v="0.04"/>
    <s v="Delivery Truck"/>
    <n v="-513.79"/>
    <n v="212.6"/>
    <n v="110.2"/>
    <s v="Mitch Webber"/>
    <s v="Quebec"/>
    <x v="5"/>
    <s v="Corporate"/>
    <s v="Furniture"/>
    <x v="3"/>
    <x v="33"/>
    <d v="2011-10-29T00:00:00"/>
    <s v="29-Oct-2011"/>
  </r>
  <r>
    <n v="18373"/>
    <d v="2012-04-12T00:00:00"/>
    <s v="Critical"/>
    <s v="12-Apr-2012"/>
    <n v="35"/>
    <n v="6608.24"/>
    <n v="0.09"/>
    <s v="Regular Air"/>
    <n v="2164.64"/>
    <n v="207.48"/>
    <n v="0.99"/>
    <s v="Tracy Poddar"/>
    <s v="Quebec"/>
    <x v="5"/>
    <s v="Corporate"/>
    <s v="Office Supplies"/>
    <x v="5"/>
    <x v="20"/>
    <d v="2012-04-12T00:00:00"/>
    <s v="12-Apr-2012"/>
  </r>
  <r>
    <n v="22055"/>
    <d v="2012-09-23T00:00:00"/>
    <s v="Medium"/>
    <s v="23-Sep-2012"/>
    <n v="40"/>
    <n v="6147.24"/>
    <n v="0.05"/>
    <s v="Delivery Truck"/>
    <n v="632.98"/>
    <n v="160.97999999999999"/>
    <n v="30"/>
    <s v="Stewart Visinsky"/>
    <s v="Quebec"/>
    <x v="5"/>
    <s v="Corporate"/>
    <s v="Furniture"/>
    <x v="2"/>
    <x v="44"/>
    <d v="2012-09-25T00:00:00"/>
    <s v="25-Sep-2012"/>
  </r>
  <r>
    <n v="58854"/>
    <d v="2010-04-24T00:00:00"/>
    <s v="Critical"/>
    <s v="24-Apr-2010"/>
    <n v="35"/>
    <n v="6130.9"/>
    <n v="0.03"/>
    <s v="Delivery Truck"/>
    <n v="583.15"/>
    <n v="170.98"/>
    <n v="35.89"/>
    <s v="Arthur Gainer"/>
    <s v="Quebec"/>
    <x v="5"/>
    <s v="Corporate"/>
    <s v="Furniture"/>
    <x v="8"/>
    <x v="32"/>
    <d v="2010-04-25T00:00:00"/>
    <s v="25-Apr-2010"/>
  </r>
  <r>
    <n v="52837"/>
    <d v="2012-01-18T00:00:00"/>
    <s v="Critical"/>
    <s v="18-Jan-2012"/>
    <n v="32"/>
    <n v="5934.39"/>
    <n v="0.08"/>
    <s v="Regular Air"/>
    <n v="519.54999999999995"/>
    <n v="193.17"/>
    <n v="19.989999999999998"/>
    <s v="Julie Kriz"/>
    <s v="Quebec"/>
    <x v="5"/>
    <s v="Corporate"/>
    <s v="Office Supplies"/>
    <x v="4"/>
    <x v="35"/>
    <d v="2012-01-20T00:00:00"/>
    <s v="20-Jan-2012"/>
  </r>
  <r>
    <n v="44033"/>
    <d v="2012-01-10T00:00:00"/>
    <s v="Critical"/>
    <s v="10-Jan-2012"/>
    <n v="45"/>
    <n v="5811.97"/>
    <n v="0.03"/>
    <s v="Delivery Truck"/>
    <n v="-434.15"/>
    <n v="124.49"/>
    <n v="51.94"/>
    <s v="Keith Herrera"/>
    <s v="Quebec"/>
    <x v="5"/>
    <s v="Corporate"/>
    <s v="Furniture"/>
    <x v="3"/>
    <x v="50"/>
    <d v="2012-01-12T00:00:00"/>
    <s v="12-Jan-2012"/>
  </r>
  <r>
    <n v="35845"/>
    <d v="2011-01-06T00:00:00"/>
    <s v="High"/>
    <s v="06-Jan-2011"/>
    <n v="15"/>
    <n v="5713.48"/>
    <n v="0.05"/>
    <s v="Delivery Truck"/>
    <n v="-712.53"/>
    <n v="376.13"/>
    <n v="85.63"/>
    <s v="Deanra Eno"/>
    <s v="Quebec"/>
    <x v="5"/>
    <s v="Corporate"/>
    <s v="Furniture"/>
    <x v="3"/>
    <x v="37"/>
    <d v="2011-01-08T00:00:00"/>
    <s v="08-Jan-2011"/>
  </r>
  <r>
    <n v="28647"/>
    <d v="2009-03-14T00:00:00"/>
    <s v="Critical"/>
    <s v="14-Mar-2009"/>
    <n v="38"/>
    <n v="5679.59"/>
    <n v="0.09"/>
    <s v="Express Air"/>
    <n v="-1763.75"/>
    <n v="154.13"/>
    <n v="69"/>
    <s v="Carol Triggs"/>
    <s v="Quebec"/>
    <x v="5"/>
    <s v="Corporate"/>
    <s v="Furniture"/>
    <x v="3"/>
    <x v="48"/>
    <d v="2009-03-15T00:00:00"/>
    <s v="15-Mar-2009"/>
  </r>
  <r>
    <n v="50692"/>
    <d v="2010-09-17T00:00:00"/>
    <s v="High"/>
    <s v="17-Sep-2010"/>
    <n v="47"/>
    <n v="5606.91"/>
    <n v="0.06"/>
    <s v="Delivery Truck"/>
    <n v="-300.85000000000002"/>
    <n v="124.49"/>
    <n v="51.94"/>
    <s v="Shirley Schmidt"/>
    <s v="Quebec"/>
    <x v="5"/>
    <s v="Corporate"/>
    <s v="Furniture"/>
    <x v="3"/>
    <x v="50"/>
    <d v="2010-09-19T00:00:00"/>
    <s v="19-Sep-2010"/>
  </r>
  <r>
    <n v="7623"/>
    <d v="2009-10-28T00:00:00"/>
    <s v="Critical"/>
    <s v="28-Oct-2009"/>
    <n v="18"/>
    <n v="5459.32"/>
    <n v="0.03"/>
    <s v="Regular Air"/>
    <n v="1603.12"/>
    <n v="300.64999999999998"/>
    <n v="24.49"/>
    <s v="Sheri Gordon"/>
    <s v="Quebec"/>
    <x v="5"/>
    <s v="Corporate"/>
    <s v="Office Supplies"/>
    <x v="5"/>
    <x v="24"/>
    <d v="2009-10-30T00:00:00"/>
    <s v="30-Oct-2009"/>
  </r>
  <r>
    <n v="30336"/>
    <d v="2010-01-29T00:00:00"/>
    <s v="Medium"/>
    <s v="29-Jan-2010"/>
    <n v="28"/>
    <n v="5155.07"/>
    <n v="0.06"/>
    <s v="Regular Air"/>
    <n v="368.79"/>
    <n v="193.17"/>
    <n v="19.989999999999998"/>
    <s v="Caroline Jumper"/>
    <s v="Quebec"/>
    <x v="5"/>
    <s v="Corporate"/>
    <s v="Office Supplies"/>
    <x v="4"/>
    <x v="35"/>
    <d v="2010-01-31T00:00:00"/>
    <s v="31-Jan-2010"/>
  </r>
  <r>
    <n v="32292"/>
    <d v="2012-02-15T00:00:00"/>
    <s v="Low"/>
    <s v="15-Feb-2012"/>
    <n v="49"/>
    <n v="5008.7610000000004"/>
    <n v="0.04"/>
    <s v="Regular Air"/>
    <n v="1601.64"/>
    <n v="115.99"/>
    <n v="5.99"/>
    <s v="Ben Peterman"/>
    <s v="Quebec"/>
    <x v="5"/>
    <s v="Corporate"/>
    <s v="Technology"/>
    <x v="10"/>
    <x v="6"/>
    <d v="2012-02-22T00:00:00"/>
    <s v="22-Feb-2012"/>
  </r>
  <r>
    <n v="47617"/>
    <d v="2009-12-08T00:00:00"/>
    <s v="Not Specified"/>
    <s v="08-Dec-2009"/>
    <n v="17"/>
    <n v="5001.29"/>
    <n v="0.09"/>
    <s v="Regular Air"/>
    <n v="1680.92"/>
    <n v="304.99"/>
    <n v="19.989999999999998"/>
    <s v="Sylvia Foulston"/>
    <s v="Quebec"/>
    <x v="5"/>
    <s v="Corporate"/>
    <s v="Office Supplies"/>
    <x v="1"/>
    <x v="27"/>
    <d v="2009-12-09T00:00:00"/>
    <s v="09-Dec-2009"/>
  </r>
  <r>
    <n v="54370"/>
    <d v="2012-04-08T00:00:00"/>
    <s v="Not Specified"/>
    <s v="08-Apr-2012"/>
    <n v="49"/>
    <n v="4968.5"/>
    <n v="0"/>
    <s v="Regular Air"/>
    <n v="1041.28"/>
    <n v="99.99"/>
    <n v="19.989999999999998"/>
    <s v="Carol Adams"/>
    <s v="Quebec"/>
    <x v="5"/>
    <s v="Corporate"/>
    <s v="Technology"/>
    <x v="11"/>
    <x v="24"/>
    <d v="2012-04-08T00:00:00"/>
    <s v="08-Apr-2012"/>
  </r>
  <r>
    <n v="30114"/>
    <d v="2010-08-16T00:00:00"/>
    <s v="Low"/>
    <s v="16-Aug-2010"/>
    <n v="7"/>
    <n v="4667.28"/>
    <n v="0.09"/>
    <s v="Express Air"/>
    <n v="-362.88"/>
    <n v="699.99"/>
    <n v="24.49"/>
    <s v="Caroline Jumper"/>
    <s v="Quebec"/>
    <x v="5"/>
    <s v="Corporate"/>
    <s v="Technology"/>
    <x v="6"/>
    <x v="25"/>
    <d v="2010-08-23T00:00:00"/>
    <s v="23-Aug-2010"/>
  </r>
  <r>
    <n v="2467"/>
    <d v="2011-07-15T00:00:00"/>
    <s v="Not Specified"/>
    <s v="15-Jul-2011"/>
    <n v="30"/>
    <n v="4147.47"/>
    <n v="0.09"/>
    <s v="Delivery Truck"/>
    <n v="586.61"/>
    <n v="145.44999999999999"/>
    <n v="17.850000000000001"/>
    <s v="Caroline Jumper"/>
    <s v="Quebec"/>
    <x v="5"/>
    <s v="Corporate"/>
    <s v="Technology"/>
    <x v="0"/>
    <x v="0"/>
    <d v="2011-07-16T00:00:00"/>
    <s v="16-Jul-2011"/>
  </r>
  <r>
    <n v="2150"/>
    <d v="2009-06-02T00:00:00"/>
    <s v="Medium"/>
    <s v="02-Jun-2009"/>
    <n v="21"/>
    <n v="3905.75"/>
    <n v="0.01"/>
    <s v="Delivery Truck"/>
    <n v="55.3"/>
    <n v="179.29"/>
    <n v="29.21"/>
    <s v="Vivian Mathis"/>
    <s v="Quebec"/>
    <x v="5"/>
    <s v="Corporate"/>
    <s v="Furniture"/>
    <x v="3"/>
    <x v="40"/>
    <d v="2009-06-04T00:00:00"/>
    <s v="04-Jun-2009"/>
  </r>
  <r>
    <n v="43779"/>
    <d v="2009-08-21T00:00:00"/>
    <s v="High"/>
    <s v="21-Aug-2009"/>
    <n v="20"/>
    <n v="3878.49"/>
    <n v="0.09"/>
    <s v="Regular Air"/>
    <n v="1397.86"/>
    <n v="209.84"/>
    <n v="21.21"/>
    <s v="Lindsay Castell"/>
    <s v="Quebec"/>
    <x v="5"/>
    <s v="Corporate"/>
    <s v="Furniture"/>
    <x v="7"/>
    <x v="14"/>
    <d v="2009-08-24T00:00:00"/>
    <s v="24-Aug-2009"/>
  </r>
  <r>
    <n v="17414"/>
    <d v="2012-06-29T00:00:00"/>
    <s v="High"/>
    <s v="29-Jun-2012"/>
    <n v="39"/>
    <n v="3755.43"/>
    <n v="7.0000000000000007E-2"/>
    <s v="Regular Air"/>
    <n v="448.07"/>
    <n v="99.99"/>
    <n v="19.989999999999998"/>
    <s v="Katherine Nockton"/>
    <s v="Quebec"/>
    <x v="5"/>
    <s v="Corporate"/>
    <s v="Technology"/>
    <x v="11"/>
    <x v="24"/>
    <d v="2012-07-01T00:00:00"/>
    <s v="01-Jul-2012"/>
  </r>
  <r>
    <n v="13730"/>
    <d v="2011-05-09T00:00:00"/>
    <s v="High"/>
    <s v="09-May-2011"/>
    <n v="26"/>
    <n v="3617.64"/>
    <n v="7.0000000000000007E-2"/>
    <s v="Delivery Truck"/>
    <n v="-354.13"/>
    <n v="146.34"/>
    <n v="43.75"/>
    <s v="Bradley Nguyen"/>
    <s v="Quebec"/>
    <x v="5"/>
    <s v="Corporate"/>
    <s v="Furniture"/>
    <x v="3"/>
    <x v="28"/>
    <d v="2011-05-11T00:00:00"/>
    <s v="11-May-2011"/>
  </r>
  <r>
    <n v="34337"/>
    <d v="2010-05-14T00:00:00"/>
    <s v="Medium"/>
    <s v="14-May-2010"/>
    <n v="36"/>
    <n v="3610.85"/>
    <n v="0.04"/>
    <s v="Express Air"/>
    <n v="2235.37"/>
    <n v="99.23"/>
    <n v="8.99"/>
    <s v="Bill Eplett"/>
    <s v="Quebec"/>
    <x v="5"/>
    <s v="Corporate"/>
    <s v="Furniture"/>
    <x v="7"/>
    <x v="2"/>
    <d v="2010-05-15T00:00:00"/>
    <s v="15-May-2010"/>
  </r>
  <r>
    <n v="13089"/>
    <d v="2011-12-14T00:00:00"/>
    <s v="Not Specified"/>
    <s v="14-Dec-2011"/>
    <n v="34"/>
    <n v="3577.11"/>
    <n v="0.1"/>
    <s v="Delivery Truck"/>
    <n v="-1620.41"/>
    <n v="114.98"/>
    <n v="58.72"/>
    <s v="Damala Kotsonis"/>
    <s v="Quebec"/>
    <x v="5"/>
    <s v="Corporate"/>
    <s v="Furniture"/>
    <x v="8"/>
    <x v="40"/>
    <d v="2011-12-17T00:00:00"/>
    <s v="17-Dec-2011"/>
  </r>
  <r>
    <n v="614"/>
    <d v="2012-11-30T00:00:00"/>
    <s v="High"/>
    <s v="30-Nov-2012"/>
    <n v="24"/>
    <n v="3366.1"/>
    <n v="7.0000000000000007E-2"/>
    <s v="Delivery Truck"/>
    <n v="-335.32"/>
    <n v="138.75"/>
    <n v="52.42"/>
    <s v="Dave Hallsten"/>
    <s v="Quebec"/>
    <x v="5"/>
    <s v="Corporate"/>
    <s v="Furniture"/>
    <x v="3"/>
    <x v="37"/>
    <d v="2012-12-01T00:00:00"/>
    <s v="01-Dec-2012"/>
  </r>
  <r>
    <n v="7623"/>
    <d v="2009-10-28T00:00:00"/>
    <s v="Critical"/>
    <s v="28-Oct-2009"/>
    <n v="32"/>
    <n v="3080.07"/>
    <n v="0.1"/>
    <s v="Regular Air"/>
    <n v="1480.15"/>
    <n v="104.85"/>
    <n v="4.6500000000000004"/>
    <s v="Sheri Gordon"/>
    <s v="Quebec"/>
    <x v="5"/>
    <s v="Corporate"/>
    <s v="Office Supplies"/>
    <x v="12"/>
    <x v="7"/>
    <d v="2009-10-29T00:00:00"/>
    <s v="29-Oct-2009"/>
  </r>
  <r>
    <n v="24647"/>
    <d v="2009-06-04T00:00:00"/>
    <s v="Not Specified"/>
    <s v="04-Jun-2009"/>
    <n v="3"/>
    <n v="3029.97"/>
    <n v="0"/>
    <s v="Regular Air"/>
    <n v="-1820"/>
    <n v="999.99"/>
    <n v="13.99"/>
    <s v="Mitch Webber"/>
    <s v="Quebec"/>
    <x v="5"/>
    <s v="Corporate"/>
    <s v="Technology"/>
    <x v="0"/>
    <x v="10"/>
    <d v="2009-06-06T00:00:00"/>
    <s v="06-Jun-2009"/>
  </r>
  <r>
    <n v="7846"/>
    <d v="2011-06-25T00:00:00"/>
    <s v="Low"/>
    <s v="25-Jun-2011"/>
    <n v="47"/>
    <n v="2926.33"/>
    <n v="0.09"/>
    <s v="Regular Air"/>
    <n v="499.27"/>
    <n v="67.28"/>
    <n v="19.989999999999998"/>
    <s v="Dave Hallsten"/>
    <s v="Quebec"/>
    <x v="5"/>
    <s v="Corporate"/>
    <s v="Office Supplies"/>
    <x v="1"/>
    <x v="27"/>
    <d v="2011-06-30T00:00:00"/>
    <s v="30-Jun-2011"/>
  </r>
  <r>
    <n v="7936"/>
    <d v="2010-04-05T00:00:00"/>
    <s v="Low"/>
    <s v="05-Apr-2010"/>
    <n v="50"/>
    <n v="2851.17"/>
    <n v="0.06"/>
    <s v="Delivery Truck"/>
    <n v="-868.88"/>
    <n v="58.14"/>
    <n v="36.61"/>
    <s v="Pete Takahito"/>
    <s v="Quebec"/>
    <x v="5"/>
    <s v="Corporate"/>
    <s v="Furniture"/>
    <x v="8"/>
    <x v="9"/>
    <d v="2010-04-05T00:00:00"/>
    <s v="05-Apr-2010"/>
  </r>
  <r>
    <n v="33152"/>
    <d v="2010-11-21T00:00:00"/>
    <s v="Critical"/>
    <s v="21-Nov-2010"/>
    <n v="19"/>
    <n v="2569.6264999999999"/>
    <n v="0"/>
    <s v="Regular Air"/>
    <n v="398.01"/>
    <n v="155.99"/>
    <n v="8.99"/>
    <s v="Caroline Jumper"/>
    <s v="Quebec"/>
    <x v="5"/>
    <s v="Corporate"/>
    <s v="Technology"/>
    <x v="10"/>
    <x v="20"/>
    <d v="2010-11-23T00:00:00"/>
    <s v="23-Nov-2010"/>
  </r>
  <r>
    <n v="26306"/>
    <d v="2012-10-30T00:00:00"/>
    <s v="Low"/>
    <s v="30-Oct-2012"/>
    <n v="15"/>
    <n v="2567.64"/>
    <n v="0"/>
    <s v="Regular Air"/>
    <n v="-505.98"/>
    <n v="209.37"/>
    <n v="69"/>
    <s v="Brendan Murry"/>
    <s v="Quebec"/>
    <x v="5"/>
    <s v="Corporate"/>
    <s v="Furniture"/>
    <x v="3"/>
    <x v="11"/>
    <d v="2012-11-04T00:00:00"/>
    <s v="04-Nov-2012"/>
  </r>
  <r>
    <n v="24644"/>
    <d v="2009-07-28T00:00:00"/>
    <s v="Critical"/>
    <s v="28-Jul-2009"/>
    <n v="40"/>
    <n v="2550.12"/>
    <n v="0.01"/>
    <s v="Express Air"/>
    <n v="882.45"/>
    <n v="60.97"/>
    <n v="4.5"/>
    <s v="Tony Molinari"/>
    <s v="Quebec"/>
    <x v="5"/>
    <s v="Corporate"/>
    <s v="Office Supplies"/>
    <x v="5"/>
    <x v="0"/>
    <d v="2009-07-30T00:00:00"/>
    <s v="30-Jul-2009"/>
  </r>
  <r>
    <n v="43745"/>
    <d v="2010-11-01T00:00:00"/>
    <s v="Low"/>
    <s v="01-Nov-2010"/>
    <n v="43"/>
    <n v="2433.5300000000002"/>
    <n v="0.02"/>
    <s v="Regular Air"/>
    <n v="946.7"/>
    <n v="54.48"/>
    <n v="0.99"/>
    <s v="Laurel Elliston"/>
    <s v="Quebec"/>
    <x v="5"/>
    <s v="Corporate"/>
    <s v="Office Supplies"/>
    <x v="5"/>
    <x v="6"/>
    <d v="2010-11-01T00:00:00"/>
    <s v="01-Nov-2010"/>
  </r>
  <r>
    <n v="50759"/>
    <d v="2010-03-19T00:00:00"/>
    <s v="Low"/>
    <s v="19-Mar-2010"/>
    <n v="46"/>
    <n v="2422.721"/>
    <n v="0.1"/>
    <s v="Regular Air"/>
    <n v="366.18"/>
    <n v="65.989999999999995"/>
    <n v="8.99"/>
    <s v="Deborah Brumfield"/>
    <s v="Quebec"/>
    <x v="5"/>
    <s v="Corporate"/>
    <s v="Technology"/>
    <x v="10"/>
    <x v="0"/>
    <d v="2010-03-24T00:00:00"/>
    <s v="24-Mar-2010"/>
  </r>
  <r>
    <n v="55425"/>
    <d v="2011-11-01T00:00:00"/>
    <s v="Critical"/>
    <s v="01-Nov-2011"/>
    <n v="8"/>
    <n v="2302.36"/>
    <n v="0.05"/>
    <s v="Express Air"/>
    <n v="-114.68"/>
    <n v="300.97000000000003"/>
    <n v="7.18"/>
    <s v="Paul Knutson"/>
    <s v="Quebec"/>
    <x v="5"/>
    <s v="Corporate"/>
    <s v="Technology"/>
    <x v="11"/>
    <x v="23"/>
    <d v="2011-11-03T00:00:00"/>
    <s v="03-Nov-2011"/>
  </r>
  <r>
    <n v="38048"/>
    <d v="2010-01-24T00:00:00"/>
    <s v="High"/>
    <s v="24-Jan-2010"/>
    <n v="42"/>
    <n v="2252.2620000000002"/>
    <n v="0.1"/>
    <s v="Regular Air"/>
    <n v="478.11"/>
    <n v="65.989999999999995"/>
    <n v="5.63"/>
    <s v="Ted Butterfield"/>
    <s v="Quebec"/>
    <x v="5"/>
    <s v="Corporate"/>
    <s v="Technology"/>
    <x v="10"/>
    <x v="0"/>
    <d v="2010-01-24T00:00:00"/>
    <s v="24-Jan-2010"/>
  </r>
  <r>
    <n v="20518"/>
    <d v="2009-10-05T00:00:00"/>
    <s v="Critical"/>
    <s v="05-Oct-2009"/>
    <n v="7"/>
    <n v="2205.84"/>
    <n v="0.01"/>
    <s v="Delivery Truck"/>
    <n v="-313.13"/>
    <n v="297.48"/>
    <n v="18.059999999999999"/>
    <s v="Paul Knutson"/>
    <s v="Quebec"/>
    <x v="5"/>
    <s v="Corporate"/>
    <s v="Technology"/>
    <x v="0"/>
    <x v="18"/>
    <d v="2009-10-06T00:00:00"/>
    <s v="06-Oct-2009"/>
  </r>
  <r>
    <n v="5189"/>
    <d v="2010-11-25T00:00:00"/>
    <s v="Low"/>
    <s v="25-Nov-2010"/>
    <n v="14"/>
    <n v="2066.63"/>
    <n v="0.03"/>
    <s v="Regular Air"/>
    <n v="65.58"/>
    <n v="140.85"/>
    <n v="19.989999999999998"/>
    <s v="Evan Henry"/>
    <s v="Quebec"/>
    <x v="5"/>
    <s v="Corporate"/>
    <s v="Office Supplies"/>
    <x v="4"/>
    <x v="33"/>
    <d v="2010-11-27T00:00:00"/>
    <s v="27-Nov-2010"/>
  </r>
  <r>
    <n v="37287"/>
    <d v="2012-11-01T00:00:00"/>
    <s v="Low"/>
    <s v="01-Nov-2012"/>
    <n v="22"/>
    <n v="2052.2655"/>
    <n v="0.04"/>
    <s v="Regular Air"/>
    <n v="371.4"/>
    <n v="110.99"/>
    <n v="2.5"/>
    <s v="Brad Thomas"/>
    <s v="Quebec"/>
    <x v="5"/>
    <s v="Corporate"/>
    <s v="Technology"/>
    <x v="10"/>
    <x v="6"/>
    <d v="2012-11-05T00:00:00"/>
    <s v="05-Nov-2012"/>
  </r>
  <r>
    <n v="53152"/>
    <d v="2009-03-05T00:00:00"/>
    <s v="Medium"/>
    <s v="05-Mar-2009"/>
    <n v="36"/>
    <n v="2051.8235"/>
    <n v="0.01"/>
    <s v="Express Air"/>
    <n v="350.36"/>
    <n v="65.989999999999995"/>
    <n v="8.8000000000000007"/>
    <s v="Bill Eplett"/>
    <s v="Quebec"/>
    <x v="5"/>
    <s v="Corporate"/>
    <s v="Technology"/>
    <x v="10"/>
    <x v="15"/>
    <d v="2009-03-05T00:00:00"/>
    <s v="05-Mar-2009"/>
  </r>
  <r>
    <n v="10919"/>
    <d v="2010-03-27T00:00:00"/>
    <s v="High"/>
    <s v="27-Mar-2010"/>
    <n v="42"/>
    <n v="2040.95"/>
    <n v="7.0000000000000007E-2"/>
    <s v="Regular Air"/>
    <n v="-1231.8699999999999"/>
    <n v="48.91"/>
    <n v="35"/>
    <s v="Ross DeVincentis"/>
    <s v="Quebec"/>
    <x v="5"/>
    <s v="Corporate"/>
    <s v="Office Supplies"/>
    <x v="4"/>
    <x v="34"/>
    <d v="2010-03-27T00:00:00"/>
    <s v="27-Mar-2010"/>
  </r>
  <r>
    <n v="52039"/>
    <d v="2012-08-02T00:00:00"/>
    <s v="Critical"/>
    <s v="02-Aug-2012"/>
    <n v="48"/>
    <n v="2006.38"/>
    <n v="0"/>
    <s v="Regular Air"/>
    <n v="840.46"/>
    <n v="40.98"/>
    <n v="1.99"/>
    <s v="Justin MacKendrick"/>
    <s v="Quebec"/>
    <x v="5"/>
    <s v="Corporate"/>
    <s v="Technology"/>
    <x v="11"/>
    <x v="47"/>
    <d v="2012-08-04T00:00:00"/>
    <s v="04-Aug-2012"/>
  </r>
  <r>
    <n v="54721"/>
    <d v="2012-10-18T00:00:00"/>
    <s v="Not Specified"/>
    <s v="18-Oct-2012"/>
    <n v="19"/>
    <n v="2002.4"/>
    <n v="0"/>
    <s v="Delivery Truck"/>
    <n v="151.09"/>
    <n v="100.98"/>
    <n v="26.22"/>
    <s v="Liz Willingham"/>
    <s v="Quebec"/>
    <x v="5"/>
    <s v="Corporate"/>
    <s v="Furniture"/>
    <x v="8"/>
    <x v="18"/>
    <d v="2012-10-19T00:00:00"/>
    <s v="19-Oct-2012"/>
  </r>
  <r>
    <n v="20900"/>
    <d v="2010-11-24T00:00:00"/>
    <s v="Low"/>
    <s v="24-Nov-2010"/>
    <n v="50"/>
    <n v="1978.3665000000001"/>
    <n v="0"/>
    <s v="Regular Air"/>
    <n v="483.6"/>
    <n v="45.99"/>
    <n v="4.99"/>
    <s v="Ellis Ballard"/>
    <s v="Quebec"/>
    <x v="5"/>
    <s v="Corporate"/>
    <s v="Technology"/>
    <x v="10"/>
    <x v="6"/>
    <d v="2010-11-26T00:00:00"/>
    <s v="26-Nov-2010"/>
  </r>
  <r>
    <n v="17698"/>
    <d v="2012-05-13T00:00:00"/>
    <s v="High"/>
    <s v="13-May-2012"/>
    <n v="43"/>
    <n v="1883.82"/>
    <n v="0.08"/>
    <s v="Regular Air"/>
    <n v="528.77"/>
    <n v="44.01"/>
    <n v="3.5"/>
    <s v="Michael Kennedy"/>
    <s v="Quebec"/>
    <x v="5"/>
    <s v="Corporate"/>
    <s v="Office Supplies"/>
    <x v="5"/>
    <x v="14"/>
    <d v="2012-05-15T00:00:00"/>
    <s v="15-May-2012"/>
  </r>
  <r>
    <n v="55908"/>
    <d v="2009-05-23T00:00:00"/>
    <s v="High"/>
    <s v="23-May-2009"/>
    <n v="44"/>
    <n v="1844.97"/>
    <n v="0.03"/>
    <s v="Regular Air"/>
    <n v="807.38"/>
    <n v="42.8"/>
    <n v="2.99"/>
    <s v="Tom Stivers"/>
    <s v="Quebec"/>
    <x v="5"/>
    <s v="Corporate"/>
    <s v="Office Supplies"/>
    <x v="1"/>
    <x v="10"/>
    <d v="2009-05-24T00:00:00"/>
    <s v="24-May-2009"/>
  </r>
  <r>
    <n v="59781"/>
    <d v="2012-12-12T00:00:00"/>
    <s v="Not Specified"/>
    <s v="12-Dec-2012"/>
    <n v="18"/>
    <n v="1837.94"/>
    <n v="0.02"/>
    <s v="Regular Air"/>
    <n v="1249.43"/>
    <n v="99.23"/>
    <n v="8.99"/>
    <s v="Julia Barnett"/>
    <s v="Quebec"/>
    <x v="5"/>
    <s v="Corporate"/>
    <s v="Furniture"/>
    <x v="7"/>
    <x v="2"/>
    <d v="2012-12-14T00:00:00"/>
    <s v="14-Dec-2012"/>
  </r>
  <r>
    <n v="7623"/>
    <d v="2009-10-28T00:00:00"/>
    <s v="Critical"/>
    <s v="28-Oct-2009"/>
    <n v="37"/>
    <n v="1793.42"/>
    <n v="0.06"/>
    <s v="Regular Air"/>
    <n v="21.5"/>
    <n v="49.99"/>
    <n v="19.989999999999998"/>
    <s v="Sheri Gordon"/>
    <s v="Quebec"/>
    <x v="5"/>
    <s v="Corporate"/>
    <s v="Technology"/>
    <x v="11"/>
    <x v="45"/>
    <d v="2009-10-30T00:00:00"/>
    <s v="30-Oct-2009"/>
  </r>
  <r>
    <n v="41254"/>
    <d v="2011-01-10T00:00:00"/>
    <s v="Critical"/>
    <s v="10-Jan-2011"/>
    <n v="17"/>
    <n v="1782.68"/>
    <n v="0.08"/>
    <s v="Regular Air"/>
    <n v="280.64"/>
    <n v="107.53"/>
    <n v="5.81"/>
    <s v="Mitch Webber"/>
    <s v="Quebec"/>
    <x v="5"/>
    <s v="Corporate"/>
    <s v="Furniture"/>
    <x v="7"/>
    <x v="38"/>
    <d v="2011-01-12T00:00:00"/>
    <s v="12-Jan-2011"/>
  </r>
  <r>
    <n v="6086"/>
    <d v="2011-09-22T00:00:00"/>
    <s v="Critical"/>
    <s v="22-Sep-2011"/>
    <n v="48"/>
    <n v="1734.72"/>
    <n v="0.04"/>
    <s v="Regular Air"/>
    <n v="57.89"/>
    <n v="35.44"/>
    <n v="19.989999999999998"/>
    <s v="Michael Kennedy"/>
    <s v="Quebec"/>
    <x v="5"/>
    <s v="Corporate"/>
    <s v="Office Supplies"/>
    <x v="12"/>
    <x v="1"/>
    <d v="2011-09-24T00:00:00"/>
    <s v="24-Sep-2011"/>
  </r>
  <r>
    <n v="51047"/>
    <d v="2009-04-10T00:00:00"/>
    <s v="Medium"/>
    <s v="10-Apr-2009"/>
    <n v="38"/>
    <n v="1685.07"/>
    <n v="0.03"/>
    <s v="Regular Air"/>
    <n v="-681.97"/>
    <n v="41.47"/>
    <n v="34.200000000000003"/>
    <s v="Ellis Ballard"/>
    <s v="Quebec"/>
    <x v="5"/>
    <s v="Corporate"/>
    <s v="Furniture"/>
    <x v="7"/>
    <x v="33"/>
    <d v="2009-04-11T00:00:00"/>
    <s v="11-Apr-2009"/>
  </r>
  <r>
    <n v="644"/>
    <d v="2012-04-30T00:00:00"/>
    <s v="Critical"/>
    <s v="30-Apr-2012"/>
    <n v="5"/>
    <n v="1679.58"/>
    <n v="0.01"/>
    <s v="Delivery Truck"/>
    <n v="-171.92"/>
    <n v="320.98"/>
    <n v="58.95"/>
    <s v="Bill Eplett"/>
    <s v="Quebec"/>
    <x v="5"/>
    <s v="Corporate"/>
    <s v="Furniture"/>
    <x v="2"/>
    <x v="6"/>
    <d v="2012-05-01T00:00:00"/>
    <s v="01-May-2012"/>
  </r>
  <r>
    <n v="11683"/>
    <d v="2012-02-07T00:00:00"/>
    <s v="Not Specified"/>
    <s v="07-Feb-2012"/>
    <n v="28"/>
    <n v="1650.4110000000001"/>
    <n v="0.03"/>
    <s v="Regular Air"/>
    <n v="335.08"/>
    <n v="65.989999999999995"/>
    <n v="5.99"/>
    <s v="Fred Chung"/>
    <s v="Quebec"/>
    <x v="5"/>
    <s v="Corporate"/>
    <s v="Technology"/>
    <x v="10"/>
    <x v="15"/>
    <d v="2012-02-07T00:00:00"/>
    <s v="07-Feb-2012"/>
  </r>
  <r>
    <n v="8677"/>
    <d v="2012-10-07T00:00:00"/>
    <s v="High"/>
    <s v="07-Oct-2012"/>
    <n v="38"/>
    <n v="1610.76"/>
    <n v="0.1"/>
    <s v="Regular Air"/>
    <n v="-8.67"/>
    <n v="43.57"/>
    <n v="16.36"/>
    <s v="Speros Goranitis"/>
    <s v="Quebec"/>
    <x v="5"/>
    <s v="Corporate"/>
    <s v="Office Supplies"/>
    <x v="4"/>
    <x v="20"/>
    <d v="2012-10-09T00:00:00"/>
    <s v="09-Oct-2012"/>
  </r>
  <r>
    <n v="4004"/>
    <d v="2010-05-06T00:00:00"/>
    <s v="Medium"/>
    <s v="06-May-2010"/>
    <n v="44"/>
    <n v="1512.25"/>
    <n v="0.05"/>
    <s v="Regular Air"/>
    <n v="195.48"/>
    <n v="34.58"/>
    <n v="8.99"/>
    <s v="Sheri Gordon"/>
    <s v="Quebec"/>
    <x v="5"/>
    <s v="Corporate"/>
    <s v="Office Supplies"/>
    <x v="13"/>
    <x v="0"/>
    <d v="2010-05-07T00:00:00"/>
    <s v="07-May-2010"/>
  </r>
  <r>
    <n v="30276"/>
    <d v="2011-08-26T00:00:00"/>
    <s v="Low"/>
    <s v="26-Aug-2011"/>
    <n v="44"/>
    <n v="1453.704"/>
    <n v="0"/>
    <s v="Regular Air"/>
    <n v="549.84"/>
    <n v="35.99"/>
    <n v="1.1000000000000001"/>
    <s v="Carlos Meador"/>
    <s v="Quebec"/>
    <x v="5"/>
    <s v="Corporate"/>
    <s v="Technology"/>
    <x v="10"/>
    <x v="20"/>
    <d v="2011-08-30T00:00:00"/>
    <s v="30-Aug-2011"/>
  </r>
  <r>
    <n v="26432"/>
    <d v="2009-12-30T00:00:00"/>
    <s v="Low"/>
    <s v="30-Dec-2009"/>
    <n v="37"/>
    <n v="1420.89"/>
    <n v="0.06"/>
    <s v="Regular Air"/>
    <n v="389.67"/>
    <n v="38.06"/>
    <n v="4.5"/>
    <s v="Logan Haushalter"/>
    <s v="Quebec"/>
    <x v="5"/>
    <s v="Corporate"/>
    <s v="Office Supplies"/>
    <x v="5"/>
    <x v="0"/>
    <d v="2010-01-06T00:00:00"/>
    <s v="06-Jan-2010"/>
  </r>
  <r>
    <n v="30279"/>
    <d v="2011-12-07T00:00:00"/>
    <s v="Critical"/>
    <s v="07-Dec-2011"/>
    <n v="25"/>
    <n v="1412.98"/>
    <n v="0.1"/>
    <s v="Regular Air"/>
    <n v="324.95999999999998"/>
    <n v="60.97"/>
    <n v="4.5"/>
    <s v="Ellis Ballard"/>
    <s v="Quebec"/>
    <x v="5"/>
    <s v="Corporate"/>
    <s v="Office Supplies"/>
    <x v="5"/>
    <x v="0"/>
    <d v="2011-12-07T00:00:00"/>
    <s v="07-Dec-2011"/>
  </r>
  <r>
    <n v="34657"/>
    <d v="2010-05-05T00:00:00"/>
    <s v="Low"/>
    <s v="05-May-2010"/>
    <n v="46"/>
    <n v="1396.75"/>
    <n v="0.04"/>
    <s v="Express Air"/>
    <n v="-75.7"/>
    <n v="30.98"/>
    <n v="19.510000000000002"/>
    <s v="Fred Chung"/>
    <s v="Quebec"/>
    <x v="5"/>
    <s v="Corporate"/>
    <s v="Office Supplies"/>
    <x v="15"/>
    <x v="10"/>
    <d v="2010-05-14T00:00:00"/>
    <s v="14-May-2010"/>
  </r>
  <r>
    <n v="43907"/>
    <d v="2012-07-18T00:00:00"/>
    <s v="Critical"/>
    <s v="18-Jul-2012"/>
    <n v="42"/>
    <n v="1392.77"/>
    <n v="0"/>
    <s v="Delivery Truck"/>
    <n v="-1981.55"/>
    <n v="31.76"/>
    <n v="45.51"/>
    <s v="Anne Pryor"/>
    <s v="Quebec"/>
    <x v="5"/>
    <s v="Corporate"/>
    <s v="Furniture"/>
    <x v="3"/>
    <x v="38"/>
    <d v="2012-07-20T00:00:00"/>
    <s v="20-Jul-2012"/>
  </r>
  <r>
    <n v="43745"/>
    <d v="2010-11-01T00:00:00"/>
    <s v="Low"/>
    <s v="01-Nov-2010"/>
    <n v="26"/>
    <n v="1368.03"/>
    <n v="0.04"/>
    <s v="Regular Air"/>
    <n v="27.51"/>
    <n v="50.98"/>
    <n v="6.5"/>
    <s v="Laurel Elliston"/>
    <s v="Quebec"/>
    <x v="5"/>
    <s v="Corporate"/>
    <s v="Technology"/>
    <x v="11"/>
    <x v="33"/>
    <d v="2010-11-03T00:00:00"/>
    <s v="03-Nov-2010"/>
  </r>
  <r>
    <n v="16036"/>
    <d v="2012-01-05T00:00:00"/>
    <s v="Medium"/>
    <s v="05-Jan-2012"/>
    <n v="10"/>
    <n v="1319.421"/>
    <n v="7.0000000000000007E-2"/>
    <s v="Regular Air"/>
    <n v="-268.87"/>
    <n v="155.99"/>
    <n v="8.08"/>
    <s v="Harold Dahlen"/>
    <s v="Quebec"/>
    <x v="5"/>
    <s v="Corporate"/>
    <s v="Technology"/>
    <x v="10"/>
    <x v="18"/>
    <d v="2012-01-06T00:00:00"/>
    <s v="06-Jan-2012"/>
  </r>
  <r>
    <n v="20934"/>
    <d v="2010-01-20T00:00:00"/>
    <s v="Critical"/>
    <s v="20-Jan-2010"/>
    <n v="5"/>
    <n v="1253.8900000000001"/>
    <n v="0.09"/>
    <s v="Delivery Truck"/>
    <n v="-577.48"/>
    <n v="264.98"/>
    <n v="17.86"/>
    <s v="Bill Eplett"/>
    <s v="Quebec"/>
    <x v="5"/>
    <s v="Corporate"/>
    <s v="Technology"/>
    <x v="0"/>
    <x v="15"/>
    <d v="2010-01-21T00:00:00"/>
    <s v="21-Jan-2010"/>
  </r>
  <r>
    <n v="43745"/>
    <d v="2010-11-01T00:00:00"/>
    <s v="Low"/>
    <s v="01-Nov-2010"/>
    <n v="32"/>
    <n v="1250.4265"/>
    <n v="0.02"/>
    <s v="Regular Air"/>
    <n v="303.3"/>
    <n v="45.99"/>
    <n v="2.5"/>
    <s v="Laurel Elliston"/>
    <s v="Quebec"/>
    <x v="5"/>
    <s v="Corporate"/>
    <s v="Technology"/>
    <x v="10"/>
    <x v="0"/>
    <d v="2010-11-01T00:00:00"/>
    <s v="01-Nov-2010"/>
  </r>
  <r>
    <n v="40454"/>
    <d v="2011-04-21T00:00:00"/>
    <s v="Not Specified"/>
    <s v="21-Apr-2011"/>
    <n v="43"/>
    <n v="1243.8800000000001"/>
    <n v="0.1"/>
    <s v="Regular Air"/>
    <n v="22.71"/>
    <n v="30.98"/>
    <n v="8.99"/>
    <s v="Cynthia Delaney"/>
    <s v="Quebec"/>
    <x v="5"/>
    <s v="Corporate"/>
    <s v="Office Supplies"/>
    <x v="13"/>
    <x v="15"/>
    <d v="2011-04-24T00:00:00"/>
    <s v="24-Apr-2011"/>
  </r>
  <r>
    <n v="56768"/>
    <d v="2011-07-27T00:00:00"/>
    <s v="Critical"/>
    <s v="27-Jul-2011"/>
    <n v="13"/>
    <n v="1207.02"/>
    <n v="0.03"/>
    <s v="Delivery Truck"/>
    <n v="235.4"/>
    <n v="90.97"/>
    <n v="14"/>
    <s v="Giulietta Dortch"/>
    <s v="Quebec"/>
    <x v="5"/>
    <s v="Corporate"/>
    <s v="Technology"/>
    <x v="0"/>
    <x v="10"/>
    <d v="2011-07-28T00:00:00"/>
    <s v="28-Jul-2011"/>
  </r>
  <r>
    <n v="39040"/>
    <d v="2009-05-21T00:00:00"/>
    <s v="Critical"/>
    <s v="21-May-2009"/>
    <n v="26"/>
    <n v="1204.5094999999999"/>
    <n v="0.03"/>
    <s v="Regular Air"/>
    <n v="-221.25"/>
    <n v="55.99"/>
    <n v="5"/>
    <s v="Astrea Jones"/>
    <s v="Quebec"/>
    <x v="5"/>
    <s v="Corporate"/>
    <s v="Technology"/>
    <x v="10"/>
    <x v="34"/>
    <d v="2009-05-22T00:00:00"/>
    <s v="22-May-2009"/>
  </r>
  <r>
    <n v="56291"/>
    <d v="2012-09-17T00:00:00"/>
    <s v="Not Specified"/>
    <s v="17-Sep-2012"/>
    <n v="47"/>
    <n v="1200.7"/>
    <n v="0.06"/>
    <s v="Regular Air"/>
    <n v="-37.270000000000003"/>
    <n v="24.98"/>
    <n v="8.7899999999999991"/>
    <s v="Shirley Daniels"/>
    <s v="Quebec"/>
    <x v="5"/>
    <s v="Corporate"/>
    <s v="Office Supplies"/>
    <x v="4"/>
    <x v="32"/>
    <d v="2012-09-18T00:00:00"/>
    <s v="18-Sep-2012"/>
  </r>
  <r>
    <n v="19841"/>
    <d v="2010-12-26T00:00:00"/>
    <s v="Low"/>
    <s v="26-Dec-2010"/>
    <n v="7"/>
    <n v="1126.4880000000001"/>
    <n v="0.08"/>
    <s v="Regular Air"/>
    <n v="-557.95000000000005"/>
    <n v="195.99"/>
    <n v="4.2"/>
    <s v="Tom Stivers"/>
    <s v="Quebec"/>
    <x v="5"/>
    <s v="Corporate"/>
    <s v="Technology"/>
    <x v="10"/>
    <x v="18"/>
    <d v="2011-01-26T00:00:00"/>
    <s v="26-Jan-2011"/>
  </r>
  <r>
    <n v="55492"/>
    <d v="2011-09-19T00:00:00"/>
    <s v="Critical"/>
    <s v="19-Sep-2011"/>
    <n v="10"/>
    <n v="1124.2439999999999"/>
    <n v="0.03"/>
    <s v="Express Air"/>
    <n v="-126.45"/>
    <n v="125.99"/>
    <n v="7.69"/>
    <s v="Stewart Visinsky"/>
    <s v="Quebec"/>
    <x v="5"/>
    <s v="Corporate"/>
    <s v="Technology"/>
    <x v="10"/>
    <x v="15"/>
    <d v="2011-09-21T00:00:00"/>
    <s v="21-Sep-2011"/>
  </r>
  <r>
    <n v="21057"/>
    <d v="2011-02-03T00:00:00"/>
    <s v="Low"/>
    <s v="03-Feb-2011"/>
    <n v="28"/>
    <n v="1103.67"/>
    <n v="0.04"/>
    <s v="Regular Air"/>
    <n v="253.61"/>
    <n v="39.479999999999997"/>
    <n v="1.99"/>
    <s v="Justin MacKendrick"/>
    <s v="Quebec"/>
    <x v="5"/>
    <s v="Corporate"/>
    <s v="Technology"/>
    <x v="11"/>
    <x v="41"/>
    <d v="2011-02-10T00:00:00"/>
    <s v="10-Feb-2011"/>
  </r>
  <r>
    <n v="26341"/>
    <d v="2010-07-28T00:00:00"/>
    <s v="Critical"/>
    <s v="28-Jul-2010"/>
    <n v="8"/>
    <n v="1095.27"/>
    <n v="0.03"/>
    <s v="Delivery Truck"/>
    <n v="-281.22000000000003"/>
    <n v="124.49"/>
    <n v="51.94"/>
    <s v="Karen Ferguson"/>
    <s v="Quebec"/>
    <x v="5"/>
    <s v="Corporate"/>
    <s v="Furniture"/>
    <x v="3"/>
    <x v="50"/>
    <d v="2010-07-30T00:00:00"/>
    <s v="30-Jul-2010"/>
  </r>
  <r>
    <n v="24740"/>
    <d v="2010-01-10T00:00:00"/>
    <s v="Medium"/>
    <s v="10-Jan-2010"/>
    <n v="11"/>
    <n v="1091.47"/>
    <n v="0.04"/>
    <s v="Regular Air"/>
    <n v="160.47999999999999"/>
    <n v="92.23"/>
    <n v="39.61"/>
    <s v="Logan Haushalter"/>
    <s v="Quebec"/>
    <x v="5"/>
    <s v="Corporate"/>
    <s v="Furniture"/>
    <x v="7"/>
    <x v="46"/>
    <d v="2010-01-11T00:00:00"/>
    <s v="11-Jan-2010"/>
  </r>
  <r>
    <n v="7301"/>
    <d v="2010-12-28T00:00:00"/>
    <s v="Low"/>
    <s v="28-Dec-2010"/>
    <n v="17"/>
    <n v="959.08900000000006"/>
    <n v="0.06"/>
    <s v="Regular Air"/>
    <n v="124.99"/>
    <n v="65.989999999999995"/>
    <n v="2.5"/>
    <s v="Logan Haushalter"/>
    <s v="Quebec"/>
    <x v="5"/>
    <s v="Corporate"/>
    <s v="Technology"/>
    <x v="10"/>
    <x v="20"/>
    <d v="2011-01-14T00:00:00"/>
    <s v="14-Jan-2011"/>
  </r>
  <r>
    <n v="38976"/>
    <d v="2010-12-25T00:00:00"/>
    <s v="Critical"/>
    <s v="25-Dec-2010"/>
    <n v="46"/>
    <n v="944.76"/>
    <n v="0.03"/>
    <s v="Regular Air"/>
    <n v="165.46"/>
    <n v="19.98"/>
    <n v="8.68"/>
    <s v="Paul Knutson"/>
    <s v="Quebec"/>
    <x v="5"/>
    <s v="Corporate"/>
    <s v="Office Supplies"/>
    <x v="12"/>
    <x v="7"/>
    <d v="2010-12-27T00:00:00"/>
    <s v="27-Dec-2010"/>
  </r>
  <r>
    <n v="39335"/>
    <d v="2009-05-25T00:00:00"/>
    <s v="Not Specified"/>
    <s v="25-May-2009"/>
    <n v="34"/>
    <n v="889.84"/>
    <n v="0.1"/>
    <s v="Regular Air"/>
    <n v="204.49"/>
    <n v="27.18"/>
    <n v="8.23"/>
    <s v="Mitch Webber"/>
    <s v="Quebec"/>
    <x v="5"/>
    <s v="Corporate"/>
    <s v="Office Supplies"/>
    <x v="15"/>
    <x v="1"/>
    <d v="2009-05-27T00:00:00"/>
    <s v="27-May-2009"/>
  </r>
  <r>
    <n v="31040"/>
    <d v="2010-09-14T00:00:00"/>
    <s v="Not Specified"/>
    <s v="14-Sep-2010"/>
    <n v="23"/>
    <n v="872.97"/>
    <n v="0.1"/>
    <s v="Regular Air"/>
    <n v="-22.63"/>
    <n v="39.979999999999997"/>
    <n v="4"/>
    <s v="Caroline Jumper"/>
    <s v="Quebec"/>
    <x v="5"/>
    <s v="Corporate"/>
    <s v="Technology"/>
    <x v="11"/>
    <x v="3"/>
    <d v="2010-09-16T00:00:00"/>
    <s v="16-Sep-2010"/>
  </r>
  <r>
    <n v="36358"/>
    <d v="2009-05-13T00:00:00"/>
    <s v="Not Specified"/>
    <s v="13-May-2009"/>
    <n v="28"/>
    <n v="865.35"/>
    <n v="0.06"/>
    <s v="Regular Air"/>
    <n v="-159.25"/>
    <n v="30.42"/>
    <n v="8.65"/>
    <s v="Dorris Love"/>
    <s v="Quebec"/>
    <x v="5"/>
    <s v="Corporate"/>
    <s v="Technology"/>
    <x v="11"/>
    <x v="37"/>
    <d v="2009-05-15T00:00:00"/>
    <s v="15-May-2009"/>
  </r>
  <r>
    <n v="24099"/>
    <d v="2011-05-20T00:00:00"/>
    <s v="Not Specified"/>
    <s v="20-May-2011"/>
    <n v="36"/>
    <n v="825.82"/>
    <n v="0"/>
    <s v="Regular Air"/>
    <n v="-1049.26"/>
    <n v="20.34"/>
    <n v="35"/>
    <s v="Max Engle"/>
    <s v="Quebec"/>
    <x v="5"/>
    <s v="Corporate"/>
    <s v="Office Supplies"/>
    <x v="4"/>
    <x v="30"/>
    <d v="2011-05-21T00:00:00"/>
    <s v="21-May-2011"/>
  </r>
  <r>
    <n v="36358"/>
    <d v="2009-05-13T00:00:00"/>
    <s v="Not Specified"/>
    <s v="13-May-2009"/>
    <n v="22"/>
    <n v="823.07"/>
    <n v="0.02"/>
    <s v="Regular Air"/>
    <n v="318.25"/>
    <n v="37.94"/>
    <n v="5.08"/>
    <s v="Dorris Love"/>
    <s v="Quebec"/>
    <x v="5"/>
    <s v="Corporate"/>
    <s v="Office Supplies"/>
    <x v="12"/>
    <x v="1"/>
    <d v="2009-05-14T00:00:00"/>
    <s v="14-May-2009"/>
  </r>
  <r>
    <n v="5543"/>
    <d v="2010-09-24T00:00:00"/>
    <s v="Medium"/>
    <s v="24-Sep-2010"/>
    <n v="15"/>
    <n v="703.54"/>
    <n v="0.04"/>
    <s v="Regular Air"/>
    <n v="138.46"/>
    <n v="48.58"/>
    <n v="3.99"/>
    <s v="Fred Chung"/>
    <s v="Quebec"/>
    <x v="5"/>
    <s v="Corporate"/>
    <s v="Office Supplies"/>
    <x v="5"/>
    <x v="0"/>
    <d v="2010-09-26T00:00:00"/>
    <s v="26-Sep-2010"/>
  </r>
  <r>
    <n v="3877"/>
    <d v="2010-05-20T00:00:00"/>
    <s v="Low"/>
    <s v="20-May-2010"/>
    <n v="14"/>
    <n v="700.46"/>
    <n v="0.02"/>
    <s v="Express Air"/>
    <n v="254.31"/>
    <n v="48.04"/>
    <n v="7.23"/>
    <s v="Paul Knutson"/>
    <s v="Quebec"/>
    <x v="5"/>
    <s v="Corporate"/>
    <s v="Office Supplies"/>
    <x v="12"/>
    <x v="7"/>
    <d v="2010-05-20T00:00:00"/>
    <s v="20-May-2010"/>
  </r>
  <r>
    <n v="46787"/>
    <d v="2012-03-29T00:00:00"/>
    <s v="Medium"/>
    <s v="29-Mar-2012"/>
    <n v="32"/>
    <n v="693.17"/>
    <n v="7.0000000000000007E-2"/>
    <s v="Regular Air"/>
    <n v="-59.83"/>
    <n v="22.99"/>
    <n v="8.99"/>
    <s v="Caroline Jumper"/>
    <s v="Quebec"/>
    <x v="5"/>
    <s v="Corporate"/>
    <s v="Office Supplies"/>
    <x v="13"/>
    <x v="6"/>
    <d v="2012-03-31T00:00:00"/>
    <s v="31-Mar-2012"/>
  </r>
  <r>
    <n v="44196"/>
    <d v="2009-08-22T00:00:00"/>
    <s v="Not Specified"/>
    <s v="22-Aug-2009"/>
    <n v="12"/>
    <n v="653.78599999999994"/>
    <n v="0.09"/>
    <s v="Regular Air"/>
    <n v="-83.47"/>
    <n v="65.989999999999995"/>
    <n v="5.31"/>
    <s v="Cynthia Delaney"/>
    <s v="Quebec"/>
    <x v="5"/>
    <s v="Corporate"/>
    <s v="Technology"/>
    <x v="10"/>
    <x v="6"/>
    <d v="2009-08-23T00:00:00"/>
    <s v="23-Aug-2009"/>
  </r>
  <r>
    <n v="16640"/>
    <d v="2010-07-27T00:00:00"/>
    <s v="Low"/>
    <s v="27-Jul-2010"/>
    <n v="6"/>
    <n v="652.33000000000004"/>
    <n v="0.09"/>
    <s v="Delivery Truck"/>
    <n v="-227.51"/>
    <n v="113.98"/>
    <n v="30"/>
    <s v="Stewart Visinsky"/>
    <s v="Quebec"/>
    <x v="5"/>
    <s v="Corporate"/>
    <s v="Furniture"/>
    <x v="2"/>
    <x v="39"/>
    <d v="2010-07-29T00:00:00"/>
    <s v="29-Jul-2010"/>
  </r>
  <r>
    <n v="54020"/>
    <d v="2012-01-31T00:00:00"/>
    <s v="Low"/>
    <s v="31-Jan-2012"/>
    <n v="35"/>
    <n v="648.58000000000004"/>
    <n v="0.05"/>
    <s v="Regular Air"/>
    <n v="182.63"/>
    <n v="18.97"/>
    <n v="5.21"/>
    <s v="Jennifer Ferguson"/>
    <s v="Quebec"/>
    <x v="5"/>
    <s v="Corporate"/>
    <s v="Office Supplies"/>
    <x v="12"/>
    <x v="7"/>
    <d v="2012-02-04T00:00:00"/>
    <s v="04-Feb-2012"/>
  </r>
  <r>
    <n v="614"/>
    <d v="2012-11-30T00:00:00"/>
    <s v="High"/>
    <s v="30-Nov-2012"/>
    <n v="41"/>
    <n v="628.22"/>
    <n v="0"/>
    <s v="Regular Air"/>
    <n v="163.81"/>
    <n v="14.34"/>
    <n v="5"/>
    <s v="Dave Hallsten"/>
    <s v="Quebec"/>
    <x v="5"/>
    <s v="Corporate"/>
    <s v="Furniture"/>
    <x v="7"/>
    <x v="19"/>
    <d v="2012-12-02T00:00:00"/>
    <s v="02-Dec-2012"/>
  </r>
  <r>
    <n v="21344"/>
    <d v="2012-12-09T00:00:00"/>
    <s v="Low"/>
    <s v="09-Dec-2012"/>
    <n v="29"/>
    <n v="587.20000000000005"/>
    <n v="0.08"/>
    <s v="Regular Air"/>
    <n v="134.25"/>
    <n v="20.89"/>
    <n v="1.99"/>
    <s v="Bobby Trafton"/>
    <s v="Quebec"/>
    <x v="5"/>
    <s v="Corporate"/>
    <s v="Technology"/>
    <x v="11"/>
    <x v="23"/>
    <d v="2012-12-13T00:00:00"/>
    <s v="13-Dec-2012"/>
  </r>
  <r>
    <n v="18816"/>
    <d v="2009-02-24T00:00:00"/>
    <s v="Critical"/>
    <s v="24-Feb-2009"/>
    <n v="12"/>
    <n v="580.46"/>
    <n v="0.03"/>
    <s v="Express Air"/>
    <n v="108.96"/>
    <n v="48.58"/>
    <n v="3.99"/>
    <s v="Jeremy Lonsdale"/>
    <s v="Quebec"/>
    <x v="5"/>
    <s v="Corporate"/>
    <s v="Office Supplies"/>
    <x v="5"/>
    <x v="0"/>
    <d v="2009-02-26T00:00:00"/>
    <s v="26-Feb-2009"/>
  </r>
  <r>
    <n v="43877"/>
    <d v="2010-03-15T00:00:00"/>
    <s v="Low"/>
    <s v="15-Mar-2010"/>
    <n v="36"/>
    <n v="580.04"/>
    <n v="0.09"/>
    <s v="Express Air"/>
    <n v="-31.86"/>
    <n v="16.91"/>
    <n v="6.25"/>
    <s v="Dorris Love"/>
    <s v="Quebec"/>
    <x v="5"/>
    <s v="Corporate"/>
    <s v="Office Supplies"/>
    <x v="4"/>
    <x v="15"/>
    <d v="2010-03-15T00:00:00"/>
    <s v="15-Mar-2010"/>
  </r>
  <r>
    <n v="5155"/>
    <d v="2009-06-11T00:00:00"/>
    <s v="High"/>
    <s v="11-Jun-2009"/>
    <n v="14"/>
    <n v="569.21"/>
    <n v="0.01"/>
    <s v="Regular Air"/>
    <n v="-38.51"/>
    <n v="39.979999999999997"/>
    <n v="4"/>
    <s v="Pete Takahito"/>
    <s v="Quebec"/>
    <x v="5"/>
    <s v="Corporate"/>
    <s v="Technology"/>
    <x v="11"/>
    <x v="3"/>
    <d v="2009-06-12T00:00:00"/>
    <s v="12-Jun-2009"/>
  </r>
  <r>
    <n v="738"/>
    <d v="2010-03-01T00:00:00"/>
    <s v="Not Specified"/>
    <s v="01-Mar-2010"/>
    <n v="7"/>
    <n v="560.51"/>
    <n v="0.04"/>
    <s v="Regular Air"/>
    <n v="32.6"/>
    <n v="80.98"/>
    <n v="4.5"/>
    <s v="Caroline Jumper"/>
    <s v="Quebec"/>
    <x v="5"/>
    <s v="Corporate"/>
    <s v="Office Supplies"/>
    <x v="5"/>
    <x v="14"/>
    <d v="2010-03-03T00:00:00"/>
    <s v="03-Mar-2010"/>
  </r>
  <r>
    <n v="44487"/>
    <d v="2009-09-11T00:00:00"/>
    <s v="Critical"/>
    <s v="11-Sep-2009"/>
    <n v="37"/>
    <n v="558.77"/>
    <n v="0.03"/>
    <s v="Regular Air"/>
    <n v="-92.87"/>
    <n v="15.14"/>
    <n v="4.53"/>
    <s v="Helen Wasserman"/>
    <s v="Quebec"/>
    <x v="5"/>
    <s v="Corporate"/>
    <s v="Office Supplies"/>
    <x v="4"/>
    <x v="43"/>
    <d v="2009-09-13T00:00:00"/>
    <s v="13-Sep-2009"/>
  </r>
  <r>
    <n v="7846"/>
    <d v="2011-06-25T00:00:00"/>
    <s v="Low"/>
    <s v="25-Jun-2011"/>
    <n v="20"/>
    <n v="552.87"/>
    <n v="0.01"/>
    <s v="Regular Air"/>
    <n v="-64.819999999999993"/>
    <n v="26.31"/>
    <n v="5.89"/>
    <s v="Dave Hallsten"/>
    <s v="Quebec"/>
    <x v="5"/>
    <s v="Corporate"/>
    <s v="Technology"/>
    <x v="11"/>
    <x v="16"/>
    <d v="2011-07-02T00:00:00"/>
    <s v="02-Jul-2011"/>
  </r>
  <r>
    <n v="16036"/>
    <d v="2012-01-05T00:00:00"/>
    <s v="Medium"/>
    <s v="05-Jan-2012"/>
    <n v="33"/>
    <n v="550.92999999999995"/>
    <n v="0.1"/>
    <s v="Regular Air"/>
    <n v="-141.6"/>
    <n v="17.7"/>
    <n v="9.4700000000000006"/>
    <s v="Harold Dahlen"/>
    <s v="Quebec"/>
    <x v="5"/>
    <s v="Corporate"/>
    <s v="Office Supplies"/>
    <x v="4"/>
    <x v="14"/>
    <d v="2012-01-06T00:00:00"/>
    <s v="06-Jan-2012"/>
  </r>
  <r>
    <n v="31040"/>
    <d v="2010-09-14T00:00:00"/>
    <s v="Not Specified"/>
    <s v="14-Sep-2010"/>
    <n v="19"/>
    <n v="545.71"/>
    <n v="0.1"/>
    <s v="Regular Air"/>
    <n v="-35.47"/>
    <n v="29.74"/>
    <n v="6.64"/>
    <s v="Caroline Jumper"/>
    <s v="Quebec"/>
    <x v="5"/>
    <s v="Corporate"/>
    <s v="Office Supplies"/>
    <x v="4"/>
    <x v="3"/>
    <d v="2010-09-16T00:00:00"/>
    <s v="16-Sep-2010"/>
  </r>
  <r>
    <n v="13156"/>
    <d v="2011-10-05T00:00:00"/>
    <s v="Low"/>
    <s v="05-Oct-2011"/>
    <n v="12"/>
    <n v="502.01"/>
    <n v="0.04"/>
    <s v="Regular Air"/>
    <n v="159.72999999999999"/>
    <n v="39.979999999999997"/>
    <n v="9.1999999999999993"/>
    <s v="Jennifer Ferguson"/>
    <s v="Quebec"/>
    <x v="5"/>
    <s v="Corporate"/>
    <s v="Furniture"/>
    <x v="7"/>
    <x v="38"/>
    <d v="2011-10-10T00:00:00"/>
    <s v="10-Oct-2011"/>
  </r>
  <r>
    <n v="4647"/>
    <d v="2009-05-13T00:00:00"/>
    <s v="Medium"/>
    <s v="13-May-2009"/>
    <n v="34"/>
    <n v="482.93"/>
    <n v="0.06"/>
    <s v="Regular Air"/>
    <n v="-67.59"/>
    <n v="13.9"/>
    <n v="7.59"/>
    <s v="Carlos Meador"/>
    <s v="Quebec"/>
    <x v="5"/>
    <s v="Corporate"/>
    <s v="Office Supplies"/>
    <x v="14"/>
    <x v="0"/>
    <d v="2009-05-14T00:00:00"/>
    <s v="14-May-2009"/>
  </r>
  <r>
    <n v="42918"/>
    <d v="2011-05-22T00:00:00"/>
    <s v="High"/>
    <s v="22-May-2011"/>
    <n v="38"/>
    <n v="468.95"/>
    <n v="0.02"/>
    <s v="Express Air"/>
    <n v="-2.38"/>
    <n v="11.5"/>
    <n v="7.19"/>
    <s v="Logan Haushalter"/>
    <s v="Quebec"/>
    <x v="5"/>
    <s v="Corporate"/>
    <s v="Office Supplies"/>
    <x v="1"/>
    <x v="27"/>
    <d v="2011-05-24T00:00:00"/>
    <s v="24-May-2011"/>
  </r>
  <r>
    <n v="35492"/>
    <d v="2012-02-10T00:00:00"/>
    <s v="Medium"/>
    <s v="10-Feb-2012"/>
    <n v="36"/>
    <n v="455.93"/>
    <n v="0.02"/>
    <s v="Express Air"/>
    <n v="83.51"/>
    <n v="12.64"/>
    <n v="4.9800000000000004"/>
    <s v="Janet Martin"/>
    <s v="Quebec"/>
    <x v="5"/>
    <s v="Corporate"/>
    <s v="Furniture"/>
    <x v="7"/>
    <x v="23"/>
    <d v="2012-02-12T00:00:00"/>
    <s v="12-Feb-2012"/>
  </r>
  <r>
    <n v="19811"/>
    <d v="2011-08-08T00:00:00"/>
    <s v="Low"/>
    <s v="08-Aug-2011"/>
    <n v="49"/>
    <n v="450.66"/>
    <n v="0.01"/>
    <s v="Express Air"/>
    <n v="-115.1"/>
    <n v="8.57"/>
    <n v="6.14"/>
    <s v="Mitch Webber"/>
    <s v="Quebec"/>
    <x v="5"/>
    <s v="Corporate"/>
    <s v="Office Supplies"/>
    <x v="14"/>
    <x v="14"/>
    <d v="2011-08-13T00:00:00"/>
    <s v="13-Aug-2011"/>
  </r>
  <r>
    <n v="32065"/>
    <d v="2011-12-02T00:00:00"/>
    <s v="Medium"/>
    <s v="02-Dec-2011"/>
    <n v="25"/>
    <n v="450.28"/>
    <n v="0.09"/>
    <s v="Regular Air"/>
    <n v="-12.35"/>
    <n v="17.98"/>
    <n v="8.51"/>
    <s v="Laurel Elliston"/>
    <s v="Quebec"/>
    <x v="5"/>
    <s v="Corporate"/>
    <s v="Technology"/>
    <x v="0"/>
    <x v="27"/>
    <d v="2011-12-03T00:00:00"/>
    <s v="03-Dec-2011"/>
  </r>
  <r>
    <n v="37893"/>
    <d v="2011-11-24T00:00:00"/>
    <s v="Not Specified"/>
    <s v="24-Nov-2011"/>
    <n v="14"/>
    <n v="436.78"/>
    <n v="0.04"/>
    <s v="Regular Air"/>
    <n v="25.69"/>
    <n v="29.99"/>
    <n v="5.5"/>
    <s v="Bart Folk"/>
    <s v="Quebec"/>
    <x v="5"/>
    <s v="Corporate"/>
    <s v="Technology"/>
    <x v="11"/>
    <x v="51"/>
    <d v="2011-11-25T00:00:00"/>
    <s v="25-Nov-2011"/>
  </r>
  <r>
    <n v="25927"/>
    <d v="2009-04-22T00:00:00"/>
    <s v="Medium"/>
    <s v="22-Apr-2009"/>
    <n v="14"/>
    <n v="422.83"/>
    <n v="0.02"/>
    <s v="Regular Air"/>
    <n v="-21.06"/>
    <n v="29.74"/>
    <n v="6.64"/>
    <s v="Rick Duston"/>
    <s v="Quebec"/>
    <x v="5"/>
    <s v="Corporate"/>
    <s v="Office Supplies"/>
    <x v="4"/>
    <x v="3"/>
    <d v="2009-04-22T00:00:00"/>
    <s v="22-Apr-2009"/>
  </r>
  <r>
    <n v="35296"/>
    <d v="2011-03-21T00:00:00"/>
    <s v="Low"/>
    <s v="21-Mar-2011"/>
    <n v="7"/>
    <n v="407.8725"/>
    <n v="0.02"/>
    <s v="Regular Air"/>
    <n v="-165.63"/>
    <n v="65.989999999999995"/>
    <n v="3.99"/>
    <s v="Evan Henry"/>
    <s v="Quebec"/>
    <x v="5"/>
    <s v="Corporate"/>
    <s v="Technology"/>
    <x v="10"/>
    <x v="14"/>
    <d v="2011-03-23T00:00:00"/>
    <s v="23-Mar-2011"/>
  </r>
  <r>
    <n v="51463"/>
    <d v="2011-12-17T00:00:00"/>
    <s v="Low"/>
    <s v="17-Dec-2011"/>
    <n v="7"/>
    <n v="405.33949999999999"/>
    <n v="0.01"/>
    <s v="Express Air"/>
    <n v="-147.88"/>
    <n v="65.989999999999995"/>
    <n v="3.9"/>
    <s v="Liz Willingham"/>
    <s v="Quebec"/>
    <x v="5"/>
    <s v="Corporate"/>
    <s v="Technology"/>
    <x v="10"/>
    <x v="20"/>
    <d v="2011-12-17T00:00:00"/>
    <s v="17-Dec-2011"/>
  </r>
  <r>
    <n v="20384"/>
    <d v="2011-10-25T00:00:00"/>
    <s v="Low"/>
    <s v="25-Oct-2011"/>
    <n v="30"/>
    <n v="396.6"/>
    <n v="0.08"/>
    <s v="Regular Air"/>
    <n v="-148.26"/>
    <n v="14.03"/>
    <n v="9.3699999999999992"/>
    <s v="Mitch Webber"/>
    <s v="Quebec"/>
    <x v="5"/>
    <s v="Corporate"/>
    <s v="Office Supplies"/>
    <x v="4"/>
    <x v="0"/>
    <d v="2011-11-01T00:00:00"/>
    <s v="01-Nov-2011"/>
  </r>
  <r>
    <n v="56291"/>
    <d v="2012-09-17T00:00:00"/>
    <s v="Not Specified"/>
    <s v="17-Sep-2012"/>
    <n v="25"/>
    <n v="377.37"/>
    <n v="0.04"/>
    <s v="Regular Air"/>
    <n v="151.4"/>
    <n v="15.04"/>
    <n v="1.97"/>
    <s v="Shirley Daniels"/>
    <s v="Quebec"/>
    <x v="5"/>
    <s v="Corporate"/>
    <s v="Office Supplies"/>
    <x v="12"/>
    <x v="4"/>
    <d v="2012-09-17T00:00:00"/>
    <s v="17-Sep-2012"/>
  </r>
  <r>
    <n v="39238"/>
    <d v="2010-09-26T00:00:00"/>
    <s v="Critical"/>
    <s v="26-Sep-2010"/>
    <n v="9"/>
    <n v="373.48"/>
    <n v="0.1"/>
    <s v="Express Air"/>
    <n v="112.06"/>
    <n v="40.98"/>
    <n v="2.99"/>
    <s v="Tracy Poddar"/>
    <s v="Quebec"/>
    <x v="5"/>
    <s v="Corporate"/>
    <s v="Office Supplies"/>
    <x v="1"/>
    <x v="10"/>
    <d v="2010-09-27T00:00:00"/>
    <s v="27-Sep-2010"/>
  </r>
  <r>
    <n v="33154"/>
    <d v="2010-08-03T00:00:00"/>
    <s v="Critical"/>
    <s v="03-Aug-2010"/>
    <n v="7"/>
    <n v="368.02449999999999"/>
    <n v="0.09"/>
    <s v="Regular Air"/>
    <n v="-218.81"/>
    <n v="65.989999999999995"/>
    <n v="4.2"/>
    <s v="Harold Dahlen"/>
    <s v="Quebec"/>
    <x v="5"/>
    <s v="Corporate"/>
    <s v="Technology"/>
    <x v="10"/>
    <x v="14"/>
    <d v="2010-08-06T00:00:00"/>
    <s v="06-Aug-2010"/>
  </r>
  <r>
    <n v="17414"/>
    <d v="2012-06-29T00:00:00"/>
    <s v="High"/>
    <s v="29-Jun-2012"/>
    <n v="32"/>
    <n v="347.93"/>
    <n v="0.1"/>
    <s v="Regular Air"/>
    <n v="34.29"/>
    <n v="11.34"/>
    <n v="5.01"/>
    <s v="Katherine Nockton"/>
    <s v="Quebec"/>
    <x v="5"/>
    <s v="Corporate"/>
    <s v="Office Supplies"/>
    <x v="12"/>
    <x v="10"/>
    <d v="2012-07-01T00:00:00"/>
    <s v="01-Jul-2012"/>
  </r>
  <r>
    <n v="10629"/>
    <d v="2009-09-11T00:00:00"/>
    <s v="Critical"/>
    <s v="11-Sep-2009"/>
    <n v="39"/>
    <n v="341.55"/>
    <n v="0.06"/>
    <s v="Regular Air"/>
    <n v="-255.65"/>
    <n v="8.3699999999999992"/>
    <n v="10.16"/>
    <s v="Helen Wasserman"/>
    <s v="Quebec"/>
    <x v="5"/>
    <s v="Corporate"/>
    <s v="Furniture"/>
    <x v="7"/>
    <x v="14"/>
    <d v="2009-09-13T00:00:00"/>
    <s v="13-Sep-2009"/>
  </r>
  <r>
    <n v="50692"/>
    <d v="2010-09-17T00:00:00"/>
    <s v="High"/>
    <s v="17-Sep-2010"/>
    <n v="28"/>
    <n v="327.95"/>
    <n v="0"/>
    <s v="Regular Air"/>
    <n v="43.68"/>
    <n v="10.98"/>
    <n v="5.14"/>
    <s v="Shirley Schmidt"/>
    <s v="Quebec"/>
    <x v="5"/>
    <s v="Corporate"/>
    <s v="Office Supplies"/>
    <x v="1"/>
    <x v="10"/>
    <d v="2010-09-19T00:00:00"/>
    <s v="19-Sep-2010"/>
  </r>
  <r>
    <n v="44583"/>
    <d v="2009-10-04T00:00:00"/>
    <s v="Low"/>
    <s v="04-Oct-2009"/>
    <n v="21"/>
    <n v="315.07"/>
    <n v="0.02"/>
    <s v="Regular Air"/>
    <n v="95"/>
    <n v="14.2"/>
    <n v="5.3"/>
    <s v="Deanra Eno"/>
    <s v="Quebec"/>
    <x v="5"/>
    <s v="Corporate"/>
    <s v="Furniture"/>
    <x v="7"/>
    <x v="29"/>
    <d v="2009-10-06T00:00:00"/>
    <s v="06-Oct-2009"/>
  </r>
  <r>
    <n v="964"/>
    <d v="2011-05-19T00:00:00"/>
    <s v="Medium"/>
    <s v="19-May-2011"/>
    <n v="50"/>
    <n v="315.02"/>
    <n v="0.02"/>
    <s v="Regular Air"/>
    <n v="95.16"/>
    <n v="5.98"/>
    <n v="1.49"/>
    <s v="Stefania Perrino"/>
    <s v="Quebec"/>
    <x v="5"/>
    <s v="Corporate"/>
    <s v="Office Supplies"/>
    <x v="1"/>
    <x v="4"/>
    <d v="2011-05-21T00:00:00"/>
    <s v="21-May-2011"/>
  </r>
  <r>
    <n v="44647"/>
    <d v="2012-01-24T00:00:00"/>
    <s v="Low"/>
    <s v="24-Jan-2012"/>
    <n v="24"/>
    <n v="302.91000000000003"/>
    <n v="0.05"/>
    <s v="Regular Air"/>
    <n v="-36.76"/>
    <n v="12.28"/>
    <n v="6.13"/>
    <s v="Ross DeVincentis"/>
    <s v="Quebec"/>
    <x v="5"/>
    <s v="Corporate"/>
    <s v="Office Supplies"/>
    <x v="4"/>
    <x v="6"/>
    <d v="2012-01-28T00:00:00"/>
    <s v="28-Jan-2012"/>
  </r>
  <r>
    <n v="27271"/>
    <d v="2011-09-14T00:00:00"/>
    <s v="Not Specified"/>
    <s v="14-Sep-2011"/>
    <n v="8"/>
    <n v="301.57"/>
    <n v="0"/>
    <s v="Delivery Truck"/>
    <n v="-77.31"/>
    <n v="33.94"/>
    <n v="19.190000000000001"/>
    <s v="Speros Goranitis"/>
    <s v="Quebec"/>
    <x v="5"/>
    <s v="Corporate"/>
    <s v="Furniture"/>
    <x v="2"/>
    <x v="15"/>
    <d v="2011-09-15T00:00:00"/>
    <s v="15-Sep-2011"/>
  </r>
  <r>
    <n v="8292"/>
    <d v="2010-02-01T00:00:00"/>
    <s v="Not Specified"/>
    <s v="01-Feb-2010"/>
    <n v="18"/>
    <n v="299.87"/>
    <n v="0.02"/>
    <s v="Regular Air"/>
    <n v="130.04"/>
    <n v="15.74"/>
    <n v="1.39"/>
    <s v="Ellis Ballard"/>
    <s v="Quebec"/>
    <x v="5"/>
    <s v="Corporate"/>
    <s v="Office Supplies"/>
    <x v="15"/>
    <x v="27"/>
    <d v="2010-02-02T00:00:00"/>
    <s v="02-Feb-2010"/>
  </r>
  <r>
    <n v="52291"/>
    <d v="2009-10-29T00:00:00"/>
    <s v="Critical"/>
    <s v="29-Oct-2009"/>
    <n v="48"/>
    <n v="287.54000000000002"/>
    <n v="0.04"/>
    <s v="Regular Air"/>
    <n v="57.28"/>
    <n v="5.98"/>
    <n v="0.96"/>
    <s v="Michelle Tran"/>
    <s v="Quebec"/>
    <x v="5"/>
    <s v="Corporate"/>
    <s v="Office Supplies"/>
    <x v="13"/>
    <x v="18"/>
    <d v="2009-10-31T00:00:00"/>
    <s v="31-Oct-2009"/>
  </r>
  <r>
    <n v="5414"/>
    <d v="2010-03-24T00:00:00"/>
    <s v="Not Specified"/>
    <s v="24-Mar-2010"/>
    <n v="14"/>
    <n v="284.62"/>
    <n v="0.1"/>
    <s v="Express Air"/>
    <n v="-27.08"/>
    <n v="20.98"/>
    <n v="5.42"/>
    <s v="Michelle Tran"/>
    <s v="Quebec"/>
    <x v="5"/>
    <s v="Corporate"/>
    <s v="Office Supplies"/>
    <x v="4"/>
    <x v="32"/>
    <d v="2010-03-25T00:00:00"/>
    <s v="25-Mar-2010"/>
  </r>
  <r>
    <n v="19329"/>
    <d v="2010-03-07T00:00:00"/>
    <s v="Not Specified"/>
    <s v="07-Mar-2010"/>
    <n v="37"/>
    <n v="281.58999999999997"/>
    <n v="7.0000000000000007E-2"/>
    <s v="Regular Air"/>
    <n v="-6.39"/>
    <n v="7.96"/>
    <n v="4.95"/>
    <s v="Max Engle"/>
    <s v="Quebec"/>
    <x v="5"/>
    <s v="Corporate"/>
    <s v="Furniture"/>
    <x v="7"/>
    <x v="25"/>
    <d v="2010-03-09T00:00:00"/>
    <s v="09-Mar-2010"/>
  </r>
  <r>
    <n v="38048"/>
    <d v="2010-01-24T00:00:00"/>
    <s v="High"/>
    <s v="24-Jan-2010"/>
    <n v="47"/>
    <n v="279.01"/>
    <n v="0.05"/>
    <s v="Regular Air"/>
    <n v="-136.84"/>
    <n v="5.77"/>
    <n v="5.92"/>
    <s v="Ted Butterfield"/>
    <s v="Quebec"/>
    <x v="5"/>
    <s v="Corporate"/>
    <s v="Furniture"/>
    <x v="7"/>
    <x v="20"/>
    <d v="2010-01-25T00:00:00"/>
    <s v="25-Jan-2010"/>
  </r>
  <r>
    <n v="54020"/>
    <d v="2012-01-31T00:00:00"/>
    <s v="Low"/>
    <s v="31-Jan-2012"/>
    <n v="43"/>
    <n v="270.56"/>
    <n v="0.09"/>
    <s v="Regular Air"/>
    <n v="-140.47999999999999"/>
    <n v="6.48"/>
    <n v="6.86"/>
    <s v="Jennifer Ferguson"/>
    <s v="Quebec"/>
    <x v="5"/>
    <s v="Corporate"/>
    <s v="Office Supplies"/>
    <x v="12"/>
    <x v="7"/>
    <d v="2012-02-05T00:00:00"/>
    <s v="05-Feb-2012"/>
  </r>
  <r>
    <n v="54659"/>
    <d v="2011-08-15T00:00:00"/>
    <s v="High"/>
    <s v="15-Aug-2011"/>
    <n v="38"/>
    <n v="262.89999999999998"/>
    <n v="0.06"/>
    <s v="Regular Air"/>
    <n v="-41.98"/>
    <n v="6.68"/>
    <n v="5.2"/>
    <s v="Carol Adams"/>
    <s v="Quebec"/>
    <x v="5"/>
    <s v="Corporate"/>
    <s v="Office Supplies"/>
    <x v="12"/>
    <x v="7"/>
    <d v="2011-08-15T00:00:00"/>
    <s v="15-Aug-2011"/>
  </r>
  <r>
    <n v="43745"/>
    <d v="2010-11-01T00:00:00"/>
    <s v="Low"/>
    <s v="01-Nov-2010"/>
    <n v="41"/>
    <n v="260.64"/>
    <n v="0.08"/>
    <s v="Regular Air"/>
    <n v="-106.21"/>
    <n v="6.68"/>
    <n v="6.15"/>
    <s v="Laurel Elliston"/>
    <s v="Quebec"/>
    <x v="5"/>
    <s v="Corporate"/>
    <s v="Office Supplies"/>
    <x v="12"/>
    <x v="7"/>
    <d v="2010-11-03T00:00:00"/>
    <s v="03-Nov-2010"/>
  </r>
  <r>
    <n v="7075"/>
    <d v="2011-10-10T00:00:00"/>
    <s v="Low"/>
    <s v="10-Oct-2011"/>
    <n v="15"/>
    <n v="241.89"/>
    <n v="0.02"/>
    <s v="Regular Air"/>
    <n v="-83.3"/>
    <n v="15.42"/>
    <n v="10.68"/>
    <s v="Shirley Jackson"/>
    <s v="Quebec"/>
    <x v="5"/>
    <s v="Corporate"/>
    <s v="Office Supplies"/>
    <x v="4"/>
    <x v="15"/>
    <d v="2011-10-12T00:00:00"/>
    <s v="12-Oct-2011"/>
  </r>
  <r>
    <n v="24647"/>
    <d v="2009-06-04T00:00:00"/>
    <s v="Not Specified"/>
    <s v="04-Jun-2009"/>
    <n v="34"/>
    <n v="241.04"/>
    <n v="0.05"/>
    <s v="Express Air"/>
    <n v="-28.2"/>
    <n v="6.48"/>
    <n v="5.14"/>
    <s v="Mitch Webber"/>
    <s v="Quebec"/>
    <x v="5"/>
    <s v="Corporate"/>
    <s v="Office Supplies"/>
    <x v="12"/>
    <x v="7"/>
    <d v="2009-06-05T00:00:00"/>
    <s v="05-Jun-2009"/>
  </r>
  <r>
    <n v="19329"/>
    <d v="2010-03-07T00:00:00"/>
    <s v="Not Specified"/>
    <s v="07-Mar-2010"/>
    <n v="6"/>
    <n v="231.7525"/>
    <n v="0.03"/>
    <s v="Regular Air"/>
    <n v="-155.94999999999999"/>
    <n v="45.99"/>
    <n v="4.99"/>
    <s v="Max Engle"/>
    <s v="Quebec"/>
    <x v="5"/>
    <s v="Corporate"/>
    <s v="Technology"/>
    <x v="10"/>
    <x v="0"/>
    <d v="2010-03-08T00:00:00"/>
    <s v="08-Mar-2010"/>
  </r>
  <r>
    <n v="39972"/>
    <d v="2012-09-25T00:00:00"/>
    <s v="Not Specified"/>
    <s v="25-Sep-2012"/>
    <n v="35"/>
    <n v="224.58"/>
    <n v="0.03"/>
    <s v="Regular Air"/>
    <n v="108.49"/>
    <n v="6.3"/>
    <n v="0.5"/>
    <s v="Sheri Gordon"/>
    <s v="Quebec"/>
    <x v="5"/>
    <s v="Corporate"/>
    <s v="Office Supplies"/>
    <x v="9"/>
    <x v="4"/>
    <d v="2012-09-26T00:00:00"/>
    <s v="26-Sep-2012"/>
  </r>
  <r>
    <n v="56260"/>
    <d v="2009-08-15T00:00:00"/>
    <s v="Not Specified"/>
    <s v="15-Aug-2009"/>
    <n v="34"/>
    <n v="223.76"/>
    <n v="0.03"/>
    <s v="Regular Air"/>
    <n v="-139.66"/>
    <n v="6.48"/>
    <n v="7.91"/>
    <s v="Julie Kriz"/>
    <s v="Quebec"/>
    <x v="5"/>
    <s v="Corporate"/>
    <s v="Office Supplies"/>
    <x v="12"/>
    <x v="7"/>
    <d v="2009-08-16T00:00:00"/>
    <s v="16-Aug-2009"/>
  </r>
  <r>
    <n v="39076"/>
    <d v="2009-12-11T00:00:00"/>
    <s v="Critical"/>
    <s v="11-Dec-2009"/>
    <n v="41"/>
    <n v="222.65"/>
    <n v="0.02"/>
    <s v="Regular Air"/>
    <n v="-131.16"/>
    <n v="5.28"/>
    <n v="6.26"/>
    <s v="Tom Stivers"/>
    <s v="Quebec"/>
    <x v="5"/>
    <s v="Corporate"/>
    <s v="Office Supplies"/>
    <x v="12"/>
    <x v="27"/>
    <d v="2009-12-12T00:00:00"/>
    <s v="12-Dec-2009"/>
  </r>
  <r>
    <n v="41441"/>
    <d v="2012-01-23T00:00:00"/>
    <s v="Medium"/>
    <s v="23-Jan-2012"/>
    <n v="41"/>
    <n v="221.08"/>
    <n v="0"/>
    <s v="Regular Air"/>
    <n v="-108.2"/>
    <n v="4.91"/>
    <n v="5.68"/>
    <s v="Tom Stivers"/>
    <s v="Quebec"/>
    <x v="5"/>
    <s v="Corporate"/>
    <s v="Office Supplies"/>
    <x v="1"/>
    <x v="10"/>
    <d v="2012-01-24T00:00:00"/>
    <s v="24-Jan-2012"/>
  </r>
  <r>
    <n v="19841"/>
    <d v="2010-12-26T00:00:00"/>
    <s v="Low"/>
    <s v="26-Dec-2010"/>
    <n v="17"/>
    <n v="213.06"/>
    <n v="0.03"/>
    <s v="Regular Air"/>
    <n v="-31.74"/>
    <n v="11.97"/>
    <n v="5.81"/>
    <s v="Tom Stivers"/>
    <s v="Quebec"/>
    <x v="5"/>
    <s v="Corporate"/>
    <s v="Office Supplies"/>
    <x v="13"/>
    <x v="18"/>
    <d v="2011-01-22T00:00:00"/>
    <s v="22-Jan-2011"/>
  </r>
  <r>
    <n v="25479"/>
    <d v="2011-04-28T00:00:00"/>
    <s v="Critical"/>
    <s v="28-Apr-2011"/>
    <n v="3"/>
    <n v="210.5025"/>
    <n v="0.04"/>
    <s v="Regular Air"/>
    <n v="-315.33"/>
    <n v="85.99"/>
    <n v="1.25"/>
    <s v="Bill Eplett"/>
    <s v="Quebec"/>
    <x v="5"/>
    <s v="Corporate"/>
    <s v="Technology"/>
    <x v="10"/>
    <x v="4"/>
    <d v="2011-04-28T00:00:00"/>
    <s v="28-Apr-2011"/>
  </r>
  <r>
    <n v="24099"/>
    <d v="2011-05-20T00:00:00"/>
    <s v="Not Specified"/>
    <s v="20-May-2011"/>
    <n v="6"/>
    <n v="205.24"/>
    <n v="0.01"/>
    <s v="Regular Air"/>
    <n v="-135.51"/>
    <n v="30.98"/>
    <n v="6.5"/>
    <s v="Max Engle"/>
    <s v="Quebec"/>
    <x v="5"/>
    <s v="Corporate"/>
    <s v="Technology"/>
    <x v="11"/>
    <x v="11"/>
    <d v="2011-05-21T00:00:00"/>
    <s v="21-May-2011"/>
  </r>
  <r>
    <n v="58145"/>
    <d v="2012-05-16T00:00:00"/>
    <s v="Medium"/>
    <s v="16-May-2012"/>
    <n v="33"/>
    <n v="203.49"/>
    <n v="0"/>
    <s v="Express Air"/>
    <n v="46.21"/>
    <n v="5.84"/>
    <n v="1.2"/>
    <s v="Darren Budd"/>
    <s v="Quebec"/>
    <x v="5"/>
    <s v="Corporate"/>
    <s v="Furniture"/>
    <x v="7"/>
    <x v="37"/>
    <d v="2012-05-16T00:00:00"/>
    <s v="16-May-2012"/>
  </r>
  <r>
    <n v="40356"/>
    <d v="2009-12-19T00:00:00"/>
    <s v="Not Specified"/>
    <s v="19-Dec-2009"/>
    <n v="48"/>
    <n v="201.98"/>
    <n v="0.05"/>
    <s v="Express Air"/>
    <n v="-245.67"/>
    <n v="4.0599999999999996"/>
    <n v="6.89"/>
    <s v="Sylvia Foulston"/>
    <s v="Quebec"/>
    <x v="5"/>
    <s v="Corporate"/>
    <s v="Office Supplies"/>
    <x v="5"/>
    <x v="18"/>
    <d v="2009-12-21T00:00:00"/>
    <s v="21-Dec-2009"/>
  </r>
  <r>
    <n v="58854"/>
    <d v="2010-04-24T00:00:00"/>
    <s v="Critical"/>
    <s v="24-Apr-2010"/>
    <n v="10"/>
    <n v="193.20500000000001"/>
    <n v="0"/>
    <s v="Regular Air"/>
    <n v="-52.24"/>
    <n v="20.99"/>
    <n v="4.8099999999999996"/>
    <s v="Arthur Gainer"/>
    <s v="Quebec"/>
    <x v="5"/>
    <s v="Corporate"/>
    <s v="Technology"/>
    <x v="10"/>
    <x v="15"/>
    <d v="2010-04-26T00:00:00"/>
    <s v="26-Apr-2010"/>
  </r>
  <r>
    <n v="738"/>
    <d v="2010-03-01T00:00:00"/>
    <s v="Not Specified"/>
    <s v="01-Mar-2010"/>
    <n v="31"/>
    <n v="189.95"/>
    <n v="0.08"/>
    <s v="Regular Air"/>
    <n v="-56.68"/>
    <n v="6.48"/>
    <n v="5.14"/>
    <s v="Caroline Jumper"/>
    <s v="Quebec"/>
    <x v="5"/>
    <s v="Corporate"/>
    <s v="Office Supplies"/>
    <x v="12"/>
    <x v="7"/>
    <d v="2010-03-02T00:00:00"/>
    <s v="02-Mar-2010"/>
  </r>
  <r>
    <n v="34881"/>
    <d v="2011-02-07T00:00:00"/>
    <s v="Medium"/>
    <s v="07-Feb-2011"/>
    <n v="37"/>
    <n v="187.37"/>
    <n v="0.01"/>
    <s v="Regular Air"/>
    <n v="-85.01"/>
    <n v="4.9800000000000004"/>
    <n v="4.95"/>
    <s v="Caroline Jumper"/>
    <s v="Quebec"/>
    <x v="5"/>
    <s v="Corporate"/>
    <s v="Office Supplies"/>
    <x v="1"/>
    <x v="7"/>
    <d v="2011-02-09T00:00:00"/>
    <s v="09-Feb-2011"/>
  </r>
  <r>
    <n v="56514"/>
    <d v="2012-02-11T00:00:00"/>
    <s v="Low"/>
    <s v="11-Feb-2012"/>
    <n v="35"/>
    <n v="186.89"/>
    <n v="0.02"/>
    <s v="Regular Air"/>
    <n v="-153.19999999999999"/>
    <n v="4.9800000000000004"/>
    <n v="7.54"/>
    <s v="Shirley Daniels"/>
    <s v="Quebec"/>
    <x v="5"/>
    <s v="Corporate"/>
    <s v="Office Supplies"/>
    <x v="12"/>
    <x v="1"/>
    <d v="2012-02-18T00:00:00"/>
    <s v="18-Feb-2012"/>
  </r>
  <r>
    <n v="7936"/>
    <d v="2010-04-05T00:00:00"/>
    <s v="Low"/>
    <s v="05-Apr-2010"/>
    <n v="15"/>
    <n v="183.43"/>
    <n v="0.06"/>
    <s v="Regular Air"/>
    <n v="-41.86"/>
    <n v="12.44"/>
    <n v="6.27"/>
    <s v="Pete Takahito"/>
    <s v="Quebec"/>
    <x v="5"/>
    <s v="Corporate"/>
    <s v="Office Supplies"/>
    <x v="4"/>
    <x v="6"/>
    <d v="2010-04-10T00:00:00"/>
    <s v="10-Apr-2010"/>
  </r>
  <r>
    <n v="2307"/>
    <d v="2010-06-28T00:00:00"/>
    <s v="Low"/>
    <s v="28-Jun-2010"/>
    <n v="32"/>
    <n v="182.33"/>
    <n v="0.1"/>
    <s v="Regular Air"/>
    <n v="40.85"/>
    <n v="5.98"/>
    <n v="1.49"/>
    <s v="Carol Adams"/>
    <s v="Quebec"/>
    <x v="5"/>
    <s v="Corporate"/>
    <s v="Office Supplies"/>
    <x v="1"/>
    <x v="4"/>
    <d v="2010-06-28T00:00:00"/>
    <s v="28-Jun-2010"/>
  </r>
  <r>
    <n v="53730"/>
    <d v="2012-12-29T00:00:00"/>
    <s v="High"/>
    <s v="29-Dec-2012"/>
    <n v="40"/>
    <n v="181.8"/>
    <n v="0.05"/>
    <s v="Regular Air"/>
    <n v="-144.74"/>
    <n v="4.54"/>
    <n v="5.83"/>
    <s v="Shirley Schmidt"/>
    <s v="Quebec"/>
    <x v="5"/>
    <s v="Corporate"/>
    <s v="Office Supplies"/>
    <x v="1"/>
    <x v="10"/>
    <d v="2012-12-30T00:00:00"/>
    <s v="30-Dec-2012"/>
  </r>
  <r>
    <n v="4708"/>
    <d v="2009-09-30T00:00:00"/>
    <s v="Critical"/>
    <s v="30-Sep-2009"/>
    <n v="29"/>
    <n v="180.38"/>
    <n v="0.08"/>
    <s v="Regular Air"/>
    <n v="-119.32"/>
    <n v="6.48"/>
    <n v="7.49"/>
    <s v="Michelle Tran"/>
    <s v="Quebec"/>
    <x v="5"/>
    <s v="Corporate"/>
    <s v="Office Supplies"/>
    <x v="12"/>
    <x v="7"/>
    <d v="2009-10-02T00:00:00"/>
    <s v="02-Oct-2009"/>
  </r>
  <r>
    <n v="22183"/>
    <d v="2012-04-23T00:00:00"/>
    <s v="Medium"/>
    <s v="23-Apr-2012"/>
    <n v="30"/>
    <n v="177.22"/>
    <n v="0.06"/>
    <s v="Regular Air"/>
    <n v="68.959999999999994"/>
    <n v="5.84"/>
    <n v="1"/>
    <s v="Speros Goranitis"/>
    <s v="Quebec"/>
    <x v="5"/>
    <s v="Corporate"/>
    <s v="Office Supplies"/>
    <x v="13"/>
    <x v="1"/>
    <d v="2012-04-24T00:00:00"/>
    <s v="24-Apr-2012"/>
  </r>
  <r>
    <n v="46787"/>
    <d v="2012-03-29T00:00:00"/>
    <s v="Medium"/>
    <s v="29-Mar-2012"/>
    <n v="28"/>
    <n v="174.1"/>
    <n v="0.1"/>
    <s v="Regular Air"/>
    <n v="-162.75"/>
    <n v="6.48"/>
    <n v="9.17"/>
    <s v="Caroline Jumper"/>
    <s v="Quebec"/>
    <x v="5"/>
    <s v="Corporate"/>
    <s v="Office Supplies"/>
    <x v="12"/>
    <x v="7"/>
    <d v="2012-03-31T00:00:00"/>
    <s v="31-Mar-2012"/>
  </r>
  <r>
    <n v="51620"/>
    <d v="2012-03-08T00:00:00"/>
    <s v="Medium"/>
    <s v="08-Mar-2012"/>
    <n v="12"/>
    <n v="173.97"/>
    <n v="0.03"/>
    <s v="Regular Air"/>
    <n v="-2.5499999999999998"/>
    <n v="13.48"/>
    <n v="4.51"/>
    <s v="Ben Peterman"/>
    <s v="Quebec"/>
    <x v="5"/>
    <s v="Corporate"/>
    <s v="Office Supplies"/>
    <x v="4"/>
    <x v="14"/>
    <d v="2012-03-09T00:00:00"/>
    <s v="09-Mar-2012"/>
  </r>
  <r>
    <n v="49892"/>
    <d v="2011-02-10T00:00:00"/>
    <s v="Low"/>
    <s v="10-Feb-2011"/>
    <n v="26"/>
    <n v="171.14"/>
    <n v="0.02"/>
    <s v="Regular Air"/>
    <n v="-1172.75"/>
    <n v="4.4800000000000004"/>
    <n v="49"/>
    <s v="Bill Eplett"/>
    <s v="Quebec"/>
    <x v="5"/>
    <s v="Corporate"/>
    <s v="Office Supplies"/>
    <x v="5"/>
    <x v="18"/>
    <d v="2011-02-10T00:00:00"/>
    <s v="10-Feb-2011"/>
  </r>
  <r>
    <n v="25955"/>
    <d v="2011-05-04T00:00:00"/>
    <s v="Not Specified"/>
    <s v="04-May-2011"/>
    <n v="10"/>
    <n v="170.35"/>
    <n v="0.03"/>
    <s v="Regular Air"/>
    <n v="-39.92"/>
    <n v="16.059999999999999"/>
    <n v="8.34"/>
    <s v="Janet Martin"/>
    <s v="Quebec"/>
    <x v="5"/>
    <s v="Corporate"/>
    <s v="Office Supplies"/>
    <x v="4"/>
    <x v="14"/>
    <d v="2011-05-06T00:00:00"/>
    <s v="06-May-2011"/>
  </r>
  <r>
    <n v="23782"/>
    <d v="2010-01-10T00:00:00"/>
    <s v="Low"/>
    <s v="10-Jan-2010"/>
    <n v="7"/>
    <n v="169.75"/>
    <n v="0.09"/>
    <s v="Regular Air"/>
    <n v="-194.85"/>
    <n v="20.34"/>
    <n v="35"/>
    <s v="Justin MacKendrick"/>
    <s v="Quebec"/>
    <x v="5"/>
    <s v="Corporate"/>
    <s v="Office Supplies"/>
    <x v="4"/>
    <x v="30"/>
    <d v="2010-01-15T00:00:00"/>
    <s v="15-Jan-2010"/>
  </r>
  <r>
    <n v="16036"/>
    <d v="2012-01-05T00:00:00"/>
    <s v="Medium"/>
    <s v="05-Jan-2012"/>
    <n v="28"/>
    <n v="169.22"/>
    <n v="0.05"/>
    <s v="Regular Air"/>
    <n v="-165.11"/>
    <n v="5.81"/>
    <n v="8.49"/>
    <s v="Harold Dahlen"/>
    <s v="Quebec"/>
    <x v="5"/>
    <s v="Corporate"/>
    <s v="Office Supplies"/>
    <x v="1"/>
    <x v="4"/>
    <d v="2012-01-07T00:00:00"/>
    <s v="07-Jan-2012"/>
  </r>
  <r>
    <n v="46368"/>
    <d v="2012-04-24T00:00:00"/>
    <s v="High"/>
    <s v="24-Apr-2012"/>
    <n v="48"/>
    <n v="166.13"/>
    <n v="0"/>
    <s v="Regular Air"/>
    <n v="-119.16"/>
    <n v="3.28"/>
    <n v="3.97"/>
    <s v="Cynthia Voltz"/>
    <s v="Quebec"/>
    <x v="5"/>
    <s v="Corporate"/>
    <s v="Office Supplies"/>
    <x v="13"/>
    <x v="0"/>
    <d v="2012-04-26T00:00:00"/>
    <s v="26-Apr-2012"/>
  </r>
  <r>
    <n v="34727"/>
    <d v="2011-03-13T00:00:00"/>
    <s v="Low"/>
    <s v="13-Mar-2011"/>
    <n v="20"/>
    <n v="159.71"/>
    <n v="0.1"/>
    <s v="Express Air"/>
    <n v="-114.41"/>
    <n v="8.0399999999999991"/>
    <n v="8.94"/>
    <s v="Dorris Love"/>
    <s v="Quebec"/>
    <x v="5"/>
    <s v="Corporate"/>
    <s v="Office Supplies"/>
    <x v="1"/>
    <x v="27"/>
    <d v="2011-03-17T00:00:00"/>
    <s v="17-Mar-2011"/>
  </r>
  <r>
    <n v="40870"/>
    <d v="2011-12-11T00:00:00"/>
    <s v="Critical"/>
    <s v="11-Dec-2011"/>
    <n v="28"/>
    <n v="146.69"/>
    <n v="0"/>
    <s v="Regular Air"/>
    <n v="-64.05"/>
    <n v="4.95"/>
    <n v="5.32"/>
    <s v="Justin MacKendrick"/>
    <s v="Quebec"/>
    <x v="5"/>
    <s v="Corporate"/>
    <s v="Furniture"/>
    <x v="7"/>
    <x v="25"/>
    <d v="2011-12-13T00:00:00"/>
    <s v="13-Dec-2011"/>
  </r>
  <r>
    <n v="55077"/>
    <d v="2011-10-04T00:00:00"/>
    <s v="Critical"/>
    <s v="04-Oct-2011"/>
    <n v="3"/>
    <n v="143.98150000000001"/>
    <n v="0.08"/>
    <s v="Regular Air"/>
    <n v="-283.23"/>
    <n v="55.99"/>
    <n v="2.5"/>
    <s v="Stewart Visinsky"/>
    <s v="Quebec"/>
    <x v="5"/>
    <s v="Corporate"/>
    <s v="Technology"/>
    <x v="10"/>
    <x v="34"/>
    <d v="2011-10-06T00:00:00"/>
    <s v="06-Oct-2011"/>
  </r>
  <r>
    <n v="43553"/>
    <d v="2009-05-14T00:00:00"/>
    <s v="Not Specified"/>
    <s v="14-May-2009"/>
    <n v="29"/>
    <n v="143.29"/>
    <n v="0.05"/>
    <s v="Regular Air"/>
    <n v="-55.54"/>
    <n v="4.9800000000000004"/>
    <n v="4.72"/>
    <s v="Bart Folk"/>
    <s v="Quebec"/>
    <x v="5"/>
    <s v="Corporate"/>
    <s v="Office Supplies"/>
    <x v="12"/>
    <x v="10"/>
    <d v="2009-05-15T00:00:00"/>
    <s v="15-May-2009"/>
  </r>
  <r>
    <n v="20003"/>
    <d v="2012-01-30T00:00:00"/>
    <s v="Medium"/>
    <s v="30-Jan-2012"/>
    <n v="5"/>
    <n v="141.97550000000001"/>
    <n v="0.09"/>
    <s v="Regular Air"/>
    <n v="-88.94"/>
    <n v="35.99"/>
    <n v="0.99"/>
    <s v="Shirley Schmidt"/>
    <s v="Quebec"/>
    <x v="5"/>
    <s v="Corporate"/>
    <s v="Technology"/>
    <x v="10"/>
    <x v="2"/>
    <d v="2012-02-01T00:00:00"/>
    <s v="01-Feb-2012"/>
  </r>
  <r>
    <n v="7938"/>
    <d v="2010-03-13T00:00:00"/>
    <s v="Medium"/>
    <s v="13-Mar-2010"/>
    <n v="23"/>
    <n v="139.19"/>
    <n v="0.04"/>
    <s v="Regular Air"/>
    <n v="-86.73"/>
    <n v="5.98"/>
    <n v="7.15"/>
    <s v="Carlos Meador"/>
    <s v="Quebec"/>
    <x v="5"/>
    <s v="Corporate"/>
    <s v="Office Supplies"/>
    <x v="12"/>
    <x v="10"/>
    <d v="2010-03-15T00:00:00"/>
    <s v="15-Mar-2010"/>
  </r>
  <r>
    <n v="10436"/>
    <d v="2011-01-02T00:00:00"/>
    <s v="Low"/>
    <s v="02-Jan-2011"/>
    <n v="24"/>
    <n v="138.75"/>
    <n v="0.09"/>
    <s v="Regular Air"/>
    <n v="49.81"/>
    <n v="5.84"/>
    <n v="1"/>
    <s v="Karl Brown"/>
    <s v="Quebec"/>
    <x v="5"/>
    <s v="Corporate"/>
    <s v="Office Supplies"/>
    <x v="13"/>
    <x v="1"/>
    <d v="2011-01-09T00:00:00"/>
    <s v="09-Jan-2011"/>
  </r>
  <r>
    <n v="39972"/>
    <d v="2012-09-25T00:00:00"/>
    <s v="Not Specified"/>
    <s v="25-Sep-2012"/>
    <n v="36"/>
    <n v="138.59"/>
    <n v="0.01"/>
    <s v="Regular Air"/>
    <n v="62.73"/>
    <n v="3.69"/>
    <n v="0.5"/>
    <s v="Sheri Gordon"/>
    <s v="Quebec"/>
    <x v="5"/>
    <s v="Corporate"/>
    <s v="Office Supplies"/>
    <x v="9"/>
    <x v="1"/>
    <d v="2012-09-27T00:00:00"/>
    <s v="27-Sep-2012"/>
  </r>
  <r>
    <n v="3559"/>
    <d v="2012-10-23T00:00:00"/>
    <s v="Medium"/>
    <s v="23-Oct-2012"/>
    <n v="34"/>
    <n v="136.66999999999999"/>
    <n v="7.0000000000000007E-2"/>
    <s v="Express Air"/>
    <n v="-117.92"/>
    <n v="3.81"/>
    <n v="5.44"/>
    <s v="Logan Haushalter"/>
    <s v="Quebec"/>
    <x v="5"/>
    <s v="Corporate"/>
    <s v="Office Supplies"/>
    <x v="1"/>
    <x v="10"/>
    <d v="2012-10-24T00:00:00"/>
    <s v="24-Oct-2012"/>
  </r>
  <r>
    <n v="32741"/>
    <d v="2009-02-15T00:00:00"/>
    <s v="Low"/>
    <s v="15-Feb-2009"/>
    <n v="13"/>
    <n v="136.24"/>
    <n v="7.0000000000000007E-2"/>
    <s v="Regular Air"/>
    <n v="-81.77"/>
    <n v="9.7100000000000009"/>
    <n v="9.4499999999999993"/>
    <s v="Bill Eplett"/>
    <s v="Quebec"/>
    <x v="5"/>
    <s v="Corporate"/>
    <s v="Office Supplies"/>
    <x v="4"/>
    <x v="18"/>
    <d v="2009-02-22T00:00:00"/>
    <s v="22-Feb-2009"/>
  </r>
  <r>
    <n v="9347"/>
    <d v="2012-08-09T00:00:00"/>
    <s v="Low"/>
    <s v="09-Aug-2012"/>
    <n v="31"/>
    <n v="131.19999999999999"/>
    <n v="0.01"/>
    <s v="Regular Air"/>
    <n v="-107.98"/>
    <n v="3.95"/>
    <n v="5.13"/>
    <s v="Michelle Tran"/>
    <s v="Quebec"/>
    <x v="5"/>
    <s v="Corporate"/>
    <s v="Office Supplies"/>
    <x v="5"/>
    <x v="14"/>
    <d v="2012-08-18T00:00:00"/>
    <s v="18-Aug-2012"/>
  </r>
  <r>
    <n v="4096"/>
    <d v="2012-07-02T00:00:00"/>
    <s v="Not Specified"/>
    <s v="02-Jul-2012"/>
    <n v="21"/>
    <n v="128.28"/>
    <n v="0.04"/>
    <s v="Regular Air"/>
    <n v="53.58"/>
    <n v="6.3"/>
    <n v="0.5"/>
    <s v="Bill Eplett"/>
    <s v="Quebec"/>
    <x v="5"/>
    <s v="Corporate"/>
    <s v="Office Supplies"/>
    <x v="9"/>
    <x v="4"/>
    <d v="2012-07-03T00:00:00"/>
    <s v="03-Jul-2012"/>
  </r>
  <r>
    <n v="23968"/>
    <d v="2011-03-04T00:00:00"/>
    <s v="Critical"/>
    <s v="04-Mar-2011"/>
    <n v="19"/>
    <n v="127.48"/>
    <n v="0.05"/>
    <s v="Regular Air"/>
    <n v="-41.99"/>
    <n v="6.48"/>
    <n v="5.84"/>
    <s v="Tracy Poddar"/>
    <s v="Quebec"/>
    <x v="5"/>
    <s v="Corporate"/>
    <s v="Office Supplies"/>
    <x v="12"/>
    <x v="7"/>
    <d v="2011-03-07T00:00:00"/>
    <s v="07-Mar-2011"/>
  </r>
  <r>
    <n v="23398"/>
    <d v="2009-03-13T00:00:00"/>
    <s v="Medium"/>
    <s v="13-Mar-2009"/>
    <n v="19"/>
    <n v="123.1"/>
    <n v="0.06"/>
    <s v="Regular Air"/>
    <n v="-75.44"/>
    <n v="6.48"/>
    <n v="7.37"/>
    <s v="Carol Adams"/>
    <s v="Quebec"/>
    <x v="5"/>
    <s v="Corporate"/>
    <s v="Office Supplies"/>
    <x v="12"/>
    <x v="7"/>
    <d v="2009-03-14T00:00:00"/>
    <s v="14-Mar-2009"/>
  </r>
  <r>
    <n v="1988"/>
    <d v="2011-10-05T00:00:00"/>
    <s v="Not Specified"/>
    <s v="05-Oct-2011"/>
    <n v="9"/>
    <n v="122.14"/>
    <n v="0.04"/>
    <s v="Regular Air"/>
    <n v="-16.989999999999998"/>
    <n v="13.48"/>
    <n v="4.51"/>
    <s v="Paul Knutson"/>
    <s v="Quebec"/>
    <x v="5"/>
    <s v="Corporate"/>
    <s v="Office Supplies"/>
    <x v="4"/>
    <x v="14"/>
    <d v="2011-10-07T00:00:00"/>
    <s v="07-Oct-2011"/>
  </r>
  <r>
    <n v="58343"/>
    <d v="2009-01-09T00:00:00"/>
    <s v="Not Specified"/>
    <s v="09-Jan-2009"/>
    <n v="39"/>
    <n v="121.87"/>
    <n v="7.0000000000000007E-2"/>
    <s v="Regular Air"/>
    <n v="11.32"/>
    <n v="3.29"/>
    <n v="1.35"/>
    <s v="Yana Sorensen"/>
    <s v="Quebec"/>
    <x v="5"/>
    <s v="Corporate"/>
    <s v="Office Supplies"/>
    <x v="16"/>
    <x v="27"/>
    <d v="2009-01-11T00:00:00"/>
    <s v="11-Jan-2009"/>
  </r>
  <r>
    <n v="52519"/>
    <d v="2012-04-29T00:00:00"/>
    <s v="High"/>
    <s v="29-Apr-2012"/>
    <n v="6"/>
    <n v="120.38"/>
    <n v="0.09"/>
    <s v="Regular Air"/>
    <n v="-29.77"/>
    <n v="20.48"/>
    <n v="6.32"/>
    <s v="Bill Eplett"/>
    <s v="Quebec"/>
    <x v="5"/>
    <s v="Corporate"/>
    <s v="Office Supplies"/>
    <x v="5"/>
    <x v="15"/>
    <d v="2012-05-01T00:00:00"/>
    <s v="01-May-2012"/>
  </r>
  <r>
    <n v="16352"/>
    <d v="2012-07-30T00:00:00"/>
    <s v="Medium"/>
    <s v="30-Jul-2012"/>
    <n v="16"/>
    <n v="113.25"/>
    <n v="0.03"/>
    <s v="Regular Air"/>
    <n v="-43.43"/>
    <n v="6.48"/>
    <n v="6.65"/>
    <s v="Logan Haushalter"/>
    <s v="Quebec"/>
    <x v="5"/>
    <s v="Corporate"/>
    <s v="Office Supplies"/>
    <x v="12"/>
    <x v="10"/>
    <d v="2012-08-01T00:00:00"/>
    <s v="01-Aug-2012"/>
  </r>
  <r>
    <n v="39335"/>
    <d v="2009-05-25T00:00:00"/>
    <s v="Not Specified"/>
    <s v="25-May-2009"/>
    <n v="24"/>
    <n v="113.23"/>
    <n v="0.06"/>
    <s v="Regular Air"/>
    <n v="-45.64"/>
    <n v="4.7699999999999996"/>
    <n v="2.39"/>
    <s v="Mitch Webber"/>
    <s v="Quebec"/>
    <x v="5"/>
    <s v="Corporate"/>
    <s v="Technology"/>
    <x v="11"/>
    <x v="13"/>
    <d v="2009-05-26T00:00:00"/>
    <s v="26-May-2009"/>
  </r>
  <r>
    <n v="24740"/>
    <d v="2010-01-10T00:00:00"/>
    <s v="Medium"/>
    <s v="10-Jan-2010"/>
    <n v="35"/>
    <n v="112.59"/>
    <n v="0.09"/>
    <s v="Express Air"/>
    <n v="-126.7"/>
    <n v="3.28"/>
    <n v="5"/>
    <s v="Logan Haushalter"/>
    <s v="Quebec"/>
    <x v="5"/>
    <s v="Corporate"/>
    <s v="Office Supplies"/>
    <x v="13"/>
    <x v="0"/>
    <d v="2010-01-10T00:00:00"/>
    <s v="10-Jan-2010"/>
  </r>
  <r>
    <n v="21344"/>
    <d v="2012-12-09T00:00:00"/>
    <s v="Low"/>
    <s v="09-Dec-2012"/>
    <n v="39"/>
    <n v="110.79"/>
    <n v="0.05"/>
    <s v="Regular Air"/>
    <n v="42.68"/>
    <n v="2.89"/>
    <n v="0.5"/>
    <s v="Bobby Trafton"/>
    <s v="Quebec"/>
    <x v="5"/>
    <s v="Corporate"/>
    <s v="Office Supplies"/>
    <x v="9"/>
    <x v="1"/>
    <d v="2012-12-18T00:00:00"/>
    <s v="18-Dec-2012"/>
  </r>
  <r>
    <n v="56514"/>
    <d v="2012-02-11T00:00:00"/>
    <s v="Low"/>
    <s v="11-Feb-2012"/>
    <n v="3"/>
    <n v="110"/>
    <n v="0.02"/>
    <s v="Regular Air"/>
    <n v="-24.43"/>
    <n v="30.98"/>
    <n v="11.63"/>
    <s v="Shirley Daniels"/>
    <s v="Quebec"/>
    <x v="5"/>
    <s v="Corporate"/>
    <s v="Office Supplies"/>
    <x v="1"/>
    <x v="7"/>
    <d v="2012-02-18T00:00:00"/>
    <s v="18-Feb-2012"/>
  </r>
  <r>
    <n v="58337"/>
    <d v="2009-05-28T00:00:00"/>
    <s v="Low"/>
    <s v="28-May-2009"/>
    <n v="18"/>
    <n v="106.45"/>
    <n v="0.03"/>
    <s v="Regular Air"/>
    <n v="-5.08"/>
    <n v="5.85"/>
    <n v="2.27"/>
    <s v="Rick Duston"/>
    <s v="Quebec"/>
    <x v="5"/>
    <s v="Corporate"/>
    <s v="Office Supplies"/>
    <x v="13"/>
    <x v="0"/>
    <d v="2009-05-30T00:00:00"/>
    <s v="30-May-2009"/>
  </r>
  <r>
    <n v="3680"/>
    <d v="2012-12-09T00:00:00"/>
    <s v="Not Specified"/>
    <s v="09-Dec-2012"/>
    <n v="24"/>
    <n v="99.53"/>
    <n v="0.1"/>
    <s v="Express Air"/>
    <n v="18.28"/>
    <n v="3.8"/>
    <n v="1.49"/>
    <s v="Evan Henry"/>
    <s v="Quebec"/>
    <x v="5"/>
    <s v="Corporate"/>
    <s v="Office Supplies"/>
    <x v="1"/>
    <x v="1"/>
    <d v="2012-12-11T00:00:00"/>
    <s v="11-Dec-2012"/>
  </r>
  <r>
    <n v="49762"/>
    <d v="2011-06-15T00:00:00"/>
    <s v="High"/>
    <s v="15-Jun-2011"/>
    <n v="35"/>
    <n v="99.13"/>
    <n v="0.09"/>
    <s v="Regular Air"/>
    <n v="23.74"/>
    <n v="2.94"/>
    <n v="0.81"/>
    <s v="Fred Chung"/>
    <s v="Quebec"/>
    <x v="5"/>
    <s v="Corporate"/>
    <s v="Office Supplies"/>
    <x v="13"/>
    <x v="27"/>
    <d v="2011-06-17T00:00:00"/>
    <s v="17-Jun-2011"/>
  </r>
  <r>
    <n v="10629"/>
    <d v="2009-09-11T00:00:00"/>
    <s v="Critical"/>
    <s v="11-Sep-2009"/>
    <n v="14"/>
    <n v="98.37"/>
    <n v="0.09"/>
    <s v="Express Air"/>
    <n v="-76.540000000000006"/>
    <n v="6.48"/>
    <n v="9.17"/>
    <s v="Helen Wasserman"/>
    <s v="Quebec"/>
    <x v="5"/>
    <s v="Corporate"/>
    <s v="Office Supplies"/>
    <x v="12"/>
    <x v="7"/>
    <d v="2009-09-13T00:00:00"/>
    <s v="13-Sep-2009"/>
  </r>
  <r>
    <n v="53668"/>
    <d v="2010-03-31T00:00:00"/>
    <s v="Not Specified"/>
    <s v="31-Mar-2010"/>
    <n v="9"/>
    <n v="98.24"/>
    <n v="0.04"/>
    <s v="Regular Air"/>
    <n v="-10.38"/>
    <n v="10.98"/>
    <n v="3.37"/>
    <s v="Dorris Love"/>
    <s v="Quebec"/>
    <x v="5"/>
    <s v="Corporate"/>
    <s v="Office Supplies"/>
    <x v="14"/>
    <x v="6"/>
    <d v="2010-04-01T00:00:00"/>
    <s v="01-Apr-2010"/>
  </r>
  <r>
    <n v="39972"/>
    <d v="2012-09-25T00:00:00"/>
    <s v="Not Specified"/>
    <s v="25-Sep-2012"/>
    <n v="19"/>
    <n v="97.06"/>
    <n v="0.05"/>
    <s v="Regular Air"/>
    <n v="-7.36"/>
    <n v="5.0599999999999996"/>
    <n v="2.99"/>
    <s v="Sheri Gordon"/>
    <s v="Quebec"/>
    <x v="5"/>
    <s v="Corporate"/>
    <s v="Office Supplies"/>
    <x v="1"/>
    <x v="1"/>
    <d v="2012-09-28T00:00:00"/>
    <s v="28-Sep-2012"/>
  </r>
  <r>
    <n v="13378"/>
    <d v="2009-09-21T00:00:00"/>
    <s v="Low"/>
    <s v="21-Sep-2009"/>
    <n v="16"/>
    <n v="96.04"/>
    <n v="0.05"/>
    <s v="Regular Air"/>
    <n v="-50.75"/>
    <n v="5.74"/>
    <n v="5.3"/>
    <s v="Paul Knutson"/>
    <s v="Quebec"/>
    <x v="5"/>
    <s v="Corporate"/>
    <s v="Office Supplies"/>
    <x v="14"/>
    <x v="20"/>
    <d v="2009-09-26T00:00:00"/>
    <s v="26-Sep-2009"/>
  </r>
  <r>
    <n v="19139"/>
    <d v="2010-12-03T00:00:00"/>
    <s v="Not Specified"/>
    <s v="03-Dec-2010"/>
    <n v="15"/>
    <n v="94.84"/>
    <n v="0.01"/>
    <s v="Regular Air"/>
    <n v="-26.66"/>
    <n v="5.98"/>
    <n v="5.15"/>
    <s v="Helen Wasserman"/>
    <s v="Quebec"/>
    <x v="5"/>
    <s v="Corporate"/>
    <s v="Office Supplies"/>
    <x v="12"/>
    <x v="10"/>
    <d v="2010-12-04T00:00:00"/>
    <s v="04-Dec-2010"/>
  </r>
  <r>
    <n v="4800"/>
    <d v="2012-01-05T00:00:00"/>
    <s v="Low"/>
    <s v="05-Jan-2012"/>
    <n v="17"/>
    <n v="89.25"/>
    <n v="0.01"/>
    <s v="Regular Air"/>
    <n v="40.880000000000003"/>
    <n v="4.91"/>
    <n v="0.5"/>
    <s v="Max Engle"/>
    <s v="Quebec"/>
    <x v="5"/>
    <s v="Corporate"/>
    <s v="Office Supplies"/>
    <x v="9"/>
    <x v="10"/>
    <d v="2012-01-12T00:00:00"/>
    <s v="12-Jan-2012"/>
  </r>
  <r>
    <n v="52291"/>
    <d v="2009-10-29T00:00:00"/>
    <s v="Critical"/>
    <s v="29-Oct-2009"/>
    <n v="5"/>
    <n v="88.314999999999998"/>
    <n v="0.01"/>
    <s v="Regular Air"/>
    <n v="-72.400000000000006"/>
    <n v="20.99"/>
    <n v="0.99"/>
    <s v="Michelle Tran"/>
    <s v="Quebec"/>
    <x v="5"/>
    <s v="Corporate"/>
    <s v="Technology"/>
    <x v="10"/>
    <x v="6"/>
    <d v="2009-10-30T00:00:00"/>
    <s v="30-Oct-2009"/>
  </r>
  <r>
    <n v="7075"/>
    <d v="2011-10-10T00:00:00"/>
    <s v="Low"/>
    <s v="10-Oct-2011"/>
    <n v="43"/>
    <n v="83.34"/>
    <n v="0.01"/>
    <s v="Regular Air"/>
    <n v="-93.18"/>
    <n v="1.86"/>
    <n v="2.58"/>
    <s v="Shirley Jackson"/>
    <s v="Quebec"/>
    <x v="5"/>
    <s v="Corporate"/>
    <s v="Office Supplies"/>
    <x v="16"/>
    <x v="5"/>
    <d v="2011-10-14T00:00:00"/>
    <s v="14-Oct-2011"/>
  </r>
  <r>
    <n v="4800"/>
    <d v="2012-01-05T00:00:00"/>
    <s v="Low"/>
    <s v="05-Jan-2012"/>
    <n v="7"/>
    <n v="79.81"/>
    <n v="7.0000000000000007E-2"/>
    <s v="Regular Air"/>
    <n v="-4.28"/>
    <n v="11.55"/>
    <n v="2.36"/>
    <s v="Max Engle"/>
    <s v="Quebec"/>
    <x v="5"/>
    <s v="Corporate"/>
    <s v="Office Supplies"/>
    <x v="13"/>
    <x v="20"/>
    <d v="2012-01-10T00:00:00"/>
    <s v="10-Jan-2012"/>
  </r>
  <r>
    <n v="20354"/>
    <d v="2012-09-19T00:00:00"/>
    <s v="Critical"/>
    <s v="19-Sep-2012"/>
    <n v="24"/>
    <n v="76.06"/>
    <n v="0.02"/>
    <s v="Regular Air"/>
    <n v="30.03"/>
    <n v="3.15"/>
    <n v="0.49"/>
    <s v="Logan Haushalter"/>
    <s v="Quebec"/>
    <x v="5"/>
    <s v="Corporate"/>
    <s v="Office Supplies"/>
    <x v="9"/>
    <x v="7"/>
    <d v="2012-09-21T00:00:00"/>
    <s v="21-Sep-2012"/>
  </r>
  <r>
    <n v="56486"/>
    <d v="2009-05-28T00:00:00"/>
    <s v="Critical"/>
    <s v="28-May-2009"/>
    <n v="11"/>
    <n v="73.62"/>
    <n v="0.03"/>
    <s v="Regular Air"/>
    <n v="-23.5"/>
    <n v="5.98"/>
    <n v="5.35"/>
    <s v="Sheri Gordon"/>
    <s v="Quebec"/>
    <x v="5"/>
    <s v="Corporate"/>
    <s v="Office Supplies"/>
    <x v="12"/>
    <x v="27"/>
    <d v="2009-05-29T00:00:00"/>
    <s v="29-May-2009"/>
  </r>
  <r>
    <n v="57025"/>
    <d v="2012-06-26T00:00:00"/>
    <s v="Medium"/>
    <s v="26-Jun-2012"/>
    <n v="8"/>
    <n v="71.099999999999994"/>
    <n v="0.03"/>
    <s v="Regular Air"/>
    <n v="2.29"/>
    <n v="8.69"/>
    <n v="2.99"/>
    <s v="Fred Chung"/>
    <s v="Quebec"/>
    <x v="5"/>
    <s v="Corporate"/>
    <s v="Office Supplies"/>
    <x v="1"/>
    <x v="4"/>
    <d v="2012-06-28T00:00:00"/>
    <s v="28-Jun-2012"/>
  </r>
  <r>
    <n v="14112"/>
    <d v="2009-07-24T00:00:00"/>
    <s v="Low"/>
    <s v="24-Jul-2009"/>
    <n v="1"/>
    <n v="68.45"/>
    <n v="0.02"/>
    <s v="Express Air"/>
    <n v="-25.76"/>
    <n v="50.98"/>
    <n v="13.66"/>
    <s v="Paul Lucas"/>
    <s v="Quebec"/>
    <x v="5"/>
    <s v="Corporate"/>
    <s v="Office Supplies"/>
    <x v="5"/>
    <x v="15"/>
    <d v="2009-07-24T00:00:00"/>
    <s v="24-Jul-2009"/>
  </r>
  <r>
    <n v="27841"/>
    <d v="2012-09-16T00:00:00"/>
    <s v="High"/>
    <s v="16-Sep-2012"/>
    <n v="33"/>
    <n v="67.849999999999994"/>
    <n v="0.05"/>
    <s v="Regular Air"/>
    <n v="1.05"/>
    <n v="2.1"/>
    <n v="0.7"/>
    <s v="Caroline Jumper"/>
    <s v="Quebec"/>
    <x v="5"/>
    <s v="Corporate"/>
    <s v="Office Supplies"/>
    <x v="13"/>
    <x v="6"/>
    <d v="2012-09-18T00:00:00"/>
    <s v="18-Sep-2012"/>
  </r>
  <r>
    <n v="5543"/>
    <d v="2010-09-24T00:00:00"/>
    <s v="Medium"/>
    <s v="24-Sep-2010"/>
    <n v="27"/>
    <n v="67.3"/>
    <n v="0.02"/>
    <s v="Regular Air"/>
    <n v="-115.38"/>
    <n v="2.1800000000000002"/>
    <n v="5"/>
    <s v="Fred Chung"/>
    <s v="Quebec"/>
    <x v="5"/>
    <s v="Corporate"/>
    <s v="Office Supplies"/>
    <x v="14"/>
    <x v="43"/>
    <d v="2010-09-26T00:00:00"/>
    <s v="26-Sep-2010"/>
  </r>
  <r>
    <n v="5543"/>
    <d v="2010-09-24T00:00:00"/>
    <s v="Medium"/>
    <s v="24-Sep-2010"/>
    <n v="6"/>
    <n v="65.930000000000007"/>
    <n v="0.04"/>
    <s v="Regular Air"/>
    <n v="11.06"/>
    <n v="10.31"/>
    <n v="1.79"/>
    <s v="Fred Chung"/>
    <s v="Quebec"/>
    <x v="5"/>
    <s v="Corporate"/>
    <s v="Office Supplies"/>
    <x v="12"/>
    <x v="1"/>
    <d v="2010-09-27T00:00:00"/>
    <s v="27-Sep-2010"/>
  </r>
  <r>
    <n v="51047"/>
    <d v="2009-04-10T00:00:00"/>
    <s v="Medium"/>
    <s v="10-Apr-2009"/>
    <n v="28"/>
    <n v="65.7"/>
    <n v="0.02"/>
    <s v="Express Air"/>
    <n v="-83.54"/>
    <n v="1.76"/>
    <n v="4.8600000000000003"/>
    <s v="Ellis Ballard"/>
    <s v="Quebec"/>
    <x v="5"/>
    <s v="Corporate"/>
    <s v="Furniture"/>
    <x v="7"/>
    <x v="25"/>
    <d v="2009-04-11T00:00:00"/>
    <s v="11-Apr-2009"/>
  </r>
  <r>
    <n v="26630"/>
    <d v="2010-11-27T00:00:00"/>
    <s v="High"/>
    <s v="27-Nov-2010"/>
    <n v="9"/>
    <n v="65.67"/>
    <n v="0.02"/>
    <s v="Regular Air"/>
    <n v="-35.200000000000003"/>
    <n v="6.48"/>
    <n v="7.37"/>
    <s v="Logan Haushalter"/>
    <s v="Quebec"/>
    <x v="5"/>
    <s v="Corporate"/>
    <s v="Office Supplies"/>
    <x v="12"/>
    <x v="7"/>
    <d v="2010-11-29T00:00:00"/>
    <s v="29-Nov-2010"/>
  </r>
  <r>
    <n v="4004"/>
    <d v="2010-05-06T00:00:00"/>
    <s v="Medium"/>
    <s v="06-May-2010"/>
    <n v="14"/>
    <n v="63.52"/>
    <n v="0.1"/>
    <s v="Regular Air"/>
    <n v="8.66"/>
    <n v="4.84"/>
    <n v="0.71"/>
    <s v="Sheri Gordon"/>
    <s v="Quebec"/>
    <x v="5"/>
    <s v="Corporate"/>
    <s v="Office Supplies"/>
    <x v="13"/>
    <x v="24"/>
    <d v="2010-05-09T00:00:00"/>
    <s v="09-May-2010"/>
  </r>
  <r>
    <n v="46337"/>
    <d v="2012-04-27T00:00:00"/>
    <s v="Low"/>
    <s v="27-Apr-2012"/>
    <n v="34"/>
    <n v="61.45"/>
    <n v="0.06"/>
    <s v="Regular Air"/>
    <n v="0.62"/>
    <n v="1.76"/>
    <n v="0.7"/>
    <s v="Liz Willingham"/>
    <s v="Quebec"/>
    <x v="5"/>
    <s v="Corporate"/>
    <s v="Office Supplies"/>
    <x v="13"/>
    <x v="0"/>
    <d v="2012-05-02T00:00:00"/>
    <s v="02-May-2012"/>
  </r>
  <r>
    <n v="51556"/>
    <d v="2012-10-27T00:00:00"/>
    <s v="High"/>
    <s v="27-Oct-2012"/>
    <n v="10"/>
    <n v="45.69"/>
    <n v="0.01"/>
    <s v="Express Air"/>
    <n v="-24.21"/>
    <n v="3.57"/>
    <n v="4.17"/>
    <s v="Frank Atkinson"/>
    <s v="Quebec"/>
    <x v="5"/>
    <s v="Corporate"/>
    <s v="Office Supplies"/>
    <x v="13"/>
    <x v="14"/>
    <d v="2012-10-29T00:00:00"/>
    <s v="29-Oct-2012"/>
  </r>
  <r>
    <n v="26432"/>
    <d v="2009-12-30T00:00:00"/>
    <s v="Low"/>
    <s v="30-Dec-2009"/>
    <n v="11"/>
    <n v="45.18"/>
    <n v="0.1"/>
    <s v="Express Air"/>
    <n v="-10.77"/>
    <n v="3.98"/>
    <n v="2.97"/>
    <s v="Logan Haushalter"/>
    <s v="Quebec"/>
    <x v="5"/>
    <s v="Corporate"/>
    <s v="Office Supplies"/>
    <x v="12"/>
    <x v="2"/>
    <d v="2010-01-04T00:00:00"/>
    <s v="04-Jan-2010"/>
  </r>
  <r>
    <n v="4800"/>
    <d v="2012-01-05T00:00:00"/>
    <s v="Low"/>
    <s v="05-Jan-2012"/>
    <n v="4"/>
    <n v="41.94"/>
    <n v="0.05"/>
    <s v="Regular Air"/>
    <n v="-26.17"/>
    <n v="8.0399999999999991"/>
    <n v="8.94"/>
    <s v="Max Engle"/>
    <s v="Quebec"/>
    <x v="5"/>
    <s v="Corporate"/>
    <s v="Office Supplies"/>
    <x v="1"/>
    <x v="27"/>
    <d v="2012-01-12T00:00:00"/>
    <s v="12-Jan-2012"/>
  </r>
  <r>
    <n v="35360"/>
    <d v="2011-04-18T00:00:00"/>
    <s v="Critical"/>
    <s v="18-Apr-2011"/>
    <n v="4"/>
    <n v="41.06"/>
    <n v="0.04"/>
    <s v="Regular Air"/>
    <n v="-16.39"/>
    <n v="8.8800000000000008"/>
    <n v="6.28"/>
    <s v="Yana Sorensen"/>
    <s v="Quebec"/>
    <x v="5"/>
    <s v="Corporate"/>
    <s v="Office Supplies"/>
    <x v="1"/>
    <x v="2"/>
    <d v="2011-04-20T00:00:00"/>
    <s v="20-Apr-2011"/>
  </r>
  <r>
    <n v="4960"/>
    <d v="2011-02-25T00:00:00"/>
    <s v="Low"/>
    <s v="25-Feb-2011"/>
    <n v="4"/>
    <n v="40.869999999999997"/>
    <n v="0.04"/>
    <s v="Express Air"/>
    <n v="-16.38"/>
    <n v="6.48"/>
    <n v="8.74"/>
    <s v="Corinna Mitchell"/>
    <s v="Quebec"/>
    <x v="5"/>
    <s v="Corporate"/>
    <s v="Office Supplies"/>
    <x v="12"/>
    <x v="10"/>
    <d v="2011-02-27T00:00:00"/>
    <s v="27-Feb-2011"/>
  </r>
  <r>
    <n v="7846"/>
    <d v="2011-06-25T00:00:00"/>
    <s v="Low"/>
    <s v="25-Jun-2011"/>
    <n v="20"/>
    <n v="40.049999999999997"/>
    <n v="0.1"/>
    <s v="Regular Air"/>
    <n v="-10.220000000000001"/>
    <n v="2.08"/>
    <n v="1.49"/>
    <s v="Dave Hallsten"/>
    <s v="Quebec"/>
    <x v="5"/>
    <s v="Corporate"/>
    <s v="Office Supplies"/>
    <x v="1"/>
    <x v="10"/>
    <d v="2011-06-30T00:00:00"/>
    <s v="30-Jun-2011"/>
  </r>
  <r>
    <n v="46341"/>
    <d v="2009-12-17T00:00:00"/>
    <s v="High"/>
    <s v="17-Dec-2009"/>
    <n v="23"/>
    <n v="39.130000000000003"/>
    <n v="0.1"/>
    <s v="Regular Air"/>
    <n v="-23.14"/>
    <n v="1.68"/>
    <n v="1.57"/>
    <s v="Astrea Jones"/>
    <s v="Quebec"/>
    <x v="5"/>
    <s v="Corporate"/>
    <s v="Office Supplies"/>
    <x v="13"/>
    <x v="14"/>
    <d v="2009-12-18T00:00:00"/>
    <s v="18-Dec-2009"/>
  </r>
  <r>
    <n v="35905"/>
    <d v="2012-02-19T00:00:00"/>
    <s v="Low"/>
    <s v="19-Feb-2012"/>
    <n v="20"/>
    <n v="37.4"/>
    <n v="0.09"/>
    <s v="Express Air"/>
    <n v="-17.18"/>
    <n v="1.68"/>
    <n v="1.57"/>
    <s v="Deanra Eno"/>
    <s v="Quebec"/>
    <x v="5"/>
    <s v="Corporate"/>
    <s v="Office Supplies"/>
    <x v="13"/>
    <x v="14"/>
    <d v="2012-02-24T00:00:00"/>
    <s v="24-Feb-2012"/>
  </r>
  <r>
    <n v="37792"/>
    <d v="2011-12-29T00:00:00"/>
    <s v="High"/>
    <s v="29-Dec-2011"/>
    <n v="14"/>
    <n v="36.74"/>
    <n v="0.09"/>
    <s v="Regular Air"/>
    <n v="-5.36"/>
    <n v="2.78"/>
    <n v="0.97"/>
    <s v="Eleni McCrary"/>
    <s v="Quebec"/>
    <x v="5"/>
    <s v="Corporate"/>
    <s v="Office Supplies"/>
    <x v="13"/>
    <x v="14"/>
    <d v="2011-12-30T00:00:00"/>
    <s v="30-Dec-2011"/>
  </r>
  <r>
    <n v="17317"/>
    <d v="2009-12-03T00:00:00"/>
    <s v="Not Specified"/>
    <s v="03-Dec-2009"/>
    <n v="7"/>
    <n v="34.659999999999997"/>
    <n v="0.06"/>
    <s v="Regular Air"/>
    <n v="-20.87"/>
    <n v="4.42"/>
    <n v="4.99"/>
    <s v="Laurel Elliston"/>
    <s v="Quebec"/>
    <x v="5"/>
    <s v="Corporate"/>
    <s v="Office Supplies"/>
    <x v="15"/>
    <x v="1"/>
    <d v="2009-12-05T00:00:00"/>
    <s v="05-Dec-2009"/>
  </r>
  <r>
    <n v="55077"/>
    <d v="2011-10-04T00:00:00"/>
    <s v="Critical"/>
    <s v="04-Oct-2011"/>
    <n v="2"/>
    <n v="31.7"/>
    <n v="0.05"/>
    <s v="Regular Air"/>
    <n v="-44.39"/>
    <n v="14.48"/>
    <n v="1.99"/>
    <s v="Stewart Visinsky"/>
    <s v="Quebec"/>
    <x v="5"/>
    <s v="Corporate"/>
    <s v="Technology"/>
    <x v="11"/>
    <x v="19"/>
    <d v="2011-10-06T00:00:00"/>
    <s v="06-Oct-2011"/>
  </r>
  <r>
    <n v="43172"/>
    <d v="2009-07-03T00:00:00"/>
    <s v="Low"/>
    <s v="03-Jul-2009"/>
    <n v="19"/>
    <n v="28.34"/>
    <n v="0.09"/>
    <s v="Regular Air"/>
    <n v="1.68"/>
    <n v="1.48"/>
    <n v="0.7"/>
    <s v="Liz Willingham"/>
    <s v="Quebec"/>
    <x v="5"/>
    <s v="Corporate"/>
    <s v="Office Supplies"/>
    <x v="16"/>
    <x v="7"/>
    <d v="2009-07-05T00:00:00"/>
    <s v="05-Jul-2009"/>
  </r>
  <r>
    <n v="51463"/>
    <d v="2011-12-17T00:00:00"/>
    <s v="Low"/>
    <s v="17-Dec-2011"/>
    <n v="4"/>
    <n v="28.34"/>
    <n v="0.01"/>
    <s v="Regular Air"/>
    <n v="-18.55"/>
    <n v="4.9800000000000004"/>
    <n v="7.44"/>
    <s v="Liz Willingham"/>
    <s v="Quebec"/>
    <x v="5"/>
    <s v="Corporate"/>
    <s v="Office Supplies"/>
    <x v="12"/>
    <x v="10"/>
    <d v="2011-12-26T00:00:00"/>
    <s v="26-Dec-2011"/>
  </r>
  <r>
    <n v="44487"/>
    <d v="2009-09-11T00:00:00"/>
    <s v="Critical"/>
    <s v="11-Sep-2009"/>
    <n v="4"/>
    <n v="28.15"/>
    <n v="0.09"/>
    <s v="Regular Air"/>
    <n v="-10.09"/>
    <n v="6.28"/>
    <n v="5.29"/>
    <s v="Helen Wasserman"/>
    <s v="Quebec"/>
    <x v="5"/>
    <s v="Corporate"/>
    <s v="Furniture"/>
    <x v="7"/>
    <x v="21"/>
    <d v="2009-09-12T00:00:00"/>
    <s v="12-Sep-2009"/>
  </r>
  <r>
    <n v="7846"/>
    <d v="2011-06-25T00:00:00"/>
    <s v="Low"/>
    <s v="25-Jun-2011"/>
    <n v="12"/>
    <n v="26.33"/>
    <n v="0.05"/>
    <s v="Regular Air"/>
    <n v="-33.61"/>
    <n v="1.76"/>
    <n v="4.8600000000000003"/>
    <s v="Dave Hallsten"/>
    <s v="Quebec"/>
    <x v="5"/>
    <s v="Corporate"/>
    <s v="Furniture"/>
    <x v="7"/>
    <x v="25"/>
    <d v="2011-06-25T00:00:00"/>
    <s v="25-Jun-2011"/>
  </r>
  <r>
    <n v="45670"/>
    <d v="2012-08-07T00:00:00"/>
    <s v="Low"/>
    <s v="07-Aug-2012"/>
    <n v="2"/>
    <n v="20.16"/>
    <n v="0.06"/>
    <s v="Regular Air"/>
    <n v="-13.32"/>
    <n v="6.48"/>
    <n v="7.86"/>
    <s v="Barry Franz"/>
    <s v="Quebec"/>
    <x v="5"/>
    <s v="Corporate"/>
    <s v="Office Supplies"/>
    <x v="12"/>
    <x v="7"/>
    <d v="2012-08-11T00:00:00"/>
    <s v="11-Aug-2012"/>
  </r>
  <r>
    <n v="1537"/>
    <d v="2012-02-14T00:00:00"/>
    <s v="Not Specified"/>
    <s v="14-Feb-2012"/>
    <n v="5"/>
    <n v="16.600000000000001"/>
    <n v="7.0000000000000007E-2"/>
    <s v="Regular Air"/>
    <n v="-20.3"/>
    <n v="2.16"/>
    <n v="6.05"/>
    <s v="Grant Thornton"/>
    <s v="Quebec"/>
    <x v="5"/>
    <s v="Corporate"/>
    <s v="Office Supplies"/>
    <x v="1"/>
    <x v="7"/>
    <d v="2012-02-14T00:00:00"/>
    <s v="14-Feb-2012"/>
  </r>
  <r>
    <n v="48548"/>
    <d v="2011-03-26T00:00:00"/>
    <s v="Critical"/>
    <s v="26-Mar-2011"/>
    <n v="3"/>
    <n v="13.71"/>
    <n v="0.03"/>
    <s v="Regular Air"/>
    <n v="-10.27"/>
    <n v="3.28"/>
    <n v="3.97"/>
    <s v="Astrea Jones"/>
    <s v="Quebec"/>
    <x v="5"/>
    <s v="Corporate"/>
    <s v="Office Supplies"/>
    <x v="13"/>
    <x v="0"/>
    <d v="2011-03-27T00:00:00"/>
    <s v="27-Mar-2011"/>
  </r>
  <r>
    <n v="53223"/>
    <d v="2012-07-14T00:00:00"/>
    <s v="Low"/>
    <s v="14-Jul-2012"/>
    <n v="2"/>
    <n v="13.29"/>
    <n v="0.08"/>
    <s v="Regular Air"/>
    <n v="-10.33"/>
    <n v="4.24"/>
    <n v="5.41"/>
    <s v="Stewart Visinsky"/>
    <s v="Quebec"/>
    <x v="5"/>
    <s v="Corporate"/>
    <s v="Office Supplies"/>
    <x v="1"/>
    <x v="2"/>
    <d v="2012-07-21T00:00:00"/>
    <s v="21-Jul-2012"/>
  </r>
  <r>
    <n v="19558"/>
    <d v="2011-02-25T00:00:00"/>
    <s v="Low"/>
    <s v="25-Feb-2011"/>
    <n v="2"/>
    <n v="7.98"/>
    <n v="0.04"/>
    <s v="Regular Air"/>
    <n v="-3.93"/>
    <n v="3.29"/>
    <n v="1.35"/>
    <s v="Ellis Ballard"/>
    <s v="Quebec"/>
    <x v="5"/>
    <s v="Corporate"/>
    <s v="Office Supplies"/>
    <x v="16"/>
    <x v="27"/>
    <d v="2011-02-28T00:00:00"/>
    <s v="28-Feb-2011"/>
  </r>
  <r>
    <n v="9635"/>
    <d v="2009-04-13T00:00:00"/>
    <s v="Critical"/>
    <s v="13-Apr-2009"/>
    <n v="1"/>
    <n v="3.42"/>
    <n v="0.05"/>
    <s v="Regular Air"/>
    <n v="-2.91"/>
    <n v="1.88"/>
    <n v="1.49"/>
    <s v="Andy Reiter"/>
    <s v="Quebec"/>
    <x v="5"/>
    <s v="Corporate"/>
    <s v="Office Supplies"/>
    <x v="1"/>
    <x v="7"/>
    <d v="2009-04-15T00:00:00"/>
    <s v="15-Apr-2009"/>
  </r>
  <r>
    <n v="2433"/>
    <d v="2009-08-21T00:00:00"/>
    <s v="Not Specified"/>
    <s v="21-Aug-2009"/>
    <n v="14"/>
    <n v="24105.87"/>
    <n v="7.0000000000000007E-2"/>
    <s v="Delivery Truck"/>
    <n v="4073.25"/>
    <n v="2036.48"/>
    <n v="14.7"/>
    <s v="Cari Sayre"/>
    <s v="Alberta"/>
    <x v="6"/>
    <s v="Corporate"/>
    <s v="Technology"/>
    <x v="0"/>
    <x v="20"/>
    <d v="2009-08-21T00:00:00"/>
    <s v="21-Aug-2009"/>
  </r>
  <r>
    <n v="7203"/>
    <d v="2009-01-08T00:00:00"/>
    <s v="High"/>
    <s v="08-Jan-2009"/>
    <n v="25"/>
    <n v="21752.01"/>
    <n v="0.03"/>
    <s v="Regular Air"/>
    <n v="9296.35"/>
    <n v="896.99"/>
    <n v="19.989999999999998"/>
    <s v="Ruben Dartt"/>
    <s v="Alberta"/>
    <x v="6"/>
    <s v="Corporate"/>
    <s v="Office Supplies"/>
    <x v="1"/>
    <x v="1"/>
    <d v="2009-01-10T00:00:00"/>
    <s v="10-Jan-2009"/>
  </r>
  <r>
    <n v="29317"/>
    <d v="2011-10-02T00:00:00"/>
    <s v="Not Specified"/>
    <s v="02-Oct-2011"/>
    <n v="20"/>
    <n v="15703.82"/>
    <n v="0.06"/>
    <s v="Delivery Truck"/>
    <n v="3055.72"/>
    <n v="810.98"/>
    <n v="16.059999999999999"/>
    <s v="Becky Pak"/>
    <s v="Alberta"/>
    <x v="6"/>
    <s v="Corporate"/>
    <s v="Technology"/>
    <x v="0"/>
    <x v="0"/>
    <d v="2011-10-03T00:00:00"/>
    <s v="03-Oct-2011"/>
  </r>
  <r>
    <n v="25824"/>
    <d v="2009-09-04T00:00:00"/>
    <s v="Medium"/>
    <s v="04-Sep-2009"/>
    <n v="39"/>
    <n v="15341.46"/>
    <n v="0"/>
    <s v="Delivery Truck"/>
    <n v="394.52"/>
    <n v="376.13"/>
    <n v="85.63"/>
    <s v="Christine Abelman"/>
    <s v="Alberta"/>
    <x v="6"/>
    <s v="Corporate"/>
    <s v="Furniture"/>
    <x v="3"/>
    <x v="37"/>
    <d v="2009-09-05T00:00:00"/>
    <s v="05-Sep-2009"/>
  </r>
  <r>
    <n v="25824"/>
    <d v="2009-09-04T00:00:00"/>
    <s v="Medium"/>
    <s v="04-Sep-2009"/>
    <n v="37"/>
    <n v="14410.78"/>
    <n v="0.02"/>
    <s v="Regular Air"/>
    <n v="6365.58"/>
    <n v="367.99"/>
    <n v="19.989999999999998"/>
    <s v="Christine Abelman"/>
    <s v="Alberta"/>
    <x v="6"/>
    <s v="Corporate"/>
    <s v="Office Supplies"/>
    <x v="1"/>
    <x v="27"/>
    <d v="2009-09-05T00:00:00"/>
    <s v="05-Sep-2009"/>
  </r>
  <r>
    <n v="29286"/>
    <d v="2009-07-28T00:00:00"/>
    <s v="Critical"/>
    <s v="28-Jul-2009"/>
    <n v="4"/>
    <n v="13070.2"/>
    <n v="7.0000000000000007E-2"/>
    <s v="Delivery Truck"/>
    <n v="-6923.6"/>
    <n v="3502.14"/>
    <n v="8.73"/>
    <s v="Alan Dominguez"/>
    <s v="Alberta"/>
    <x v="6"/>
    <s v="Corporate"/>
    <s v="Technology"/>
    <x v="0"/>
    <x v="6"/>
    <d v="2009-07-30T00:00:00"/>
    <s v="30-Jul-2009"/>
  </r>
  <r>
    <n v="57216"/>
    <d v="2010-07-29T00:00:00"/>
    <s v="High"/>
    <s v="29-Jul-2010"/>
    <n v="46"/>
    <n v="12719.7"/>
    <n v="0.03"/>
    <s v="Delivery Truck"/>
    <n v="-545.82000000000005"/>
    <n v="280.98"/>
    <n v="57"/>
    <s v="Ruben Dartt"/>
    <s v="Alberta"/>
    <x v="6"/>
    <s v="Corporate"/>
    <s v="Furniture"/>
    <x v="2"/>
    <x v="8"/>
    <d v="2010-07-29T00:00:00"/>
    <s v="29-Jul-2010"/>
  </r>
  <r>
    <n v="42436"/>
    <d v="2012-08-09T00:00:00"/>
    <s v="Critical"/>
    <s v="09-Aug-2012"/>
    <n v="30"/>
    <n v="10994.74"/>
    <n v="0.09"/>
    <s v="Delivery Truck"/>
    <n v="3612.58"/>
    <n v="400.97"/>
    <n v="48.26"/>
    <s v="Becky Pak"/>
    <s v="Alberta"/>
    <x v="6"/>
    <s v="Corporate"/>
    <s v="Technology"/>
    <x v="0"/>
    <x v="10"/>
    <d v="2012-08-10T00:00:00"/>
    <s v="10-Aug-2012"/>
  </r>
  <r>
    <n v="1824"/>
    <d v="2009-05-04T00:00:00"/>
    <s v="Critical"/>
    <s v="04-May-2009"/>
    <n v="39"/>
    <n v="10656.26"/>
    <n v="0.06"/>
    <s v="Regular Air"/>
    <n v="3116.54"/>
    <n v="276.2"/>
    <n v="24.49"/>
    <s v="Becky Pak"/>
    <s v="Alberta"/>
    <x v="6"/>
    <s v="Corporate"/>
    <s v="Furniture"/>
    <x v="2"/>
    <x v="49"/>
    <d v="2009-05-05T00:00:00"/>
    <s v="05-May-2009"/>
  </r>
  <r>
    <n v="40128"/>
    <d v="2009-02-09T00:00:00"/>
    <s v="Low"/>
    <s v="09-Feb-2009"/>
    <n v="43"/>
    <n v="10318.719999999999"/>
    <n v="0.01"/>
    <s v="Delivery Truck"/>
    <n v="1445.36"/>
    <n v="240.98"/>
    <n v="60.2"/>
    <s v="Christine Abelman"/>
    <s v="Alberta"/>
    <x v="6"/>
    <s v="Corporate"/>
    <s v="Furniture"/>
    <x v="8"/>
    <x v="0"/>
    <d v="2009-02-16T00:00:00"/>
    <s v="16-Feb-2009"/>
  </r>
  <r>
    <n v="54279"/>
    <d v="2011-07-30T00:00:00"/>
    <s v="High"/>
    <s v="30-Jul-2011"/>
    <n v="41"/>
    <n v="10071.09"/>
    <n v="0.1"/>
    <s v="Delivery Truck"/>
    <n v="1977.69"/>
    <n v="264.98"/>
    <n v="17.86"/>
    <s v="Harry Greene"/>
    <s v="Alberta"/>
    <x v="6"/>
    <s v="Corporate"/>
    <s v="Technology"/>
    <x v="0"/>
    <x v="15"/>
    <d v="2011-07-31T00:00:00"/>
    <s v="31-Jul-2011"/>
  </r>
  <r>
    <n v="43911"/>
    <d v="2009-01-14T00:00:00"/>
    <s v="Medium"/>
    <s v="14-Jan-2009"/>
    <n v="36"/>
    <n v="9920.85"/>
    <n v="0"/>
    <s v="Delivery Truck"/>
    <n v="2685.19"/>
    <n v="264.98"/>
    <n v="17.86"/>
    <s v="Tamara Manning"/>
    <s v="Alberta"/>
    <x v="6"/>
    <s v="Corporate"/>
    <s v="Technology"/>
    <x v="0"/>
    <x v="15"/>
    <d v="2009-01-15T00:00:00"/>
    <s v="15-Jan-2009"/>
  </r>
  <r>
    <n v="50726"/>
    <d v="2011-10-31T00:00:00"/>
    <s v="Low"/>
    <s v="31-Oct-2011"/>
    <n v="45"/>
    <n v="9248.74"/>
    <n v="0"/>
    <s v="Delivery Truck"/>
    <n v="2532"/>
    <n v="200.98"/>
    <n v="23.76"/>
    <s v="Ruben Dartt"/>
    <s v="Alberta"/>
    <x v="6"/>
    <s v="Corporate"/>
    <s v="Furniture"/>
    <x v="2"/>
    <x v="15"/>
    <d v="2011-11-04T00:00:00"/>
    <s v="04-Nov-2011"/>
  </r>
  <r>
    <n v="37440"/>
    <d v="2010-06-23T00:00:00"/>
    <s v="Not Specified"/>
    <s v="23-Jun-2010"/>
    <n v="39"/>
    <n v="8407.08"/>
    <n v="0.04"/>
    <s v="Delivery Truck"/>
    <n v="629.4"/>
    <n v="208.16"/>
    <n v="68.02"/>
    <s v="Rick Wilson"/>
    <s v="Alberta"/>
    <x v="6"/>
    <s v="Corporate"/>
    <s v="Office Supplies"/>
    <x v="5"/>
    <x v="15"/>
    <d v="2010-06-24T00:00:00"/>
    <s v="24-Jun-2010"/>
  </r>
  <r>
    <n v="9888"/>
    <d v="2009-09-12T00:00:00"/>
    <s v="Low"/>
    <s v="12-Sep-2009"/>
    <n v="48"/>
    <n v="8374.1319999999996"/>
    <n v="0.06"/>
    <s v="Regular Air"/>
    <n v="2568.1"/>
    <n v="205.99"/>
    <n v="8.99"/>
    <s v="Adam Shillingsburg"/>
    <s v="Alberta"/>
    <x v="6"/>
    <s v="Corporate"/>
    <s v="Technology"/>
    <x v="10"/>
    <x v="0"/>
    <d v="2009-09-19T00:00:00"/>
    <s v="19-Sep-2009"/>
  </r>
  <r>
    <n v="4389"/>
    <d v="2009-05-04T00:00:00"/>
    <s v="Medium"/>
    <s v="04-May-2009"/>
    <n v="49"/>
    <n v="7987.43"/>
    <n v="0.03"/>
    <s v="Delivery Truck"/>
    <n v="1304.9000000000001"/>
    <n v="160.97999999999999"/>
    <n v="30"/>
    <s v="Victoria Pisteka"/>
    <s v="Alberta"/>
    <x v="6"/>
    <s v="Corporate"/>
    <s v="Furniture"/>
    <x v="2"/>
    <x v="44"/>
    <d v="2009-05-05T00:00:00"/>
    <s v="05-May-2009"/>
  </r>
  <r>
    <n v="29317"/>
    <d v="2011-10-02T00:00:00"/>
    <s v="Not Specified"/>
    <s v="02-Oct-2011"/>
    <n v="40"/>
    <n v="7789.63"/>
    <n v="0.08"/>
    <s v="Delivery Truck"/>
    <n v="1774.53"/>
    <n v="200.98"/>
    <n v="23.76"/>
    <s v="Becky Pak"/>
    <s v="Alberta"/>
    <x v="6"/>
    <s v="Corporate"/>
    <s v="Furniture"/>
    <x v="2"/>
    <x v="15"/>
    <d v="2011-10-04T00:00:00"/>
    <s v="04-Oct-2011"/>
  </r>
  <r>
    <n v="384"/>
    <d v="2012-03-02T00:00:00"/>
    <s v="Low"/>
    <s v="02-Mar-2012"/>
    <n v="50"/>
    <n v="7666.04"/>
    <n v="0.02"/>
    <s v="Delivery Truck"/>
    <n v="-1820.84"/>
    <n v="146.05000000000001"/>
    <n v="80.2"/>
    <s v="Sonia Cooley"/>
    <s v="Alberta"/>
    <x v="6"/>
    <s v="Corporate"/>
    <s v="Furniture"/>
    <x v="3"/>
    <x v="35"/>
    <d v="2012-03-09T00:00:00"/>
    <s v="09-Mar-2012"/>
  </r>
  <r>
    <n v="43911"/>
    <d v="2009-01-14T00:00:00"/>
    <s v="Medium"/>
    <s v="14-Jan-2009"/>
    <n v="23"/>
    <n v="7484.31"/>
    <n v="0.06"/>
    <s v="Delivery Truck"/>
    <n v="1278.45"/>
    <n v="320.98"/>
    <n v="58.95"/>
    <s v="Tamara Manning"/>
    <s v="Alberta"/>
    <x v="6"/>
    <s v="Corporate"/>
    <s v="Furniture"/>
    <x v="2"/>
    <x v="6"/>
    <d v="2009-01-16T00:00:00"/>
    <s v="16-Jan-2009"/>
  </r>
  <r>
    <n v="11846"/>
    <d v="2010-04-20T00:00:00"/>
    <s v="Low"/>
    <s v="20-Apr-2010"/>
    <n v="49"/>
    <n v="7319.85"/>
    <n v="0.03"/>
    <s v="Regular Air"/>
    <n v="611.42999999999995"/>
    <n v="152.47999999999999"/>
    <n v="4"/>
    <s v="Ken Dana"/>
    <s v="Alberta"/>
    <x v="6"/>
    <s v="Corporate"/>
    <s v="Technology"/>
    <x v="11"/>
    <x v="11"/>
    <d v="2010-04-24T00:00:00"/>
    <s v="24-Apr-2010"/>
  </r>
  <r>
    <n v="32449"/>
    <d v="2012-12-09T00:00:00"/>
    <s v="Critical"/>
    <s v="09-Dec-2012"/>
    <n v="44"/>
    <n v="7195.2584999999999"/>
    <n v="0.09"/>
    <s v="Express Air"/>
    <n v="1698.16"/>
    <n v="200.99"/>
    <n v="8.08"/>
    <s v="Ann Steele"/>
    <s v="Alberta"/>
    <x v="6"/>
    <s v="Corporate"/>
    <s v="Technology"/>
    <x v="10"/>
    <x v="14"/>
    <d v="2012-12-10T00:00:00"/>
    <s v="10-Dec-2012"/>
  </r>
  <r>
    <n v="18593"/>
    <d v="2011-09-22T00:00:00"/>
    <s v="High"/>
    <s v="22-Sep-2011"/>
    <n v="23"/>
    <n v="6572.04"/>
    <n v="0.06"/>
    <s v="Regular Air"/>
    <n v="1579.34"/>
    <n v="300.97000000000003"/>
    <n v="7.18"/>
    <s v="Tamara Manning"/>
    <s v="Alberta"/>
    <x v="6"/>
    <s v="Corporate"/>
    <s v="Technology"/>
    <x v="11"/>
    <x v="23"/>
    <d v="2011-09-23T00:00:00"/>
    <s v="23-Sep-2011"/>
  </r>
  <r>
    <n v="35173"/>
    <d v="2012-03-13T00:00:00"/>
    <s v="Not Specified"/>
    <s v="13-Mar-2012"/>
    <n v="29"/>
    <n v="6483.26"/>
    <n v="0.09"/>
    <s v="Delivery Truck"/>
    <n v="341.98"/>
    <n v="240.98"/>
    <n v="60.2"/>
    <s v="Mike Pelletier"/>
    <s v="Alberta"/>
    <x v="6"/>
    <s v="Corporate"/>
    <s v="Furniture"/>
    <x v="8"/>
    <x v="0"/>
    <d v="2012-03-15T00:00:00"/>
    <s v="15-Mar-2012"/>
  </r>
  <r>
    <n v="41987"/>
    <d v="2011-10-21T00:00:00"/>
    <s v="Not Specified"/>
    <s v="21-Oct-2011"/>
    <n v="25"/>
    <n v="6481.0479999999998"/>
    <n v="0.05"/>
    <s v="Delivery Truck"/>
    <n v="1760.11"/>
    <n v="320.64"/>
    <n v="29.2"/>
    <s v="Shaun Chance"/>
    <s v="Alberta"/>
    <x v="6"/>
    <s v="Corporate"/>
    <s v="Furniture"/>
    <x v="3"/>
    <x v="32"/>
    <d v="2011-10-22T00:00:00"/>
    <s v="22-Oct-2011"/>
  </r>
  <r>
    <n v="26979"/>
    <d v="2012-03-28T00:00:00"/>
    <s v="Medium"/>
    <s v="28-Mar-2012"/>
    <n v="50"/>
    <n v="6093.2420000000002"/>
    <n v="0.09"/>
    <s v="Regular Air"/>
    <n v="1174.3800000000001"/>
    <n v="155.99"/>
    <n v="8.08"/>
    <s v="Tom Boeckenhauer"/>
    <s v="Alberta"/>
    <x v="6"/>
    <s v="Corporate"/>
    <s v="Technology"/>
    <x v="10"/>
    <x v="18"/>
    <d v="2012-03-30T00:00:00"/>
    <s v="30-Mar-2012"/>
  </r>
  <r>
    <n v="18368"/>
    <d v="2012-11-30T00:00:00"/>
    <s v="Not Specified"/>
    <s v="30-Nov-2012"/>
    <n v="3"/>
    <n v="5972.59"/>
    <n v="0.06"/>
    <s v="Delivery Truck"/>
    <n v="-4852.53"/>
    <n v="2036.48"/>
    <n v="14.7"/>
    <s v="Alyssa Crouse"/>
    <s v="Alberta"/>
    <x v="6"/>
    <s v="Corporate"/>
    <s v="Technology"/>
    <x v="0"/>
    <x v="20"/>
    <d v="2012-12-02T00:00:00"/>
    <s v="02-Dec-2012"/>
  </r>
  <r>
    <n v="19457"/>
    <d v="2009-07-12T00:00:00"/>
    <s v="High"/>
    <s v="12-Jul-2009"/>
    <n v="33"/>
    <n v="5638.7979999999998"/>
    <n v="0.09"/>
    <s v="Express Air"/>
    <n v="1406.05"/>
    <n v="205.99"/>
    <n v="3"/>
    <s v="Alice McCarthy"/>
    <s v="Alberta"/>
    <x v="6"/>
    <s v="Corporate"/>
    <s v="Technology"/>
    <x v="10"/>
    <x v="15"/>
    <d v="2009-07-14T00:00:00"/>
    <s v="14-Jul-2009"/>
  </r>
  <r>
    <n v="39492"/>
    <d v="2011-04-17T00:00:00"/>
    <s v="Not Specified"/>
    <s v="17-Apr-2011"/>
    <n v="31"/>
    <n v="5347.9875000000002"/>
    <n v="0.01"/>
    <s v="Regular Air"/>
    <n v="1332.44"/>
    <n v="200.99"/>
    <n v="4.2"/>
    <s v="Jason Fortune"/>
    <s v="Alberta"/>
    <x v="6"/>
    <s v="Corporate"/>
    <s v="Technology"/>
    <x v="10"/>
    <x v="14"/>
    <d v="2011-04-20T00:00:00"/>
    <s v="20-Apr-2011"/>
  </r>
  <r>
    <n v="36994"/>
    <d v="2011-06-17T00:00:00"/>
    <s v="Critical"/>
    <s v="17-Jun-2011"/>
    <n v="40"/>
    <n v="5264.48"/>
    <n v="0.03"/>
    <s v="Delivery Truck"/>
    <n v="-284.06"/>
    <n v="130.97999999999999"/>
    <n v="30"/>
    <s v="Mitch Gastineau"/>
    <s v="Alberta"/>
    <x v="6"/>
    <s v="Corporate"/>
    <s v="Furniture"/>
    <x v="2"/>
    <x v="8"/>
    <d v="2011-06-17T00:00:00"/>
    <s v="17-Jun-2011"/>
  </r>
  <r>
    <n v="29988"/>
    <d v="2009-06-12T00:00:00"/>
    <s v="High"/>
    <s v="12-Jun-2009"/>
    <n v="12"/>
    <n v="5177.3999999999996"/>
    <n v="0.06"/>
    <s v="Delivery Truck"/>
    <n v="287.5"/>
    <n v="449.99"/>
    <n v="49"/>
    <s v="Adam Shillingsburg"/>
    <s v="Alberta"/>
    <x v="6"/>
    <s v="Corporate"/>
    <s v="Technology"/>
    <x v="6"/>
    <x v="1"/>
    <d v="2009-06-14T00:00:00"/>
    <s v="14-Jun-2009"/>
  </r>
  <r>
    <n v="14883"/>
    <d v="2011-05-06T00:00:00"/>
    <s v="Low"/>
    <s v="06-May-2011"/>
    <n v="47"/>
    <n v="5126.4179999999997"/>
    <n v="0.03"/>
    <s v="Regular Air"/>
    <n v="1557.64"/>
    <n v="125.99"/>
    <n v="2.5"/>
    <s v="Jason Fortune"/>
    <s v="Alberta"/>
    <x v="6"/>
    <s v="Corporate"/>
    <s v="Technology"/>
    <x v="10"/>
    <x v="18"/>
    <d v="2011-05-15T00:00:00"/>
    <s v="15-May-2011"/>
  </r>
  <r>
    <n v="53798"/>
    <d v="2009-04-19T00:00:00"/>
    <s v="Low"/>
    <s v="19-Apr-2009"/>
    <n v="41"/>
    <n v="4987.7299999999996"/>
    <n v="0.08"/>
    <s v="Delivery Truck"/>
    <n v="-1867.97"/>
    <n v="122.99"/>
    <n v="70.2"/>
    <s v="Kelly Williams"/>
    <s v="Alberta"/>
    <x v="6"/>
    <s v="Corporate"/>
    <s v="Furniture"/>
    <x v="2"/>
    <x v="37"/>
    <d v="2009-04-24T00:00:00"/>
    <s v="24-Apr-2009"/>
  </r>
  <r>
    <n v="35046"/>
    <d v="2010-07-24T00:00:00"/>
    <s v="Medium"/>
    <s v="24-Jul-2010"/>
    <n v="45"/>
    <n v="4951.3599999999997"/>
    <n v="0.03"/>
    <s v="Express Air"/>
    <n v="1759.72"/>
    <n v="107.53"/>
    <n v="5.81"/>
    <s v="Cari Sayre"/>
    <s v="Alberta"/>
    <x v="6"/>
    <s v="Corporate"/>
    <s v="Furniture"/>
    <x v="7"/>
    <x v="38"/>
    <d v="2010-07-25T00:00:00"/>
    <s v="25-Jul-2010"/>
  </r>
  <r>
    <n v="32449"/>
    <d v="2012-12-09T00:00:00"/>
    <s v="Critical"/>
    <s v="09-Dec-2012"/>
    <n v="12"/>
    <n v="4887.1400000000003"/>
    <n v="0.08"/>
    <s v="Delivery Truck"/>
    <n v="-694.33"/>
    <n v="424.21"/>
    <n v="110.2"/>
    <s v="Ann Steele"/>
    <s v="Alberta"/>
    <x v="6"/>
    <s v="Corporate"/>
    <s v="Furniture"/>
    <x v="3"/>
    <x v="46"/>
    <d v="2012-12-10T00:00:00"/>
    <s v="10-Dec-2012"/>
  </r>
  <r>
    <n v="36262"/>
    <d v="2010-07-27T00:00:00"/>
    <s v="Not Specified"/>
    <s v="27-Jul-2010"/>
    <n v="26"/>
    <n v="4701.6899999999996"/>
    <n v="0"/>
    <s v="Express Air"/>
    <n v="1148.9000000000001"/>
    <n v="205.99"/>
    <n v="2.5"/>
    <s v="Aaron Bergman"/>
    <s v="Alberta"/>
    <x v="6"/>
    <s v="Corporate"/>
    <s v="Technology"/>
    <x v="10"/>
    <x v="14"/>
    <d v="2010-07-27T00:00:00"/>
    <s v="27-Jul-2010"/>
  </r>
  <r>
    <n v="54019"/>
    <d v="2009-07-01T00:00:00"/>
    <s v="Low"/>
    <s v="01-Jul-2009"/>
    <n v="35"/>
    <n v="4233.1499999999996"/>
    <n v="0.08"/>
    <s v="Delivery Truck"/>
    <n v="1219.8699999999999"/>
    <n v="120.97"/>
    <n v="26.3"/>
    <s v="Aaron Bergman"/>
    <s v="Alberta"/>
    <x v="6"/>
    <s v="Corporate"/>
    <s v="Technology"/>
    <x v="0"/>
    <x v="1"/>
    <d v="2009-07-08T00:00:00"/>
    <s v="08-Jul-2009"/>
  </r>
  <r>
    <n v="35936"/>
    <d v="2009-01-21T00:00:00"/>
    <s v="Medium"/>
    <s v="21-Jan-2009"/>
    <n v="40"/>
    <n v="4152.55"/>
    <n v="0.03"/>
    <s v="Regular Air"/>
    <n v="813.33"/>
    <n v="105.34"/>
    <n v="24.49"/>
    <s v="Roy Phan"/>
    <s v="Alberta"/>
    <x v="6"/>
    <s v="Corporate"/>
    <s v="Furniture"/>
    <x v="7"/>
    <x v="9"/>
    <d v="2009-01-22T00:00:00"/>
    <s v="22-Jan-2009"/>
  </r>
  <r>
    <n v="54307"/>
    <d v="2012-01-08T00:00:00"/>
    <s v="High"/>
    <s v="08-Jan-2012"/>
    <n v="14"/>
    <n v="3849.8"/>
    <n v="0.04"/>
    <s v="Delivery Truck"/>
    <n v="192.2"/>
    <n v="280.98"/>
    <n v="35.67"/>
    <s v="Lauren Leatherbury"/>
    <s v="Alberta"/>
    <x v="6"/>
    <s v="Corporate"/>
    <s v="Furniture"/>
    <x v="3"/>
    <x v="32"/>
    <d v="2012-01-09T00:00:00"/>
    <s v="09-Jan-2012"/>
  </r>
  <r>
    <n v="6850"/>
    <d v="2010-02-11T00:00:00"/>
    <s v="High"/>
    <s v="11-Feb-2010"/>
    <n v="26"/>
    <n v="3753.72"/>
    <n v="0.05"/>
    <s v="Delivery Truck"/>
    <n v="-556.25"/>
    <n v="138.75"/>
    <n v="52.42"/>
    <s v="Chuck Clark"/>
    <s v="Alberta"/>
    <x v="6"/>
    <s v="Corporate"/>
    <s v="Furniture"/>
    <x v="3"/>
    <x v="37"/>
    <d v="2010-02-12T00:00:00"/>
    <s v="12-Feb-2010"/>
  </r>
  <r>
    <n v="359"/>
    <d v="2009-12-18T00:00:00"/>
    <s v="Medium"/>
    <s v="18-Dec-2009"/>
    <n v="30"/>
    <n v="3659.66"/>
    <n v="0.08"/>
    <s v="Delivery Truck"/>
    <n v="-500.38"/>
    <n v="124.49"/>
    <n v="51.94"/>
    <s v="Cari Sayre"/>
    <s v="Alberta"/>
    <x v="6"/>
    <s v="Corporate"/>
    <s v="Furniture"/>
    <x v="3"/>
    <x v="50"/>
    <d v="2009-12-19T00:00:00"/>
    <s v="19-Dec-2009"/>
  </r>
  <r>
    <n v="35046"/>
    <d v="2010-07-24T00:00:00"/>
    <s v="Medium"/>
    <s v="24-Jul-2010"/>
    <n v="13"/>
    <n v="3583.87"/>
    <n v="7.0000000000000007E-2"/>
    <s v="Delivery Truck"/>
    <n v="-113.08"/>
    <n v="284.98"/>
    <n v="69.55"/>
    <s v="Cari Sayre"/>
    <s v="Alberta"/>
    <x v="6"/>
    <s v="Corporate"/>
    <s v="Furniture"/>
    <x v="2"/>
    <x v="18"/>
    <d v="2010-07-25T00:00:00"/>
    <s v="25-Jul-2010"/>
  </r>
  <r>
    <n v="37700"/>
    <d v="2009-12-08T00:00:00"/>
    <s v="Critical"/>
    <s v="08-Dec-2009"/>
    <n v="27"/>
    <n v="3390.51"/>
    <n v="0.05"/>
    <s v="Express Air"/>
    <n v="1169.71"/>
    <n v="122.99"/>
    <n v="19.989999999999998"/>
    <s v="Shaun Chance"/>
    <s v="Alberta"/>
    <x v="6"/>
    <s v="Corporate"/>
    <s v="Office Supplies"/>
    <x v="1"/>
    <x v="7"/>
    <d v="2009-12-11T00:00:00"/>
    <s v="11-Dec-2009"/>
  </r>
  <r>
    <n v="9696"/>
    <d v="2011-02-19T00:00:00"/>
    <s v="Not Specified"/>
    <s v="19-Feb-2011"/>
    <n v="13"/>
    <n v="3335.27"/>
    <n v="0.03"/>
    <s v="Delivery Truck"/>
    <n v="539.69000000000005"/>
    <n v="243.98"/>
    <n v="43.32"/>
    <s v="Harold Dahlen"/>
    <s v="Alberta"/>
    <x v="6"/>
    <s v="Corporate"/>
    <s v="Furniture"/>
    <x v="2"/>
    <x v="20"/>
    <d v="2011-02-21T00:00:00"/>
    <s v="21-Feb-2011"/>
  </r>
  <r>
    <n v="54051"/>
    <d v="2011-08-11T00:00:00"/>
    <s v="Medium"/>
    <s v="11-Aug-2011"/>
    <n v="23"/>
    <n v="3301.33"/>
    <n v="0.05"/>
    <s v="Delivery Truck"/>
    <n v="-307.45999999999998"/>
    <n v="140.97999999999999"/>
    <n v="36.090000000000003"/>
    <s v="Alice McCarthy"/>
    <s v="Alberta"/>
    <x v="6"/>
    <s v="Corporate"/>
    <s v="Furniture"/>
    <x v="8"/>
    <x v="36"/>
    <d v="2011-08-13T00:00:00"/>
    <s v="13-Aug-2011"/>
  </r>
  <r>
    <n v="9955"/>
    <d v="2011-09-04T00:00:00"/>
    <s v="Critical"/>
    <s v="04-Sep-2011"/>
    <n v="37"/>
    <n v="2912.0149999999999"/>
    <n v="0.09"/>
    <s v="Regular Air"/>
    <n v="698.17"/>
    <n v="95.99"/>
    <n v="4.9000000000000004"/>
    <s v="Liz Pelletier"/>
    <s v="Alberta"/>
    <x v="6"/>
    <s v="Corporate"/>
    <s v="Technology"/>
    <x v="10"/>
    <x v="0"/>
    <d v="2011-09-06T00:00:00"/>
    <s v="06-Sep-2011"/>
  </r>
  <r>
    <n v="32"/>
    <d v="2011-07-15T00:00:00"/>
    <s v="High"/>
    <s v="15-Jul-2011"/>
    <n v="26"/>
    <n v="2808.08"/>
    <n v="7.0000000000000007E-2"/>
    <s v="Regular Air"/>
    <n v="1054.82"/>
    <n v="107.53"/>
    <n v="5.81"/>
    <s v="Liz Pelletier"/>
    <s v="Alberta"/>
    <x v="6"/>
    <s v="Corporate"/>
    <s v="Furniture"/>
    <x v="7"/>
    <x v="38"/>
    <d v="2011-07-17T00:00:00"/>
    <s v="17-Jul-2011"/>
  </r>
  <r>
    <n v="19652"/>
    <d v="2012-06-02T00:00:00"/>
    <s v="Critical"/>
    <s v="02-Jun-2012"/>
    <n v="28"/>
    <n v="2711.14"/>
    <n v="0.01"/>
    <s v="Delivery Truck"/>
    <n v="-307.86"/>
    <n v="89.99"/>
    <n v="42"/>
    <s v="Tamara Manning"/>
    <s v="Alberta"/>
    <x v="6"/>
    <s v="Corporate"/>
    <s v="Furniture"/>
    <x v="2"/>
    <x v="32"/>
    <d v="2012-06-03T00:00:00"/>
    <s v="03-Jun-2012"/>
  </r>
  <r>
    <n v="55813"/>
    <d v="2012-07-28T00:00:00"/>
    <s v="Low"/>
    <s v="28-Jul-2012"/>
    <n v="39"/>
    <n v="2650.77"/>
    <n v="0.08"/>
    <s v="Regular Air"/>
    <n v="-824.43"/>
    <n v="70.709999999999994"/>
    <n v="37.58"/>
    <s v="Darren Powers"/>
    <s v="Alberta"/>
    <x v="6"/>
    <s v="Corporate"/>
    <s v="Furniture"/>
    <x v="7"/>
    <x v="8"/>
    <d v="2012-07-28T00:00:00"/>
    <s v="28-Jul-2012"/>
  </r>
  <r>
    <n v="16518"/>
    <d v="2012-09-29T00:00:00"/>
    <s v="Critical"/>
    <s v="29-Sep-2012"/>
    <n v="36"/>
    <n v="2628.9225000000001"/>
    <n v="0.03"/>
    <s v="Regular Air"/>
    <n v="832.19"/>
    <n v="85.99"/>
    <n v="0.99"/>
    <s v="Ken Dana"/>
    <s v="Alberta"/>
    <x v="6"/>
    <s v="Corporate"/>
    <s v="Technology"/>
    <x v="10"/>
    <x v="20"/>
    <d v="2012-10-02T00:00:00"/>
    <s v="02-Oct-2012"/>
  </r>
  <r>
    <n v="9639"/>
    <d v="2010-09-05T00:00:00"/>
    <s v="Not Specified"/>
    <s v="05-Sep-2010"/>
    <n v="23"/>
    <n v="2610.8939999999998"/>
    <n v="0"/>
    <s v="Regular Air"/>
    <n v="516.19000000000005"/>
    <n v="125.99"/>
    <n v="5.63"/>
    <s v="Becky Pak"/>
    <s v="Alberta"/>
    <x v="6"/>
    <s v="Corporate"/>
    <s v="Technology"/>
    <x v="10"/>
    <x v="18"/>
    <d v="2010-09-05T00:00:00"/>
    <s v="05-Sep-2010"/>
  </r>
  <r>
    <n v="37542"/>
    <d v="2009-07-20T00:00:00"/>
    <s v="Medium"/>
    <s v="20-Jul-2009"/>
    <n v="26"/>
    <n v="2546.5234999999998"/>
    <n v="0.09"/>
    <s v="Express Air"/>
    <n v="210"/>
    <n v="125.99"/>
    <n v="7.69"/>
    <s v="Adam Shillingsburg"/>
    <s v="Alberta"/>
    <x v="6"/>
    <s v="Corporate"/>
    <s v="Technology"/>
    <x v="10"/>
    <x v="14"/>
    <d v="2009-07-22T00:00:00"/>
    <s v="22-Jul-2009"/>
  </r>
  <r>
    <n v="4389"/>
    <d v="2009-05-04T00:00:00"/>
    <s v="Medium"/>
    <s v="04-May-2009"/>
    <n v="42"/>
    <n v="2455.2759999999998"/>
    <n v="0.04"/>
    <s v="Express Air"/>
    <n v="693.06"/>
    <n v="65.989999999999995"/>
    <n v="5.63"/>
    <s v="Victoria Pisteka"/>
    <s v="Alberta"/>
    <x v="6"/>
    <s v="Corporate"/>
    <s v="Technology"/>
    <x v="10"/>
    <x v="0"/>
    <d v="2009-05-04T00:00:00"/>
    <s v="04-May-2009"/>
  </r>
  <r>
    <n v="39682"/>
    <d v="2010-11-09T00:00:00"/>
    <s v="Medium"/>
    <s v="09-Nov-2010"/>
    <n v="43"/>
    <n v="2337.89"/>
    <n v="0.09"/>
    <s v="Express Air"/>
    <n v="729.34"/>
    <n v="55.48"/>
    <n v="14.3"/>
    <s v="Aaron Bergman"/>
    <s v="Alberta"/>
    <x v="6"/>
    <s v="Corporate"/>
    <s v="Office Supplies"/>
    <x v="12"/>
    <x v="7"/>
    <d v="2010-11-11T00:00:00"/>
    <s v="11-Nov-2010"/>
  </r>
  <r>
    <n v="53798"/>
    <d v="2009-04-19T00:00:00"/>
    <s v="Low"/>
    <s v="19-Apr-2009"/>
    <n v="29"/>
    <n v="2317.65"/>
    <n v="0"/>
    <s v="Regular Air"/>
    <n v="568.6"/>
    <n v="78.650000000000006"/>
    <n v="13.99"/>
    <s v="Kelly Williams"/>
    <s v="Alberta"/>
    <x v="6"/>
    <s v="Corporate"/>
    <s v="Office Supplies"/>
    <x v="5"/>
    <x v="24"/>
    <d v="2009-04-26T00:00:00"/>
    <s v="26-Apr-2009"/>
  </r>
  <r>
    <n v="35652"/>
    <d v="2010-09-21T00:00:00"/>
    <s v="Low"/>
    <s v="21-Sep-2010"/>
    <n v="21"/>
    <n v="2251.56"/>
    <n v="0.01"/>
    <s v="Delivery Truck"/>
    <n v="226.63"/>
    <n v="100.98"/>
    <n v="26.22"/>
    <s v="Rick Wilson"/>
    <s v="Alberta"/>
    <x v="6"/>
    <s v="Corporate"/>
    <s v="Furniture"/>
    <x v="8"/>
    <x v="18"/>
    <d v="2010-09-23T00:00:00"/>
    <s v="23-Sep-2010"/>
  </r>
  <r>
    <n v="7398"/>
    <d v="2009-06-01T00:00:00"/>
    <s v="Not Specified"/>
    <s v="01-Jun-2009"/>
    <n v="34"/>
    <n v="2181.44"/>
    <n v="7.0000000000000007E-2"/>
    <s v="Regular Air"/>
    <n v="-896.34"/>
    <n v="64.650000000000006"/>
    <n v="35"/>
    <s v="Craig Carroll"/>
    <s v="Alberta"/>
    <x v="6"/>
    <s v="Corporate"/>
    <s v="Office Supplies"/>
    <x v="4"/>
    <x v="12"/>
    <d v="2009-06-03T00:00:00"/>
    <s v="03-Jun-2009"/>
  </r>
  <r>
    <n v="6850"/>
    <d v="2010-02-11T00:00:00"/>
    <s v="High"/>
    <s v="11-Feb-2010"/>
    <n v="34"/>
    <n v="2126.7199999999998"/>
    <n v="0.05"/>
    <s v="Regular Air"/>
    <n v="150.04"/>
    <n v="64.98"/>
    <n v="6.88"/>
    <s v="Chuck Clark"/>
    <s v="Alberta"/>
    <x v="6"/>
    <s v="Corporate"/>
    <s v="Office Supplies"/>
    <x v="4"/>
    <x v="33"/>
    <d v="2010-02-13T00:00:00"/>
    <s v="13-Feb-2010"/>
  </r>
  <r>
    <n v="21410"/>
    <d v="2012-05-01T00:00:00"/>
    <s v="Critical"/>
    <s v="01-May-2012"/>
    <n v="16"/>
    <n v="2101.59"/>
    <n v="0.01"/>
    <s v="Express Air"/>
    <n v="554.91"/>
    <n v="123.38"/>
    <n v="24.49"/>
    <s v="Lindsay Castell"/>
    <s v="Alberta"/>
    <x v="6"/>
    <s v="Corporate"/>
    <s v="Office Supplies"/>
    <x v="5"/>
    <x v="29"/>
    <d v="2012-05-03T00:00:00"/>
    <s v="03-May-2012"/>
  </r>
  <r>
    <n v="6850"/>
    <d v="2010-02-11T00:00:00"/>
    <s v="High"/>
    <s v="11-Feb-2010"/>
    <n v="41"/>
    <n v="2088.5"/>
    <n v="0.08"/>
    <s v="Regular Air"/>
    <n v="675.07"/>
    <n v="51.98"/>
    <n v="10.17"/>
    <s v="Chuck Clark"/>
    <s v="Alberta"/>
    <x v="6"/>
    <s v="Corporate"/>
    <s v="Technology"/>
    <x v="0"/>
    <x v="7"/>
    <d v="2010-02-12T00:00:00"/>
    <s v="12-Feb-2010"/>
  </r>
  <r>
    <n v="52673"/>
    <d v="2012-05-08T00:00:00"/>
    <s v="Medium"/>
    <s v="08-May-2012"/>
    <n v="14"/>
    <n v="2045.066"/>
    <n v="7.0000000000000007E-2"/>
    <s v="Regular Air"/>
    <n v="-4.68"/>
    <n v="175.99"/>
    <n v="8.99"/>
    <s v="Ruben Dartt"/>
    <s v="Alberta"/>
    <x v="6"/>
    <s v="Corporate"/>
    <s v="Technology"/>
    <x v="10"/>
    <x v="6"/>
    <d v="2012-05-09T00:00:00"/>
    <s v="09-May-2012"/>
  </r>
  <r>
    <n v="18758"/>
    <d v="2010-04-20T00:00:00"/>
    <s v="Not Specified"/>
    <s v="20-Apr-2010"/>
    <n v="20"/>
    <n v="2022.18"/>
    <n v="0.09"/>
    <s v="Express Air"/>
    <n v="594.44000000000005"/>
    <n v="102.3"/>
    <n v="21.26"/>
    <s v="Liz Pelletier"/>
    <s v="Alberta"/>
    <x v="6"/>
    <s v="Corporate"/>
    <s v="Furniture"/>
    <x v="7"/>
    <x v="14"/>
    <d v="2010-04-22T00:00:00"/>
    <s v="22-Apr-2010"/>
  </r>
  <r>
    <n v="7078"/>
    <d v="2010-04-11T00:00:00"/>
    <s v="High"/>
    <s v="11-Apr-2010"/>
    <n v="16"/>
    <n v="1939.65"/>
    <n v="0.05"/>
    <s v="Delivery Truck"/>
    <n v="-885.73"/>
    <n v="122.99"/>
    <n v="70.2"/>
    <s v="Ricardo Block"/>
    <s v="Alberta"/>
    <x v="6"/>
    <s v="Corporate"/>
    <s v="Furniture"/>
    <x v="2"/>
    <x v="37"/>
    <d v="2010-04-13T00:00:00"/>
    <s v="13-Apr-2010"/>
  </r>
  <r>
    <n v="56834"/>
    <d v="2011-05-01T00:00:00"/>
    <s v="High"/>
    <s v="01-May-2011"/>
    <n v="22"/>
    <n v="1900.47"/>
    <n v="0"/>
    <s v="Delivery Truck"/>
    <n v="202.73"/>
    <n v="80.97"/>
    <n v="30.06"/>
    <s v="Darren Powers"/>
    <s v="Alberta"/>
    <x v="6"/>
    <s v="Corporate"/>
    <s v="Technology"/>
    <x v="0"/>
    <x v="27"/>
    <d v="2011-05-03T00:00:00"/>
    <s v="03-May-2011"/>
  </r>
  <r>
    <n v="57281"/>
    <d v="2010-04-20T00:00:00"/>
    <s v="High"/>
    <s v="20-Apr-2010"/>
    <n v="19"/>
    <n v="1851.62"/>
    <n v="0.09"/>
    <s v="Delivery Truck"/>
    <n v="-220.84"/>
    <n v="100.98"/>
    <n v="35.840000000000003"/>
    <s v="Andy Yotov"/>
    <s v="Alberta"/>
    <x v="6"/>
    <s v="Corporate"/>
    <s v="Furniture"/>
    <x v="8"/>
    <x v="44"/>
    <d v="2010-04-22T00:00:00"/>
    <s v="22-Apr-2010"/>
  </r>
  <r>
    <n v="19652"/>
    <d v="2012-06-02T00:00:00"/>
    <s v="Critical"/>
    <s v="02-Jun-2012"/>
    <n v="34"/>
    <n v="1829.8715"/>
    <n v="0.05"/>
    <s v="Regular Air"/>
    <n v="367.46"/>
    <n v="65.989999999999995"/>
    <n v="3.99"/>
    <s v="Tamara Manning"/>
    <s v="Alberta"/>
    <x v="6"/>
    <s v="Corporate"/>
    <s v="Technology"/>
    <x v="10"/>
    <x v="6"/>
    <d v="2012-06-04T00:00:00"/>
    <s v="04-Jun-2012"/>
  </r>
  <r>
    <n v="21735"/>
    <d v="2010-03-09T00:00:00"/>
    <s v="Not Specified"/>
    <s v="09-Mar-2010"/>
    <n v="14"/>
    <n v="1819.153"/>
    <n v="0.02"/>
    <s v="Regular Air"/>
    <n v="-35.5"/>
    <n v="155.99"/>
    <n v="8.99"/>
    <s v="Liz Pelletier"/>
    <s v="Alberta"/>
    <x v="6"/>
    <s v="Corporate"/>
    <s v="Technology"/>
    <x v="10"/>
    <x v="15"/>
    <d v="2010-03-12T00:00:00"/>
    <s v="12-Mar-2010"/>
  </r>
  <r>
    <n v="37218"/>
    <d v="2010-12-19T00:00:00"/>
    <s v="High"/>
    <s v="19-Dec-2010"/>
    <n v="29"/>
    <n v="1768.13"/>
    <n v="0"/>
    <s v="Regular Air"/>
    <n v="525.54"/>
    <n v="60.97"/>
    <n v="4.5"/>
    <s v="Frank Merwin"/>
    <s v="Alberta"/>
    <x v="6"/>
    <s v="Corporate"/>
    <s v="Office Supplies"/>
    <x v="5"/>
    <x v="0"/>
    <d v="2010-12-21T00:00:00"/>
    <s v="21-Dec-2010"/>
  </r>
  <r>
    <n v="32"/>
    <d v="2011-07-15T00:00:00"/>
    <s v="High"/>
    <s v="15-Jul-2011"/>
    <n v="24"/>
    <n v="1761.4"/>
    <n v="0.09"/>
    <s v="Delivery Truck"/>
    <n v="-1748.56"/>
    <n v="70.89"/>
    <n v="89.3"/>
    <s v="Liz Pelletier"/>
    <s v="Alberta"/>
    <x v="6"/>
    <s v="Corporate"/>
    <s v="Furniture"/>
    <x v="3"/>
    <x v="13"/>
    <d v="2011-07-16T00:00:00"/>
    <s v="16-Jul-2011"/>
  </r>
  <r>
    <n v="51557"/>
    <d v="2011-10-31T00:00:00"/>
    <s v="High"/>
    <s v="31-Oct-2011"/>
    <n v="36"/>
    <n v="1749.07"/>
    <n v="0.04"/>
    <s v="Regular Air"/>
    <n v="804.66"/>
    <n v="48.04"/>
    <n v="5.79"/>
    <s v="Craig Carroll"/>
    <s v="Alberta"/>
    <x v="6"/>
    <s v="Corporate"/>
    <s v="Office Supplies"/>
    <x v="12"/>
    <x v="7"/>
    <d v="2011-11-02T00:00:00"/>
    <s v="02-Nov-2011"/>
  </r>
  <r>
    <n v="20741"/>
    <d v="2010-10-30T00:00:00"/>
    <s v="Low"/>
    <s v="30-Oct-2010"/>
    <n v="43"/>
    <n v="1711.02"/>
    <n v="0.1"/>
    <s v="Regular Air"/>
    <n v="139.63"/>
    <n v="43.98"/>
    <n v="8.99"/>
    <s v="Frank Merwin"/>
    <s v="Alberta"/>
    <x v="6"/>
    <s v="Corporate"/>
    <s v="Office Supplies"/>
    <x v="13"/>
    <x v="15"/>
    <d v="2010-11-06T00:00:00"/>
    <s v="06-Nov-2010"/>
  </r>
  <r>
    <n v="14916"/>
    <d v="2009-02-27T00:00:00"/>
    <s v="Low"/>
    <s v="27-Feb-2009"/>
    <n v="16"/>
    <n v="1685.941"/>
    <n v="7.0000000000000007E-2"/>
    <s v="Express Air"/>
    <n v="21.02"/>
    <n v="125.99"/>
    <n v="8.8000000000000007"/>
    <s v="Cari Sayre"/>
    <s v="Alberta"/>
    <x v="6"/>
    <s v="Corporate"/>
    <s v="Technology"/>
    <x v="10"/>
    <x v="14"/>
    <d v="2009-03-01T00:00:00"/>
    <s v="01-Mar-2009"/>
  </r>
  <r>
    <n v="43296"/>
    <d v="2012-03-03T00:00:00"/>
    <s v="Medium"/>
    <s v="03-Mar-2012"/>
    <n v="41"/>
    <n v="1665.81"/>
    <n v="0.06"/>
    <s v="Regular Air"/>
    <n v="557.52"/>
    <n v="40.98"/>
    <n v="7.47"/>
    <s v="Larry Tron"/>
    <s v="Alberta"/>
    <x v="6"/>
    <s v="Corporate"/>
    <s v="Office Supplies"/>
    <x v="1"/>
    <x v="7"/>
    <d v="2012-03-04T00:00:00"/>
    <s v="04-Mar-2012"/>
  </r>
  <r>
    <n v="358"/>
    <d v="2010-09-19T00:00:00"/>
    <s v="High"/>
    <s v="19-Sep-2010"/>
    <n v="33"/>
    <n v="1640.9"/>
    <n v="0.02"/>
    <s v="Delivery Truck"/>
    <n v="-1348.06"/>
    <n v="48.58"/>
    <n v="54.11"/>
    <s v="Ricardo Block"/>
    <s v="Alberta"/>
    <x v="6"/>
    <s v="Corporate"/>
    <s v="Furniture"/>
    <x v="8"/>
    <x v="39"/>
    <d v="2010-09-21T00:00:00"/>
    <s v="21-Sep-2010"/>
  </r>
  <r>
    <n v="39072"/>
    <d v="2009-02-22T00:00:00"/>
    <s v="High"/>
    <s v="22-Feb-2009"/>
    <n v="50"/>
    <n v="1633.37"/>
    <n v="0.08"/>
    <s v="Regular Air"/>
    <n v="144.69"/>
    <n v="34.99"/>
    <n v="7.73"/>
    <s v="Adam Shillingsburg"/>
    <s v="Alberta"/>
    <x v="6"/>
    <s v="Corporate"/>
    <s v="Office Supplies"/>
    <x v="13"/>
    <x v="14"/>
    <d v="2009-02-23T00:00:00"/>
    <s v="23-Feb-2009"/>
  </r>
  <r>
    <n v="30343"/>
    <d v="2012-05-21T00:00:00"/>
    <s v="Critical"/>
    <s v="21-May-2012"/>
    <n v="48"/>
    <n v="1556.42"/>
    <n v="0"/>
    <s v="Regular Air"/>
    <n v="-60.98"/>
    <n v="30.42"/>
    <n v="8.65"/>
    <s v="Brian DeCherney"/>
    <s v="Alberta"/>
    <x v="6"/>
    <s v="Corporate"/>
    <s v="Technology"/>
    <x v="11"/>
    <x v="37"/>
    <d v="2012-05-22T00:00:00"/>
    <s v="22-May-2012"/>
  </r>
  <r>
    <n v="29761"/>
    <d v="2012-07-03T00:00:00"/>
    <s v="Medium"/>
    <s v="03-Jul-2012"/>
    <n v="48"/>
    <n v="1463.105"/>
    <n v="0.06"/>
    <s v="Regular Air"/>
    <n v="446.99"/>
    <n v="35.99"/>
    <n v="1.25"/>
    <s v="Ken Dana"/>
    <s v="Alberta"/>
    <x v="6"/>
    <s v="Corporate"/>
    <s v="Technology"/>
    <x v="10"/>
    <x v="6"/>
    <d v="2012-07-04T00:00:00"/>
    <s v="04-Jul-2012"/>
  </r>
  <r>
    <n v="3746"/>
    <d v="2009-09-10T00:00:00"/>
    <s v="Not Specified"/>
    <s v="10-Sep-2009"/>
    <n v="14"/>
    <n v="1463.0965000000001"/>
    <n v="0"/>
    <s v="Regular Air"/>
    <n v="162.66999999999999"/>
    <n v="115.99"/>
    <n v="2.5"/>
    <s v="Alan Dominguez"/>
    <s v="Alberta"/>
    <x v="6"/>
    <s v="Corporate"/>
    <s v="Technology"/>
    <x v="10"/>
    <x v="6"/>
    <d v="2009-09-10T00:00:00"/>
    <s v="10-Sep-2009"/>
  </r>
  <r>
    <n v="35173"/>
    <d v="2012-03-13T00:00:00"/>
    <s v="Not Specified"/>
    <s v="13-Mar-2012"/>
    <n v="13"/>
    <n v="1446.2070000000001"/>
    <n v="0.02"/>
    <s v="Regular Air"/>
    <n v="29.56"/>
    <n v="125.99"/>
    <n v="8.08"/>
    <s v="Mike Pelletier"/>
    <s v="Alberta"/>
    <x v="6"/>
    <s v="Corporate"/>
    <s v="Technology"/>
    <x v="10"/>
    <x v="6"/>
    <d v="2012-03-15T00:00:00"/>
    <s v="15-Mar-2012"/>
  </r>
  <r>
    <n v="7552"/>
    <d v="2012-09-10T00:00:00"/>
    <s v="Critical"/>
    <s v="10-Sep-2012"/>
    <n v="47"/>
    <n v="1406.49"/>
    <n v="0.02"/>
    <s v="Regular Air"/>
    <n v="332.52"/>
    <n v="28.15"/>
    <n v="6.17"/>
    <s v="Chuck Clark"/>
    <s v="Alberta"/>
    <x v="6"/>
    <s v="Corporate"/>
    <s v="Office Supplies"/>
    <x v="13"/>
    <x v="20"/>
    <d v="2012-09-12T00:00:00"/>
    <s v="12-Sep-2012"/>
  </r>
  <r>
    <n v="58657"/>
    <d v="2010-03-27T00:00:00"/>
    <s v="Critical"/>
    <s v="27-Mar-2010"/>
    <n v="43"/>
    <n v="1338.12"/>
    <n v="0.04"/>
    <s v="Regular Air"/>
    <n v="519.70000000000005"/>
    <n v="31.78"/>
    <n v="1.99"/>
    <s v="Kelly Williams"/>
    <s v="Alberta"/>
    <x v="6"/>
    <s v="Corporate"/>
    <s v="Technology"/>
    <x v="11"/>
    <x v="22"/>
    <d v="2010-03-29T00:00:00"/>
    <s v="29-Mar-2010"/>
  </r>
  <r>
    <n v="41255"/>
    <d v="2009-10-18T00:00:00"/>
    <s v="Low"/>
    <s v="18-Oct-2009"/>
    <n v="22"/>
    <n v="1333.19"/>
    <n v="0.01"/>
    <s v="Regular Air"/>
    <n v="331.48"/>
    <n v="60.65"/>
    <n v="12.23"/>
    <s v="Christine Abelman"/>
    <s v="Alberta"/>
    <x v="6"/>
    <s v="Corporate"/>
    <s v="Furniture"/>
    <x v="7"/>
    <x v="28"/>
    <d v="2009-10-25T00:00:00"/>
    <s v="25-Oct-2009"/>
  </r>
  <r>
    <n v="43686"/>
    <d v="2011-05-07T00:00:00"/>
    <s v="Medium"/>
    <s v="07-May-2011"/>
    <n v="16"/>
    <n v="1313.64"/>
    <n v="0.05"/>
    <s v="Regular Air"/>
    <n v="284.83999999999997"/>
    <n v="83.1"/>
    <n v="6.13"/>
    <s v="Tom Boeckenhauer"/>
    <s v="Alberta"/>
    <x v="6"/>
    <s v="Corporate"/>
    <s v="Technology"/>
    <x v="11"/>
    <x v="45"/>
    <d v="2011-05-08T00:00:00"/>
    <s v="08-May-2011"/>
  </r>
  <r>
    <n v="8614"/>
    <d v="2009-06-04T00:00:00"/>
    <s v="Low"/>
    <s v="04-Jun-2009"/>
    <n v="13"/>
    <n v="1289.127"/>
    <n v="0.06"/>
    <s v="Regular Air"/>
    <n v="-16.34"/>
    <n v="115.99"/>
    <n v="5.92"/>
    <s v="Tom Boeckenhauer"/>
    <s v="Alberta"/>
    <x v="6"/>
    <s v="Corporate"/>
    <s v="Technology"/>
    <x v="10"/>
    <x v="15"/>
    <d v="2009-06-06T00:00:00"/>
    <s v="06-Jun-2009"/>
  </r>
  <r>
    <n v="10917"/>
    <d v="2012-02-10T00:00:00"/>
    <s v="Critical"/>
    <s v="10-Feb-2012"/>
    <n v="14"/>
    <n v="1281.3579999999999"/>
    <n v="0.09"/>
    <s v="Express Air"/>
    <n v="-90.12"/>
    <n v="115.99"/>
    <n v="5.99"/>
    <s v="Alice McCarthy"/>
    <s v="Alberta"/>
    <x v="6"/>
    <s v="Corporate"/>
    <s v="Technology"/>
    <x v="10"/>
    <x v="6"/>
    <d v="2012-02-12T00:00:00"/>
    <s v="12-Feb-2012"/>
  </r>
  <r>
    <n v="18368"/>
    <d v="2012-11-30T00:00:00"/>
    <s v="Not Specified"/>
    <s v="30-Nov-2012"/>
    <n v="35"/>
    <n v="1275.6099999999999"/>
    <n v="0.08"/>
    <s v="Regular Air"/>
    <n v="517.33000000000004"/>
    <n v="37.94"/>
    <n v="5.08"/>
    <s v="Alyssa Crouse"/>
    <s v="Alberta"/>
    <x v="6"/>
    <s v="Corporate"/>
    <s v="Office Supplies"/>
    <x v="12"/>
    <x v="1"/>
    <d v="2012-12-01T00:00:00"/>
    <s v="01-Dec-2012"/>
  </r>
  <r>
    <n v="18496"/>
    <d v="2009-05-15T00:00:00"/>
    <s v="High"/>
    <s v="15-May-2009"/>
    <n v="29"/>
    <n v="1267.42"/>
    <n v="0.01"/>
    <s v="Regular Air"/>
    <n v="177.79"/>
    <n v="40.99"/>
    <n v="19.989999999999998"/>
    <s v="Larry Tron"/>
    <s v="Alberta"/>
    <x v="6"/>
    <s v="Corporate"/>
    <s v="Office Supplies"/>
    <x v="12"/>
    <x v="10"/>
    <d v="2009-05-18T00:00:00"/>
    <s v="18-May-2009"/>
  </r>
  <r>
    <n v="58981"/>
    <d v="2011-01-31T00:00:00"/>
    <s v="High"/>
    <s v="31-Jan-2011"/>
    <n v="28"/>
    <n v="1262.75"/>
    <n v="7.0000000000000007E-2"/>
    <s v="Regular Air"/>
    <n v="422.23"/>
    <n v="46.89"/>
    <n v="5.0999999999999996"/>
    <s v="Tamara Manning"/>
    <s v="Alberta"/>
    <x v="6"/>
    <s v="Corporate"/>
    <s v="Office Supplies"/>
    <x v="5"/>
    <x v="29"/>
    <d v="2011-02-02T00:00:00"/>
    <s v="02-Feb-2011"/>
  </r>
  <r>
    <n v="358"/>
    <d v="2010-09-19T00:00:00"/>
    <s v="High"/>
    <s v="19-Sep-2010"/>
    <n v="33"/>
    <n v="1235.8699999999999"/>
    <n v="7.0000000000000007E-2"/>
    <s v="Regular Air"/>
    <n v="269.27"/>
    <n v="39.479999999999997"/>
    <n v="1.99"/>
    <s v="Ricardo Block"/>
    <s v="Alberta"/>
    <x v="6"/>
    <s v="Corporate"/>
    <s v="Technology"/>
    <x v="11"/>
    <x v="41"/>
    <d v="2010-09-19T00:00:00"/>
    <s v="19-Sep-2010"/>
  </r>
  <r>
    <n v="9796"/>
    <d v="2010-09-10T00:00:00"/>
    <s v="Critical"/>
    <s v="10-Sep-2010"/>
    <n v="29"/>
    <n v="1222.5899999999999"/>
    <n v="0.02"/>
    <s v="Regular Air"/>
    <n v="501.99"/>
    <n v="40.97"/>
    <n v="1.99"/>
    <s v="Alan Dominguez"/>
    <s v="Alberta"/>
    <x v="6"/>
    <s v="Corporate"/>
    <s v="Technology"/>
    <x v="11"/>
    <x v="22"/>
    <d v="2010-09-11T00:00:00"/>
    <s v="11-Sep-2010"/>
  </r>
  <r>
    <n v="46469"/>
    <d v="2009-08-16T00:00:00"/>
    <s v="Critical"/>
    <s v="16-Aug-2009"/>
    <n v="17"/>
    <n v="1210.72"/>
    <n v="0.05"/>
    <s v="Delivery Truck"/>
    <n v="-382.43"/>
    <n v="70.98"/>
    <n v="30"/>
    <s v="Adam Shillingsburg"/>
    <s v="Alberta"/>
    <x v="6"/>
    <s v="Corporate"/>
    <s v="Furniture"/>
    <x v="2"/>
    <x v="8"/>
    <d v="2009-08-18T00:00:00"/>
    <s v="18-Aug-2009"/>
  </r>
  <r>
    <n v="1060"/>
    <d v="2010-02-20T00:00:00"/>
    <s v="Medium"/>
    <s v="20-Feb-2010"/>
    <n v="30"/>
    <n v="1187.55"/>
    <n v="0"/>
    <s v="Regular Air"/>
    <n v="532.61"/>
    <n v="37.700000000000003"/>
    <n v="2.99"/>
    <s v="Harold Dahlen"/>
    <s v="Alberta"/>
    <x v="6"/>
    <s v="Corporate"/>
    <s v="Office Supplies"/>
    <x v="1"/>
    <x v="2"/>
    <d v="2010-02-22T00:00:00"/>
    <s v="22-Feb-2010"/>
  </r>
  <r>
    <n v="14016"/>
    <d v="2012-07-11T00:00:00"/>
    <s v="Low"/>
    <s v="11-Jul-2012"/>
    <n v="9"/>
    <n v="1137.6199999999999"/>
    <n v="0.05"/>
    <s v="Delivery Truck"/>
    <n v="-284.68"/>
    <n v="124.49"/>
    <n v="51.94"/>
    <s v="Tom Boeckenhauer"/>
    <s v="Alberta"/>
    <x v="6"/>
    <s v="Corporate"/>
    <s v="Furniture"/>
    <x v="3"/>
    <x v="50"/>
    <d v="2012-07-13T00:00:00"/>
    <s v="13-Jul-2012"/>
  </r>
  <r>
    <n v="8387"/>
    <d v="2010-03-20T00:00:00"/>
    <s v="Not Specified"/>
    <s v="20-Mar-2010"/>
    <n v="35"/>
    <n v="1133.96"/>
    <n v="0.02"/>
    <s v="Regular Air"/>
    <n v="185.09"/>
    <n v="31.74"/>
    <n v="12.62"/>
    <s v="Tamara Manning"/>
    <s v="Alberta"/>
    <x v="6"/>
    <s v="Corporate"/>
    <s v="Office Supplies"/>
    <x v="1"/>
    <x v="7"/>
    <d v="2010-03-21T00:00:00"/>
    <s v="21-Mar-2010"/>
  </r>
  <r>
    <n v="9639"/>
    <d v="2010-09-05T00:00:00"/>
    <s v="Not Specified"/>
    <s v="05-Sep-2010"/>
    <n v="47"/>
    <n v="1124.3"/>
    <n v="0.1"/>
    <s v="Delivery Truck"/>
    <n v="-335.22"/>
    <n v="25.98"/>
    <n v="14.36"/>
    <s v="Becky Pak"/>
    <s v="Alberta"/>
    <x v="6"/>
    <s v="Corporate"/>
    <s v="Furniture"/>
    <x v="2"/>
    <x v="18"/>
    <d v="2010-09-07T00:00:00"/>
    <s v="07-Sep-2010"/>
  </r>
  <r>
    <n v="32325"/>
    <d v="2012-11-01T00:00:00"/>
    <s v="Critical"/>
    <s v="01-Nov-2012"/>
    <n v="45"/>
    <n v="1103.73"/>
    <n v="0"/>
    <s v="Regular Air"/>
    <n v="189.28"/>
    <n v="22.98"/>
    <n v="7.58"/>
    <s v="Darren Powers"/>
    <s v="Alberta"/>
    <x v="6"/>
    <s v="Corporate"/>
    <s v="Furniture"/>
    <x v="7"/>
    <x v="51"/>
    <d v="2012-11-02T00:00:00"/>
    <s v="02-Nov-2012"/>
  </r>
  <r>
    <n v="29761"/>
    <d v="2012-07-03T00:00:00"/>
    <s v="Medium"/>
    <s v="03-Jul-2012"/>
    <n v="42"/>
    <n v="1085.4000000000001"/>
    <n v="0.02"/>
    <s v="Regular Air"/>
    <n v="262.32"/>
    <n v="25.98"/>
    <n v="5.37"/>
    <s v="Ken Dana"/>
    <s v="Alberta"/>
    <x v="6"/>
    <s v="Corporate"/>
    <s v="Office Supplies"/>
    <x v="5"/>
    <x v="31"/>
    <d v="2012-07-06T00:00:00"/>
    <s v="06-Jul-2012"/>
  </r>
  <r>
    <n v="18593"/>
    <d v="2011-09-22T00:00:00"/>
    <s v="High"/>
    <s v="22-Sep-2011"/>
    <n v="19"/>
    <n v="1051.992"/>
    <n v="0.09"/>
    <s v="Delivery Truck"/>
    <n v="-1280.5999999999999"/>
    <n v="70.89"/>
    <n v="89.3"/>
    <s v="Tamara Manning"/>
    <s v="Alberta"/>
    <x v="6"/>
    <s v="Corporate"/>
    <s v="Furniture"/>
    <x v="3"/>
    <x v="13"/>
    <d v="2011-09-24T00:00:00"/>
    <s v="24-Sep-2011"/>
  </r>
  <r>
    <n v="34338"/>
    <d v="2010-06-30T00:00:00"/>
    <s v="Low"/>
    <s v="30-Jun-2010"/>
    <n v="26"/>
    <n v="1050.1600000000001"/>
    <n v="0.04"/>
    <s v="Express Air"/>
    <n v="265.08999999999997"/>
    <n v="38.76"/>
    <n v="13.26"/>
    <s v="Sonia Cooley"/>
    <s v="Alberta"/>
    <x v="6"/>
    <s v="Corporate"/>
    <s v="Office Supplies"/>
    <x v="12"/>
    <x v="10"/>
    <d v="2010-07-05T00:00:00"/>
    <s v="05-Jul-2010"/>
  </r>
  <r>
    <n v="52706"/>
    <d v="2012-07-09T00:00:00"/>
    <s v="Low"/>
    <s v="09-Jul-2012"/>
    <n v="34"/>
    <n v="1041.6600000000001"/>
    <n v="0.02"/>
    <s v="Express Air"/>
    <n v="480.53"/>
    <n v="28.53"/>
    <n v="1.49"/>
    <s v="Harry Greene"/>
    <s v="Alberta"/>
    <x v="6"/>
    <s v="Corporate"/>
    <s v="Office Supplies"/>
    <x v="1"/>
    <x v="1"/>
    <d v="2012-07-16T00:00:00"/>
    <s v="16-Jul-2012"/>
  </r>
  <r>
    <n v="18496"/>
    <d v="2009-05-15T00:00:00"/>
    <s v="High"/>
    <s v="15-May-2009"/>
    <n v="30"/>
    <n v="991.01"/>
    <n v="0.01"/>
    <s v="Regular Air"/>
    <n v="46.29"/>
    <n v="30.98"/>
    <n v="6.5"/>
    <s v="Larry Tron"/>
    <s v="Alberta"/>
    <x v="6"/>
    <s v="Corporate"/>
    <s v="Technology"/>
    <x v="11"/>
    <x v="28"/>
    <d v="2009-05-16T00:00:00"/>
    <s v="16-May-2009"/>
  </r>
  <r>
    <n v="14883"/>
    <d v="2011-05-06T00:00:00"/>
    <s v="Low"/>
    <s v="06-May-2011"/>
    <n v="38"/>
    <n v="978.4"/>
    <n v="7.0000000000000007E-2"/>
    <s v="Delivery Truck"/>
    <n v="-211.58"/>
    <n v="25.98"/>
    <n v="14.36"/>
    <s v="Jason Fortune"/>
    <s v="Alberta"/>
    <x v="6"/>
    <s v="Corporate"/>
    <s v="Furniture"/>
    <x v="2"/>
    <x v="18"/>
    <d v="2011-05-11T00:00:00"/>
    <s v="11-May-2011"/>
  </r>
  <r>
    <n v="14563"/>
    <d v="2011-12-02T00:00:00"/>
    <s v="Critical"/>
    <s v="02-Dec-2011"/>
    <n v="31"/>
    <n v="953.04549999999995"/>
    <n v="0.02"/>
    <s v="Regular Air"/>
    <n v="298.47000000000003"/>
    <n v="35.99"/>
    <n v="5.99"/>
    <s v="Becky Pak"/>
    <s v="Alberta"/>
    <x v="6"/>
    <s v="Corporate"/>
    <s v="Technology"/>
    <x v="10"/>
    <x v="1"/>
    <d v="2011-12-03T00:00:00"/>
    <s v="03-Dec-2011"/>
  </r>
  <r>
    <n v="45511"/>
    <d v="2010-08-21T00:00:00"/>
    <s v="Low"/>
    <s v="21-Aug-2010"/>
    <n v="31"/>
    <n v="951.31"/>
    <n v="0.08"/>
    <s v="Delivery Truck"/>
    <n v="-1099.46"/>
    <n v="31.76"/>
    <n v="45.51"/>
    <s v="Sonia Cooley"/>
    <s v="Alberta"/>
    <x v="6"/>
    <s v="Corporate"/>
    <s v="Furniture"/>
    <x v="3"/>
    <x v="38"/>
    <d v="2010-08-28T00:00:00"/>
    <s v="28-Aug-2010"/>
  </r>
  <r>
    <n v="41154"/>
    <d v="2009-04-30T00:00:00"/>
    <s v="Low"/>
    <s v="30-Apr-2009"/>
    <n v="43"/>
    <n v="938.37"/>
    <n v="0.02"/>
    <s v="Regular Air"/>
    <n v="251.17"/>
    <n v="21.98"/>
    <n v="2.87"/>
    <s v="Roger Barcio"/>
    <s v="Alberta"/>
    <x v="6"/>
    <s v="Corporate"/>
    <s v="Office Supplies"/>
    <x v="13"/>
    <x v="20"/>
    <d v="2009-05-02T00:00:00"/>
    <s v="02-May-2009"/>
  </r>
  <r>
    <n v="35684"/>
    <d v="2011-08-03T00:00:00"/>
    <s v="Low"/>
    <s v="03-Aug-2011"/>
    <n v="10"/>
    <n v="910.98"/>
    <n v="7.0000000000000007E-2"/>
    <s v="Regular Air"/>
    <n v="18.77"/>
    <n v="96.45"/>
    <n v="13.99"/>
    <s v="Cari Sayre"/>
    <s v="Alberta"/>
    <x v="6"/>
    <s v="Corporate"/>
    <s v="Technology"/>
    <x v="0"/>
    <x v="1"/>
    <d v="2011-08-08T00:00:00"/>
    <s v="08-Aug-2011"/>
  </r>
  <r>
    <n v="11972"/>
    <d v="2009-01-03T00:00:00"/>
    <s v="Not Specified"/>
    <s v="03-Jan-2009"/>
    <n v="4"/>
    <n v="896.49"/>
    <n v="0"/>
    <s v="Delivery Truck"/>
    <n v="-452.27"/>
    <n v="213.45"/>
    <n v="14.7"/>
    <s v="Ann Steele"/>
    <s v="Alberta"/>
    <x v="6"/>
    <s v="Corporate"/>
    <s v="Technology"/>
    <x v="0"/>
    <x v="14"/>
    <d v="2009-01-05T00:00:00"/>
    <s v="05-Jan-2009"/>
  </r>
  <r>
    <n v="2659"/>
    <d v="2010-12-17T00:00:00"/>
    <s v="Not Specified"/>
    <s v="17-Dec-2010"/>
    <n v="50"/>
    <n v="881.65"/>
    <n v="0.08"/>
    <s v="Regular Air"/>
    <n v="41.27"/>
    <n v="18.97"/>
    <n v="9.0299999999999994"/>
    <s v="Alice McCarthy"/>
    <s v="Alberta"/>
    <x v="6"/>
    <s v="Corporate"/>
    <s v="Office Supplies"/>
    <x v="12"/>
    <x v="7"/>
    <d v="2010-12-19T00:00:00"/>
    <s v="19-Dec-2010"/>
  </r>
  <r>
    <n v="25603"/>
    <d v="2011-03-05T00:00:00"/>
    <s v="Low"/>
    <s v="05-Mar-2011"/>
    <n v="23"/>
    <n v="862.64"/>
    <n v="0.04"/>
    <s v="Regular Air"/>
    <n v="122.11"/>
    <n v="35.89"/>
    <n v="14.72"/>
    <s v="Alyssa Crouse"/>
    <s v="Alberta"/>
    <x v="6"/>
    <s v="Corporate"/>
    <s v="Office Supplies"/>
    <x v="15"/>
    <x v="27"/>
    <d v="2011-03-07T00:00:00"/>
    <s v="07-Mar-2011"/>
  </r>
  <r>
    <n v="16805"/>
    <d v="2011-12-30T00:00:00"/>
    <s v="Low"/>
    <s v="30-Dec-2011"/>
    <n v="29"/>
    <n v="852.75"/>
    <n v="0.08"/>
    <s v="Regular Air"/>
    <n v="358.73"/>
    <n v="30.44"/>
    <n v="1.49"/>
    <s v="Alice McCarthy"/>
    <s v="Alberta"/>
    <x v="6"/>
    <s v="Corporate"/>
    <s v="Office Supplies"/>
    <x v="1"/>
    <x v="7"/>
    <d v="2012-01-01T00:00:00"/>
    <s v="01-Jan-2012"/>
  </r>
  <r>
    <n v="1280"/>
    <d v="2010-01-10T00:00:00"/>
    <s v="Low"/>
    <s v="10-Jan-2010"/>
    <n v="40"/>
    <n v="827.27"/>
    <n v="0.05"/>
    <s v="Regular Air"/>
    <n v="-170.87"/>
    <n v="20.97"/>
    <n v="6.5"/>
    <s v="Harold Dahlen"/>
    <s v="Alberta"/>
    <x v="6"/>
    <s v="Corporate"/>
    <s v="Technology"/>
    <x v="11"/>
    <x v="8"/>
    <d v="2010-01-10T00:00:00"/>
    <s v="10-Jan-2010"/>
  </r>
  <r>
    <n v="36292"/>
    <d v="2010-02-07T00:00:00"/>
    <s v="Critical"/>
    <s v="07-Feb-2010"/>
    <n v="37"/>
    <n v="816.65"/>
    <n v="0.09"/>
    <s v="Regular Air"/>
    <n v="-182.8"/>
    <n v="22.84"/>
    <n v="16.87"/>
    <s v="Christine Abelman"/>
    <s v="Alberta"/>
    <x v="6"/>
    <s v="Corporate"/>
    <s v="Office Supplies"/>
    <x v="12"/>
    <x v="4"/>
    <d v="2010-02-07T00:00:00"/>
    <s v="07-Feb-2010"/>
  </r>
  <r>
    <n v="22375"/>
    <d v="2011-04-07T00:00:00"/>
    <s v="Not Specified"/>
    <s v="07-Apr-2011"/>
    <n v="43"/>
    <n v="816.11"/>
    <n v="0.04"/>
    <s v="Regular Air"/>
    <n v="66.14"/>
    <n v="18.97"/>
    <n v="9.5399999999999991"/>
    <s v="Christine Abelman"/>
    <s v="Alberta"/>
    <x v="6"/>
    <s v="Corporate"/>
    <s v="Office Supplies"/>
    <x v="12"/>
    <x v="7"/>
    <d v="2011-04-08T00:00:00"/>
    <s v="08-Apr-2011"/>
  </r>
  <r>
    <n v="30913"/>
    <d v="2012-09-22T00:00:00"/>
    <s v="Medium"/>
    <s v="22-Sep-2012"/>
    <n v="36"/>
    <n v="795.52"/>
    <n v="0.08"/>
    <s v="Regular Air"/>
    <n v="290.64"/>
    <n v="22.24"/>
    <n v="1.99"/>
    <s v="Roy Phan"/>
    <s v="Alberta"/>
    <x v="6"/>
    <s v="Corporate"/>
    <s v="Technology"/>
    <x v="11"/>
    <x v="21"/>
    <d v="2012-09-24T00:00:00"/>
    <s v="24-Sep-2012"/>
  </r>
  <r>
    <n v="31043"/>
    <d v="2009-07-15T00:00:00"/>
    <s v="High"/>
    <s v="15-Jul-2009"/>
    <n v="49"/>
    <n v="772.42"/>
    <n v="0.02"/>
    <s v="Regular Air"/>
    <n v="299.33"/>
    <n v="15.28"/>
    <n v="1.99"/>
    <s v="Bobby Odegard"/>
    <s v="Alberta"/>
    <x v="6"/>
    <s v="Corporate"/>
    <s v="Technology"/>
    <x v="11"/>
    <x v="22"/>
    <d v="2009-07-16T00:00:00"/>
    <s v="16-Jul-2009"/>
  </r>
  <r>
    <n v="13282"/>
    <d v="2012-05-09T00:00:00"/>
    <s v="Low"/>
    <s v="09-May-2012"/>
    <n v="22"/>
    <n v="763.85"/>
    <n v="0.09"/>
    <s v="Regular Air"/>
    <n v="-126.6"/>
    <n v="34.979999999999997"/>
    <n v="7.53"/>
    <s v="Roy Phan"/>
    <s v="Alberta"/>
    <x v="6"/>
    <s v="Corporate"/>
    <s v="Technology"/>
    <x v="11"/>
    <x v="40"/>
    <d v="2012-05-14T00:00:00"/>
    <s v="14-May-2012"/>
  </r>
  <r>
    <n v="12481"/>
    <d v="2011-07-10T00:00:00"/>
    <s v="Critical"/>
    <s v="10-Jul-2011"/>
    <n v="37"/>
    <n v="744"/>
    <n v="0.04"/>
    <s v="Regular Air"/>
    <n v="215.8"/>
    <n v="20.89"/>
    <n v="1.99"/>
    <s v="Chuck Clark"/>
    <s v="Alberta"/>
    <x v="6"/>
    <s v="Corporate"/>
    <s v="Technology"/>
    <x v="11"/>
    <x v="23"/>
    <d v="2011-07-12T00:00:00"/>
    <s v="12-Jul-2011"/>
  </r>
  <r>
    <n v="35811"/>
    <d v="2012-01-03T00:00:00"/>
    <s v="Critical"/>
    <s v="03-Jan-2012"/>
    <n v="49"/>
    <n v="741.57"/>
    <n v="0.1"/>
    <s v="Regular Air"/>
    <n v="352.41"/>
    <n v="15.57"/>
    <n v="1.39"/>
    <s v="Chuck Clark"/>
    <s v="Alberta"/>
    <x v="6"/>
    <s v="Corporate"/>
    <s v="Office Supplies"/>
    <x v="15"/>
    <x v="1"/>
    <d v="2012-01-04T00:00:00"/>
    <s v="04-Jan-2012"/>
  </r>
  <r>
    <n v="44005"/>
    <d v="2010-09-03T00:00:00"/>
    <s v="Medium"/>
    <s v="03-Sep-2010"/>
    <n v="7"/>
    <n v="733.36"/>
    <n v="0.02"/>
    <s v="Regular Air"/>
    <n v="-270.48"/>
    <n v="99.99"/>
    <n v="19.989999999999998"/>
    <s v="Shaun Chance"/>
    <s v="Alberta"/>
    <x v="6"/>
    <s v="Corporate"/>
    <s v="Technology"/>
    <x v="11"/>
    <x v="24"/>
    <d v="2010-09-04T00:00:00"/>
    <s v="04-Sep-2010"/>
  </r>
  <r>
    <n v="59942"/>
    <d v="2009-02-08T00:00:00"/>
    <s v="Medium"/>
    <s v="08-Feb-2009"/>
    <n v="47"/>
    <n v="714.46"/>
    <n v="7.0000000000000007E-2"/>
    <s v="Regular Air"/>
    <n v="-268.64999999999998"/>
    <n v="15.98"/>
    <n v="8.99"/>
    <s v="Max Engle"/>
    <s v="Alberta"/>
    <x v="6"/>
    <s v="Corporate"/>
    <s v="Technology"/>
    <x v="11"/>
    <x v="28"/>
    <d v="2009-02-10T00:00:00"/>
    <s v="10-Feb-2009"/>
  </r>
  <r>
    <n v="11846"/>
    <d v="2010-04-20T00:00:00"/>
    <s v="Low"/>
    <s v="20-Apr-2010"/>
    <n v="28"/>
    <n v="707.44"/>
    <n v="0.01"/>
    <s v="Express Air"/>
    <n v="-50.27"/>
    <n v="24.98"/>
    <n v="8.7899999999999991"/>
    <s v="Ken Dana"/>
    <s v="Alberta"/>
    <x v="6"/>
    <s v="Corporate"/>
    <s v="Office Supplies"/>
    <x v="4"/>
    <x v="32"/>
    <d v="2010-04-27T00:00:00"/>
    <s v="27-Apr-2010"/>
  </r>
  <r>
    <n v="45668"/>
    <d v="2010-12-12T00:00:00"/>
    <s v="Not Specified"/>
    <s v="12-Dec-2010"/>
    <n v="8"/>
    <n v="704.77"/>
    <n v="0.01"/>
    <s v="Delivery Truck"/>
    <n v="-298.89999999999998"/>
    <n v="81.94"/>
    <n v="55.81"/>
    <s v="Shaun Chance"/>
    <s v="Alberta"/>
    <x v="6"/>
    <s v="Corporate"/>
    <s v="Furniture"/>
    <x v="8"/>
    <x v="18"/>
    <d v="2010-12-13T00:00:00"/>
    <s v="13-Dec-2010"/>
  </r>
  <r>
    <n v="4199"/>
    <d v="2012-02-12T00:00:00"/>
    <s v="Critical"/>
    <s v="12-Feb-2012"/>
    <n v="43"/>
    <n v="639.71"/>
    <n v="0.01"/>
    <s v="Express Air"/>
    <n v="102.53"/>
    <n v="14.2"/>
    <n v="5.3"/>
    <s v="Bruce Money"/>
    <s v="Alberta"/>
    <x v="6"/>
    <s v="Corporate"/>
    <s v="Furniture"/>
    <x v="7"/>
    <x v="29"/>
    <d v="2012-02-13T00:00:00"/>
    <s v="13-Feb-2012"/>
  </r>
  <r>
    <n v="36387"/>
    <d v="2011-11-07T00:00:00"/>
    <s v="High"/>
    <s v="07-Nov-2011"/>
    <n v="32"/>
    <n v="616.39"/>
    <n v="0.09"/>
    <s v="Regular Air"/>
    <n v="148.28"/>
    <n v="20.89"/>
    <n v="1.99"/>
    <s v="Brian DeCherney"/>
    <s v="Alberta"/>
    <x v="6"/>
    <s v="Corporate"/>
    <s v="Technology"/>
    <x v="11"/>
    <x v="23"/>
    <d v="2011-11-10T00:00:00"/>
    <s v="10-Nov-2011"/>
  </r>
  <r>
    <n v="7552"/>
    <d v="2012-09-10T00:00:00"/>
    <s v="Critical"/>
    <s v="10-Sep-2012"/>
    <n v="49"/>
    <n v="587.71"/>
    <n v="0.09"/>
    <s v="Regular Air"/>
    <n v="26.28"/>
    <n v="12.98"/>
    <n v="3.14"/>
    <s v="Chuck Clark"/>
    <s v="Alberta"/>
    <x v="6"/>
    <s v="Corporate"/>
    <s v="Office Supplies"/>
    <x v="14"/>
    <x v="18"/>
    <d v="2012-09-12T00:00:00"/>
    <s v="12-Sep-2012"/>
  </r>
  <r>
    <n v="43911"/>
    <d v="2009-01-14T00:00:00"/>
    <s v="Medium"/>
    <s v="14-Jan-2009"/>
    <n v="29"/>
    <n v="577.89"/>
    <n v="0.06"/>
    <s v="Regular Air"/>
    <n v="-53.89"/>
    <n v="19.989999999999998"/>
    <n v="11.17"/>
    <s v="Tamara Manning"/>
    <s v="Alberta"/>
    <x v="6"/>
    <s v="Corporate"/>
    <s v="Furniture"/>
    <x v="7"/>
    <x v="18"/>
    <d v="2009-01-14T00:00:00"/>
    <s v="14-Jan-2009"/>
  </r>
  <r>
    <n v="11648"/>
    <d v="2011-04-09T00:00:00"/>
    <s v="Low"/>
    <s v="09-Apr-2011"/>
    <n v="33"/>
    <n v="570.51"/>
    <n v="0"/>
    <s v="Regular Air"/>
    <n v="-142.75"/>
    <n v="16.739999999999998"/>
    <n v="7.04"/>
    <s v="Brian DeCherney"/>
    <s v="Alberta"/>
    <x v="6"/>
    <s v="Corporate"/>
    <s v="Office Supplies"/>
    <x v="4"/>
    <x v="43"/>
    <d v="2011-04-09T00:00:00"/>
    <s v="09-Apr-2011"/>
  </r>
  <r>
    <n v="57281"/>
    <d v="2010-04-20T00:00:00"/>
    <s v="High"/>
    <s v="20-Apr-2010"/>
    <n v="26"/>
    <n v="561.66"/>
    <n v="7.0000000000000007E-2"/>
    <s v="Regular Air"/>
    <n v="-111.33"/>
    <n v="22.38"/>
    <n v="15.1"/>
    <s v="Andy Yotov"/>
    <s v="Alberta"/>
    <x v="6"/>
    <s v="Corporate"/>
    <s v="Office Supplies"/>
    <x v="1"/>
    <x v="1"/>
    <d v="2010-04-20T00:00:00"/>
    <s v="20-Apr-2010"/>
  </r>
  <r>
    <n v="24260"/>
    <d v="2010-10-03T00:00:00"/>
    <s v="Not Specified"/>
    <s v="03-Oct-2010"/>
    <n v="48"/>
    <n v="548.29999999999995"/>
    <n v="0.09"/>
    <s v="Express Air"/>
    <n v="-47.92"/>
    <n v="11.97"/>
    <n v="4.9800000000000004"/>
    <s v="Roger Barcio"/>
    <s v="Alberta"/>
    <x v="6"/>
    <s v="Corporate"/>
    <s v="Office Supplies"/>
    <x v="5"/>
    <x v="15"/>
    <d v="2010-10-04T00:00:00"/>
    <s v="04-Oct-2010"/>
  </r>
  <r>
    <n v="52357"/>
    <d v="2009-09-03T00:00:00"/>
    <s v="Not Specified"/>
    <s v="03-Sep-2009"/>
    <n v="49"/>
    <n v="541.47"/>
    <n v="0.05"/>
    <s v="Regular Air"/>
    <n v="90.62"/>
    <n v="10.98"/>
    <n v="4.8"/>
    <s v="Bobby Odegard"/>
    <s v="Alberta"/>
    <x v="6"/>
    <s v="Corporate"/>
    <s v="Office Supplies"/>
    <x v="15"/>
    <x v="10"/>
    <d v="2009-09-05T00:00:00"/>
    <s v="05-Sep-2009"/>
  </r>
  <r>
    <n v="5347"/>
    <d v="2011-02-21T00:00:00"/>
    <s v="Medium"/>
    <s v="21-Feb-2011"/>
    <n v="7"/>
    <n v="525.55499999999995"/>
    <n v="0.04"/>
    <s v="Regular Air"/>
    <n v="-60.67"/>
    <n v="85.99"/>
    <n v="1.25"/>
    <s v="Kelly Williams"/>
    <s v="Alberta"/>
    <x v="6"/>
    <s v="Corporate"/>
    <s v="Technology"/>
    <x v="10"/>
    <x v="4"/>
    <d v="2011-02-23T00:00:00"/>
    <s v="23-Feb-2011"/>
  </r>
  <r>
    <n v="20128"/>
    <d v="2009-08-31T00:00:00"/>
    <s v="Not Specified"/>
    <s v="31-Aug-2009"/>
    <n v="5"/>
    <n v="515.22"/>
    <n v="0.03"/>
    <s v="Regular Air"/>
    <n v="-152.54"/>
    <n v="95.43"/>
    <n v="19.989999999999998"/>
    <s v="Chuck Clark"/>
    <s v="Alberta"/>
    <x v="6"/>
    <s v="Corporate"/>
    <s v="Office Supplies"/>
    <x v="4"/>
    <x v="11"/>
    <d v="2009-09-02T00:00:00"/>
    <s v="02-Sep-2009"/>
  </r>
  <r>
    <n v="39075"/>
    <d v="2012-02-19T00:00:00"/>
    <s v="Not Specified"/>
    <s v="19-Feb-2012"/>
    <n v="50"/>
    <n v="512.33000000000004"/>
    <n v="0.01"/>
    <s v="Regular Air"/>
    <n v="250.66"/>
    <n v="10.35"/>
    <n v="0.99"/>
    <s v="Quincy Jones"/>
    <s v="Alberta"/>
    <x v="6"/>
    <s v="Corporate"/>
    <s v="Office Supplies"/>
    <x v="9"/>
    <x v="7"/>
    <d v="2012-02-20T00:00:00"/>
    <s v="20-Feb-2012"/>
  </r>
  <r>
    <n v="25824"/>
    <d v="2009-09-04T00:00:00"/>
    <s v="Medium"/>
    <s v="04-Sep-2009"/>
    <n v="6"/>
    <n v="507.56049999999999"/>
    <n v="0.04"/>
    <s v="Regular Air"/>
    <n v="-258.23"/>
    <n v="95.99"/>
    <n v="4.9000000000000004"/>
    <s v="Christine Abelman"/>
    <s v="Alberta"/>
    <x v="6"/>
    <s v="Corporate"/>
    <s v="Technology"/>
    <x v="10"/>
    <x v="0"/>
    <d v="2009-09-06T00:00:00"/>
    <s v="06-Sep-2009"/>
  </r>
  <r>
    <n v="30913"/>
    <d v="2012-09-22T00:00:00"/>
    <s v="Medium"/>
    <s v="22-Sep-2012"/>
    <n v="24"/>
    <n v="496.62"/>
    <n v="7.0000000000000007E-2"/>
    <s v="Express Air"/>
    <n v="49.86"/>
    <n v="19.98"/>
    <n v="10.49"/>
    <s v="Roy Phan"/>
    <s v="Alberta"/>
    <x v="6"/>
    <s v="Corporate"/>
    <s v="Furniture"/>
    <x v="7"/>
    <x v="19"/>
    <d v="2012-09-24T00:00:00"/>
    <s v="24-Sep-2012"/>
  </r>
  <r>
    <n v="36998"/>
    <d v="2012-09-29T00:00:00"/>
    <s v="Low"/>
    <s v="29-Sep-2012"/>
    <n v="50"/>
    <n v="481.23"/>
    <n v="7.0000000000000007E-2"/>
    <s v="Regular Air"/>
    <n v="-409.24"/>
    <n v="9.98"/>
    <n v="12.52"/>
    <s v="Christine Abelman"/>
    <s v="Alberta"/>
    <x v="6"/>
    <s v="Corporate"/>
    <s v="Furniture"/>
    <x v="7"/>
    <x v="6"/>
    <d v="2012-10-04T00:00:00"/>
    <s v="04-Oct-2012"/>
  </r>
  <r>
    <n v="26947"/>
    <d v="2010-06-04T00:00:00"/>
    <s v="High"/>
    <s v="04-Jun-2010"/>
    <n v="4"/>
    <n v="467.15"/>
    <n v="0.01"/>
    <s v="Delivery Truck"/>
    <n v="-212.34"/>
    <n v="100.8"/>
    <n v="60"/>
    <s v="Bruce Money"/>
    <s v="Alberta"/>
    <x v="6"/>
    <s v="Corporate"/>
    <s v="Furniture"/>
    <x v="3"/>
    <x v="14"/>
    <d v="2010-06-07T00:00:00"/>
    <s v="07-Jun-2010"/>
  </r>
  <r>
    <n v="7078"/>
    <d v="2010-04-11T00:00:00"/>
    <s v="High"/>
    <s v="11-Apr-2010"/>
    <n v="29"/>
    <n v="465.52"/>
    <n v="0.02"/>
    <s v="Express Air"/>
    <n v="65.349999999999994"/>
    <n v="14.98"/>
    <n v="8.99"/>
    <s v="Ricardo Block"/>
    <s v="Alberta"/>
    <x v="6"/>
    <s v="Corporate"/>
    <s v="Furniture"/>
    <x v="7"/>
    <x v="4"/>
    <d v="2010-04-12T00:00:00"/>
    <s v="12-Apr-2010"/>
  </r>
  <r>
    <n v="38914"/>
    <d v="2012-05-30T00:00:00"/>
    <s v="Medium"/>
    <s v="30-May-2012"/>
    <n v="43"/>
    <n v="447.12"/>
    <n v="0.08"/>
    <s v="Regular Air"/>
    <n v="-14.27"/>
    <n v="10.64"/>
    <n v="5.16"/>
    <s v="Alyssa Crouse"/>
    <s v="Alberta"/>
    <x v="6"/>
    <s v="Corporate"/>
    <s v="Furniture"/>
    <x v="7"/>
    <x v="6"/>
    <d v="2012-05-31T00:00:00"/>
    <s v="31-May-2012"/>
  </r>
  <r>
    <n v="36101"/>
    <d v="2012-08-20T00:00:00"/>
    <s v="High"/>
    <s v="20-Aug-2012"/>
    <n v="3"/>
    <n v="446.05"/>
    <n v="0.09"/>
    <s v="Delivery Truck"/>
    <n v="-271.26"/>
    <n v="140.97999999999999"/>
    <n v="53.48"/>
    <s v="Ann Steele"/>
    <s v="Alberta"/>
    <x v="6"/>
    <s v="Corporate"/>
    <s v="Furniture"/>
    <x v="8"/>
    <x v="38"/>
    <d v="2012-08-21T00:00:00"/>
    <s v="21-Aug-2012"/>
  </r>
  <r>
    <n v="51842"/>
    <d v="2011-11-28T00:00:00"/>
    <s v="Low"/>
    <s v="28-Nov-2011"/>
    <n v="4"/>
    <n v="431.11"/>
    <n v="7.0000000000000007E-2"/>
    <s v="Regular Air"/>
    <n v="-244.33"/>
    <n v="101.41"/>
    <n v="35"/>
    <s v="Tamara Manning"/>
    <s v="Alberta"/>
    <x v="6"/>
    <s v="Corporate"/>
    <s v="Office Supplies"/>
    <x v="4"/>
    <x v="5"/>
    <d v="2011-12-02T00:00:00"/>
    <s v="02-Dec-2011"/>
  </r>
  <r>
    <n v="40102"/>
    <d v="2011-02-03T00:00:00"/>
    <s v="Medium"/>
    <s v="03-Feb-2011"/>
    <n v="46"/>
    <n v="412.37"/>
    <n v="0.06"/>
    <s v="Express Air"/>
    <n v="2.71"/>
    <n v="8.67"/>
    <n v="3.5"/>
    <s v="Alice McCarthy"/>
    <s v="Alberta"/>
    <x v="6"/>
    <s v="Corporate"/>
    <s v="Office Supplies"/>
    <x v="5"/>
    <x v="15"/>
    <d v="2011-02-05T00:00:00"/>
    <s v="05-Feb-2011"/>
  </r>
  <r>
    <n v="11169"/>
    <d v="2010-05-21T00:00:00"/>
    <s v="Medium"/>
    <s v="21-May-2010"/>
    <n v="46"/>
    <n v="398.86"/>
    <n v="0.08"/>
    <s v="Regular Air"/>
    <n v="-26.45"/>
    <n v="8.85"/>
    <n v="5.6"/>
    <s v="Christine Abelman"/>
    <s v="Alberta"/>
    <x v="6"/>
    <s v="Corporate"/>
    <s v="Office Supplies"/>
    <x v="1"/>
    <x v="10"/>
    <d v="2010-05-22T00:00:00"/>
    <s v="22-May-2010"/>
  </r>
  <r>
    <n v="12481"/>
    <d v="2011-07-10T00:00:00"/>
    <s v="Critical"/>
    <s v="10-Jul-2011"/>
    <n v="12"/>
    <n v="388.86649999999997"/>
    <n v="0.01"/>
    <s v="Regular Air"/>
    <n v="103.05"/>
    <n v="35.99"/>
    <n v="0.99"/>
    <s v="Chuck Clark"/>
    <s v="Alberta"/>
    <x v="6"/>
    <s v="Corporate"/>
    <s v="Technology"/>
    <x v="10"/>
    <x v="2"/>
    <d v="2011-07-10T00:00:00"/>
    <s v="10-Jul-2011"/>
  </r>
  <r>
    <n v="27872"/>
    <d v="2011-10-13T00:00:00"/>
    <s v="Not Specified"/>
    <s v="13-Oct-2011"/>
    <n v="25"/>
    <n v="388.71"/>
    <n v="0.01"/>
    <s v="Regular Air"/>
    <n v="36.43"/>
    <n v="14.27"/>
    <n v="7.27"/>
    <s v="Shaun Chance"/>
    <s v="Alberta"/>
    <x v="6"/>
    <s v="Corporate"/>
    <s v="Office Supplies"/>
    <x v="1"/>
    <x v="1"/>
    <d v="2011-10-15T00:00:00"/>
    <s v="15-Oct-2011"/>
  </r>
  <r>
    <n v="21510"/>
    <d v="2012-05-08T00:00:00"/>
    <s v="High"/>
    <s v="08-May-2012"/>
    <n v="16"/>
    <n v="372.09"/>
    <n v="0.04"/>
    <s v="Express Air"/>
    <n v="98.28"/>
    <n v="22.24"/>
    <n v="1.99"/>
    <s v="Alyssa Crouse"/>
    <s v="Alberta"/>
    <x v="6"/>
    <s v="Corporate"/>
    <s v="Technology"/>
    <x v="11"/>
    <x v="21"/>
    <d v="2012-05-08T00:00:00"/>
    <s v="08-May-2012"/>
  </r>
  <r>
    <n v="26979"/>
    <d v="2012-03-28T00:00:00"/>
    <s v="Medium"/>
    <s v="28-Mar-2012"/>
    <n v="43"/>
    <n v="337.01"/>
    <n v="0.05"/>
    <s v="Regular Air"/>
    <n v="147.19999999999999"/>
    <n v="7.98"/>
    <n v="1.25"/>
    <s v="Tom Boeckenhauer"/>
    <s v="Alberta"/>
    <x v="6"/>
    <s v="Corporate"/>
    <s v="Office Supplies"/>
    <x v="12"/>
    <x v="2"/>
    <d v="2012-03-30T00:00:00"/>
    <s v="30-Mar-2012"/>
  </r>
  <r>
    <n v="194"/>
    <d v="2012-04-04T00:00:00"/>
    <s v="Medium"/>
    <s v="04-Apr-2012"/>
    <n v="49"/>
    <n v="329.03"/>
    <n v="0.1"/>
    <s v="Regular Air"/>
    <n v="-197.25"/>
    <n v="7.28"/>
    <n v="7.98"/>
    <s v="Maria Zettner"/>
    <s v="Alberta"/>
    <x v="6"/>
    <s v="Corporate"/>
    <s v="Furniture"/>
    <x v="7"/>
    <x v="22"/>
    <d v="2012-04-06T00:00:00"/>
    <s v="06-Apr-2012"/>
  </r>
  <r>
    <n v="23906"/>
    <d v="2010-09-20T00:00:00"/>
    <s v="Critical"/>
    <s v="20-Sep-2010"/>
    <n v="37"/>
    <n v="321.02"/>
    <n v="0.1"/>
    <s v="Express Air"/>
    <n v="-11.88"/>
    <n v="8.67"/>
    <n v="3.5"/>
    <s v="Alyssa Crouse"/>
    <s v="Alberta"/>
    <x v="6"/>
    <s v="Corporate"/>
    <s v="Office Supplies"/>
    <x v="5"/>
    <x v="15"/>
    <d v="2010-09-21T00:00:00"/>
    <s v="21-Sep-2010"/>
  </r>
  <r>
    <n v="14597"/>
    <d v="2010-08-30T00:00:00"/>
    <s v="Critical"/>
    <s v="30-Aug-2010"/>
    <n v="41"/>
    <n v="320.42"/>
    <n v="0.03"/>
    <s v="Express Air"/>
    <n v="-66.37"/>
    <n v="7.68"/>
    <n v="6.16"/>
    <s v="Lauren Leatherbury"/>
    <s v="Alberta"/>
    <x v="6"/>
    <s v="Corporate"/>
    <s v="Office Supplies"/>
    <x v="1"/>
    <x v="2"/>
    <d v="2010-08-31T00:00:00"/>
    <s v="31-Aug-2010"/>
  </r>
  <r>
    <n v="19140"/>
    <d v="2009-09-30T00:00:00"/>
    <s v="Medium"/>
    <s v="30-Sep-2009"/>
    <n v="47"/>
    <n v="314"/>
    <n v="7.0000000000000007E-2"/>
    <s v="Regular Air"/>
    <n v="-66.040000000000006"/>
    <n v="6.54"/>
    <n v="5.27"/>
    <s v="Ann Steele"/>
    <s v="Alberta"/>
    <x v="6"/>
    <s v="Corporate"/>
    <s v="Office Supplies"/>
    <x v="1"/>
    <x v="10"/>
    <d v="2009-10-01T00:00:00"/>
    <s v="01-Oct-2009"/>
  </r>
  <r>
    <n v="35936"/>
    <d v="2009-01-21T00:00:00"/>
    <s v="Medium"/>
    <s v="21-Jan-2009"/>
    <n v="41"/>
    <n v="312.26"/>
    <n v="0.08"/>
    <s v="Regular Air"/>
    <n v="-10.38"/>
    <n v="7.84"/>
    <n v="4.71"/>
    <s v="Roy Phan"/>
    <s v="Alberta"/>
    <x v="6"/>
    <s v="Corporate"/>
    <s v="Office Supplies"/>
    <x v="1"/>
    <x v="2"/>
    <d v="2009-01-22T00:00:00"/>
    <s v="22-Jan-2009"/>
  </r>
  <r>
    <n v="7904"/>
    <d v="2010-05-27T00:00:00"/>
    <s v="Low"/>
    <s v="27-May-2010"/>
    <n v="47"/>
    <n v="298.3"/>
    <n v="0.08"/>
    <s v="Express Air"/>
    <n v="146.72"/>
    <n v="6.3"/>
    <n v="0.5"/>
    <s v="Tom Boeckenhauer"/>
    <s v="Alberta"/>
    <x v="6"/>
    <s v="Corporate"/>
    <s v="Office Supplies"/>
    <x v="9"/>
    <x v="4"/>
    <d v="2010-06-05T00:00:00"/>
    <s v="05-Jun-2010"/>
  </r>
  <r>
    <n v="32931"/>
    <d v="2010-02-15T00:00:00"/>
    <s v="Low"/>
    <s v="15-Feb-2010"/>
    <n v="25"/>
    <n v="298.11"/>
    <n v="0.08"/>
    <s v="Regular Air"/>
    <n v="-60.79"/>
    <n v="12.44"/>
    <n v="6.27"/>
    <s v="Shaun Chance"/>
    <s v="Alberta"/>
    <x v="6"/>
    <s v="Corporate"/>
    <s v="Office Supplies"/>
    <x v="4"/>
    <x v="6"/>
    <d v="2010-02-20T00:00:00"/>
    <s v="20-Feb-2010"/>
  </r>
  <r>
    <n v="34179"/>
    <d v="2011-11-02T00:00:00"/>
    <s v="Not Specified"/>
    <s v="02-Nov-2011"/>
    <n v="21"/>
    <n v="293.27"/>
    <n v="7.0000000000000007E-2"/>
    <s v="Regular Air"/>
    <n v="44.56"/>
    <n v="14.48"/>
    <n v="1.99"/>
    <s v="Brian DeCherney"/>
    <s v="Alberta"/>
    <x v="6"/>
    <s v="Corporate"/>
    <s v="Technology"/>
    <x v="11"/>
    <x v="19"/>
    <d v="2011-11-04T00:00:00"/>
    <s v="04-Nov-2011"/>
  </r>
  <r>
    <n v="23046"/>
    <d v="2010-10-06T00:00:00"/>
    <s v="Critical"/>
    <s v="06-Oct-2010"/>
    <n v="33"/>
    <n v="292.75"/>
    <n v="0.08"/>
    <s v="Regular Air"/>
    <n v="93.33"/>
    <n v="8.9499999999999993"/>
    <n v="2.0099999999999998"/>
    <s v="Adam Shillingsburg"/>
    <s v="Alberta"/>
    <x v="6"/>
    <s v="Corporate"/>
    <s v="Office Supplies"/>
    <x v="12"/>
    <x v="4"/>
    <d v="2010-10-08T00:00:00"/>
    <s v="08-Oct-2010"/>
  </r>
  <r>
    <n v="11014"/>
    <d v="2010-09-07T00:00:00"/>
    <s v="High"/>
    <s v="07-Sep-2010"/>
    <n v="39"/>
    <n v="286.81"/>
    <n v="7.0000000000000007E-2"/>
    <s v="Regular Air"/>
    <n v="110.05"/>
    <n v="7.64"/>
    <n v="1.39"/>
    <s v="Victoria Pisteka"/>
    <s v="Alberta"/>
    <x v="6"/>
    <s v="Corporate"/>
    <s v="Office Supplies"/>
    <x v="15"/>
    <x v="10"/>
    <d v="2010-09-08T00:00:00"/>
    <s v="08-Sep-2010"/>
  </r>
  <r>
    <n v="44869"/>
    <d v="2012-08-22T00:00:00"/>
    <s v="Medium"/>
    <s v="22-Aug-2012"/>
    <n v="43"/>
    <n v="283.18"/>
    <n v="0.03"/>
    <s v="Regular Air"/>
    <n v="-154.94999999999999"/>
    <n v="6.48"/>
    <n v="7.49"/>
    <s v="Sonia Cooley"/>
    <s v="Alberta"/>
    <x v="6"/>
    <s v="Corporate"/>
    <s v="Office Supplies"/>
    <x v="12"/>
    <x v="7"/>
    <d v="2012-08-24T00:00:00"/>
    <s v="24-Aug-2012"/>
  </r>
  <r>
    <n v="20128"/>
    <d v="2009-08-31T00:00:00"/>
    <s v="Not Specified"/>
    <s v="31-Aug-2009"/>
    <n v="32"/>
    <n v="279.43"/>
    <n v="0"/>
    <s v="Regular Air"/>
    <n v="48.47"/>
    <n v="8.5"/>
    <n v="1.99"/>
    <s v="Chuck Clark"/>
    <s v="Alberta"/>
    <x v="6"/>
    <s v="Corporate"/>
    <s v="Technology"/>
    <x v="11"/>
    <x v="19"/>
    <d v="2009-09-02T00:00:00"/>
    <s v="02-Sep-2009"/>
  </r>
  <r>
    <n v="32449"/>
    <d v="2012-12-09T00:00:00"/>
    <s v="Critical"/>
    <s v="09-Dec-2012"/>
    <n v="39"/>
    <n v="277.58"/>
    <n v="0.08"/>
    <s v="Regular Air"/>
    <n v="-276.88"/>
    <n v="7.28"/>
    <n v="11.15"/>
    <s v="Ann Steele"/>
    <s v="Alberta"/>
    <x v="6"/>
    <s v="Corporate"/>
    <s v="Office Supplies"/>
    <x v="12"/>
    <x v="7"/>
    <d v="2012-12-10T00:00:00"/>
    <s v="10-Dec-2012"/>
  </r>
  <r>
    <n v="47456"/>
    <d v="2012-05-31T00:00:00"/>
    <s v="Low"/>
    <s v="31-May-2012"/>
    <n v="43"/>
    <n v="277.08"/>
    <n v="0.08"/>
    <s v="Regular Air"/>
    <n v="-179.11"/>
    <n v="6.48"/>
    <n v="7.91"/>
    <s v="Brian DeCherney"/>
    <s v="Alberta"/>
    <x v="6"/>
    <s v="Corporate"/>
    <s v="Office Supplies"/>
    <x v="12"/>
    <x v="7"/>
    <d v="2012-06-07T00:00:00"/>
    <s v="07-Jun-2012"/>
  </r>
  <r>
    <n v="5347"/>
    <d v="2011-02-21T00:00:00"/>
    <s v="Medium"/>
    <s v="21-Feb-2011"/>
    <n v="39"/>
    <n v="276.029"/>
    <n v="0.05"/>
    <s v="Regular Air"/>
    <n v="-108.19"/>
    <n v="7.99"/>
    <n v="5.03"/>
    <s v="Kelly Williams"/>
    <s v="Alberta"/>
    <x v="6"/>
    <s v="Corporate"/>
    <s v="Technology"/>
    <x v="10"/>
    <x v="18"/>
    <d v="2011-02-24T00:00:00"/>
    <s v="24-Feb-2011"/>
  </r>
  <r>
    <n v="48486"/>
    <d v="2011-05-12T00:00:00"/>
    <s v="High"/>
    <s v="12-May-2011"/>
    <n v="42"/>
    <n v="271.14"/>
    <n v="7.0000000000000007E-2"/>
    <s v="Regular Air"/>
    <n v="-174.74"/>
    <n v="6.48"/>
    <n v="7.91"/>
    <s v="Frank Merwin"/>
    <s v="Alberta"/>
    <x v="6"/>
    <s v="Corporate"/>
    <s v="Office Supplies"/>
    <x v="12"/>
    <x v="7"/>
    <d v="2011-05-14T00:00:00"/>
    <s v="14-May-2011"/>
  </r>
  <r>
    <n v="18145"/>
    <d v="2010-09-04T00:00:00"/>
    <s v="Medium"/>
    <s v="04-Sep-2010"/>
    <n v="47"/>
    <n v="270.32"/>
    <n v="0.06"/>
    <s v="Regular Air"/>
    <n v="-47.15"/>
    <n v="5.81"/>
    <n v="3.37"/>
    <s v="Lauren Leatherbury"/>
    <s v="Alberta"/>
    <x v="6"/>
    <s v="Corporate"/>
    <s v="Office Supplies"/>
    <x v="16"/>
    <x v="41"/>
    <d v="2010-09-05T00:00:00"/>
    <s v="05-Sep-2010"/>
  </r>
  <r>
    <n v="47524"/>
    <d v="2010-04-15T00:00:00"/>
    <s v="Medium"/>
    <s v="15-Apr-2010"/>
    <n v="8"/>
    <n v="269.14"/>
    <n v="0.1"/>
    <s v="Regular Air"/>
    <n v="-160.72"/>
    <n v="35.770000000000003"/>
    <n v="9.02"/>
    <s v="Jeremy Lonsdale"/>
    <s v="Alberta"/>
    <x v="6"/>
    <s v="Corporate"/>
    <s v="Technology"/>
    <x v="11"/>
    <x v="16"/>
    <d v="2010-04-17T00:00:00"/>
    <s v="17-Apr-2010"/>
  </r>
  <r>
    <n v="14597"/>
    <d v="2010-08-30T00:00:00"/>
    <s v="Critical"/>
    <s v="30-Aug-2010"/>
    <n v="35"/>
    <n v="266.64"/>
    <n v="7.0000000000000007E-2"/>
    <s v="Regular Air"/>
    <n v="-36.76"/>
    <n v="7.96"/>
    <n v="4.95"/>
    <s v="Lauren Leatherbury"/>
    <s v="Alberta"/>
    <x v="6"/>
    <s v="Corporate"/>
    <s v="Furniture"/>
    <x v="7"/>
    <x v="25"/>
    <d v="2010-08-31T00:00:00"/>
    <s v="31-Aug-2010"/>
  </r>
  <r>
    <n v="36998"/>
    <d v="2012-09-29T00:00:00"/>
    <s v="Low"/>
    <s v="29-Sep-2012"/>
    <n v="41"/>
    <n v="265.39"/>
    <n v="0.1"/>
    <s v="Regular Air"/>
    <n v="-237.01"/>
    <n v="6.48"/>
    <n v="9.5399999999999991"/>
    <s v="Christine Abelman"/>
    <s v="Alberta"/>
    <x v="6"/>
    <s v="Corporate"/>
    <s v="Office Supplies"/>
    <x v="12"/>
    <x v="7"/>
    <d v="2012-10-06T00:00:00"/>
    <s v="06-Oct-2012"/>
  </r>
  <r>
    <n v="33700"/>
    <d v="2011-04-07T00:00:00"/>
    <s v="Low"/>
    <s v="07-Apr-2011"/>
    <n v="36"/>
    <n v="260.13"/>
    <n v="0"/>
    <s v="Regular Air"/>
    <n v="-133.97999999999999"/>
    <n v="6.48"/>
    <n v="8.19"/>
    <s v="Chuck Clark"/>
    <s v="Alberta"/>
    <x v="6"/>
    <s v="Corporate"/>
    <s v="Office Supplies"/>
    <x v="12"/>
    <x v="7"/>
    <d v="2011-04-11T00:00:00"/>
    <s v="11-Apr-2011"/>
  </r>
  <r>
    <n v="3746"/>
    <d v="2009-09-10T00:00:00"/>
    <s v="Not Specified"/>
    <s v="10-Sep-2009"/>
    <n v="38"/>
    <n v="246.3"/>
    <n v="0.02"/>
    <s v="Regular Air"/>
    <n v="-67.489999999999995"/>
    <n v="5.98"/>
    <n v="5.79"/>
    <s v="Alan Dominguez"/>
    <s v="Alberta"/>
    <x v="6"/>
    <s v="Corporate"/>
    <s v="Office Supplies"/>
    <x v="12"/>
    <x v="10"/>
    <d v="2009-09-11T00:00:00"/>
    <s v="11-Sep-2009"/>
  </r>
  <r>
    <n v="55490"/>
    <d v="2009-11-16T00:00:00"/>
    <s v="Medium"/>
    <s v="16-Nov-2009"/>
    <n v="3"/>
    <n v="246.2"/>
    <n v="0.04"/>
    <s v="Delivery Truck"/>
    <n v="-184.16"/>
    <n v="70.89"/>
    <n v="89.3"/>
    <s v="Becky Pak"/>
    <s v="Alberta"/>
    <x v="6"/>
    <s v="Corporate"/>
    <s v="Furniture"/>
    <x v="3"/>
    <x v="13"/>
    <d v="2009-11-17T00:00:00"/>
    <s v="17-Nov-2009"/>
  </r>
  <r>
    <n v="54307"/>
    <d v="2012-01-08T00:00:00"/>
    <s v="High"/>
    <s v="08-Jan-2012"/>
    <n v="15"/>
    <n v="243.52"/>
    <n v="0.01"/>
    <s v="Regular Air"/>
    <n v="-59.64"/>
    <n v="14.89"/>
    <n v="13.56"/>
    <s v="Lauren Leatherbury"/>
    <s v="Alberta"/>
    <x v="6"/>
    <s v="Corporate"/>
    <s v="Furniture"/>
    <x v="7"/>
    <x v="15"/>
    <d v="2012-01-09T00:00:00"/>
    <s v="09-Jan-2012"/>
  </r>
  <r>
    <n v="59686"/>
    <d v="2011-03-08T00:00:00"/>
    <s v="Low"/>
    <s v="08-Mar-2011"/>
    <n v="41"/>
    <n v="243.37"/>
    <n v="0.01"/>
    <s v="Regular Air"/>
    <n v="-106.42"/>
    <n v="5.8"/>
    <n v="5.59"/>
    <s v="Shaun Chance"/>
    <s v="Alberta"/>
    <x v="6"/>
    <s v="Corporate"/>
    <s v="Office Supplies"/>
    <x v="1"/>
    <x v="27"/>
    <d v="2011-03-13T00:00:00"/>
    <s v="13-Mar-2011"/>
  </r>
  <r>
    <n v="21735"/>
    <d v="2010-03-09T00:00:00"/>
    <s v="Not Specified"/>
    <s v="09-Mar-2010"/>
    <n v="23"/>
    <n v="239.49"/>
    <n v="0.04"/>
    <s v="Regular Air"/>
    <n v="-159.35"/>
    <n v="9.98"/>
    <n v="12.52"/>
    <s v="Liz Pelletier"/>
    <s v="Alberta"/>
    <x v="6"/>
    <s v="Corporate"/>
    <s v="Furniture"/>
    <x v="7"/>
    <x v="6"/>
    <d v="2010-03-11T00:00:00"/>
    <s v="11-Mar-2010"/>
  </r>
  <r>
    <n v="30401"/>
    <d v="2012-10-18T00:00:00"/>
    <s v="Medium"/>
    <s v="18-Oct-2012"/>
    <n v="39"/>
    <n v="239.4"/>
    <n v="7.0000000000000007E-2"/>
    <s v="Regular Air"/>
    <n v="-57.37"/>
    <n v="5.98"/>
    <n v="5.15"/>
    <s v="Tom Boeckenhauer"/>
    <s v="Alberta"/>
    <x v="6"/>
    <s v="Corporate"/>
    <s v="Office Supplies"/>
    <x v="12"/>
    <x v="10"/>
    <d v="2012-10-20T00:00:00"/>
    <s v="20-Oct-2012"/>
  </r>
  <r>
    <n v="34311"/>
    <d v="2009-09-05T00:00:00"/>
    <s v="High"/>
    <s v="05-Sep-2009"/>
    <n v="32"/>
    <n v="232.85"/>
    <n v="0.03"/>
    <s v="Regular Air"/>
    <n v="-262.62"/>
    <n v="6.98"/>
    <n v="9.69"/>
    <s v="Mike Pelletier"/>
    <s v="Alberta"/>
    <x v="6"/>
    <s v="Corporate"/>
    <s v="Office Supplies"/>
    <x v="4"/>
    <x v="34"/>
    <d v="2009-09-07T00:00:00"/>
    <s v="07-Sep-2009"/>
  </r>
  <r>
    <n v="42725"/>
    <d v="2011-05-02T00:00:00"/>
    <s v="Medium"/>
    <s v="02-May-2011"/>
    <n v="18"/>
    <n v="231.06"/>
    <n v="0.04"/>
    <s v="Regular Air"/>
    <n v="-29.83"/>
    <n v="12.28"/>
    <n v="6.13"/>
    <s v="Frank Merwin"/>
    <s v="Alberta"/>
    <x v="6"/>
    <s v="Corporate"/>
    <s v="Office Supplies"/>
    <x v="4"/>
    <x v="6"/>
    <d v="2011-05-03T00:00:00"/>
    <s v="03-May-2011"/>
  </r>
  <r>
    <n v="11013"/>
    <d v="2009-04-17T00:00:00"/>
    <s v="High"/>
    <s v="17-Apr-2009"/>
    <n v="2"/>
    <n v="226.88200000000001"/>
    <n v="0.01"/>
    <s v="Regular Air"/>
    <n v="-582.65"/>
    <n v="125.99"/>
    <n v="8.99"/>
    <s v="Ruben Dartt"/>
    <s v="Alberta"/>
    <x v="6"/>
    <s v="Corporate"/>
    <s v="Technology"/>
    <x v="10"/>
    <x v="14"/>
    <d v="2009-04-18T00:00:00"/>
    <s v="18-Apr-2009"/>
  </r>
  <r>
    <n v="31043"/>
    <d v="2009-07-15T00:00:00"/>
    <s v="High"/>
    <s v="15-Jul-2009"/>
    <n v="3"/>
    <n v="221.4675"/>
    <n v="0"/>
    <s v="Regular Air"/>
    <n v="-302.23"/>
    <n v="85.99"/>
    <n v="3.3"/>
    <s v="Bobby Odegard"/>
    <s v="Alberta"/>
    <x v="6"/>
    <s v="Corporate"/>
    <s v="Technology"/>
    <x v="10"/>
    <x v="7"/>
    <d v="2009-07-16T00:00:00"/>
    <s v="16-Jul-2009"/>
  </r>
  <r>
    <n v="55846"/>
    <d v="2009-07-20T00:00:00"/>
    <s v="Not Specified"/>
    <s v="20-Jul-2009"/>
    <n v="30"/>
    <n v="221.05"/>
    <n v="0.02"/>
    <s v="Regular Air"/>
    <n v="-66.38"/>
    <n v="7.1"/>
    <n v="6.05"/>
    <s v="Cari MacIntyre"/>
    <s v="Alberta"/>
    <x v="6"/>
    <s v="Corporate"/>
    <s v="Office Supplies"/>
    <x v="1"/>
    <x v="4"/>
    <d v="2009-07-20T00:00:00"/>
    <s v="20-Jul-2009"/>
  </r>
  <r>
    <n v="59329"/>
    <d v="2012-12-04T00:00:00"/>
    <s v="Critical"/>
    <s v="04-Dec-2012"/>
    <n v="41"/>
    <n v="214.23"/>
    <n v="0.01"/>
    <s v="Regular Air"/>
    <n v="-165.42"/>
    <n v="4.8600000000000003"/>
    <n v="7.1"/>
    <s v="Cari MacIntyre"/>
    <s v="Alberta"/>
    <x v="6"/>
    <s v="Corporate"/>
    <s v="Furniture"/>
    <x v="7"/>
    <x v="22"/>
    <d v="2012-12-06T00:00:00"/>
    <s v="06-Dec-2012"/>
  </r>
  <r>
    <n v="59329"/>
    <d v="2012-12-04T00:00:00"/>
    <s v="Critical"/>
    <s v="04-Dec-2012"/>
    <n v="41"/>
    <n v="214.19"/>
    <n v="0.05"/>
    <s v="Regular Air"/>
    <n v="-66.06"/>
    <n v="4.9800000000000004"/>
    <n v="4.7"/>
    <s v="Cari MacIntyre"/>
    <s v="Alberta"/>
    <x v="6"/>
    <s v="Corporate"/>
    <s v="Office Supplies"/>
    <x v="12"/>
    <x v="1"/>
    <d v="2012-12-05T00:00:00"/>
    <s v="05-Dec-2012"/>
  </r>
  <r>
    <n v="18368"/>
    <d v="2012-11-30T00:00:00"/>
    <s v="Not Specified"/>
    <s v="30-Nov-2012"/>
    <n v="3"/>
    <n v="212.91"/>
    <n v="0"/>
    <s v="Regular Air"/>
    <n v="-65.150000000000006"/>
    <n v="70.97"/>
    <n v="3.5"/>
    <s v="Alyssa Crouse"/>
    <s v="Alberta"/>
    <x v="6"/>
    <s v="Corporate"/>
    <s v="Office Supplies"/>
    <x v="5"/>
    <x v="14"/>
    <d v="2012-12-02T00:00:00"/>
    <s v="02-Dec-2012"/>
  </r>
  <r>
    <n v="54949"/>
    <d v="2009-08-10T00:00:00"/>
    <s v="Low"/>
    <s v="10-Aug-2009"/>
    <n v="32"/>
    <n v="210.94"/>
    <n v="0.08"/>
    <s v="Regular Air"/>
    <n v="-94.59"/>
    <n v="6.48"/>
    <n v="6.81"/>
    <s v="Shaun Chance"/>
    <s v="Alberta"/>
    <x v="6"/>
    <s v="Corporate"/>
    <s v="Office Supplies"/>
    <x v="12"/>
    <x v="10"/>
    <d v="2009-08-15T00:00:00"/>
    <s v="15-Aug-2009"/>
  </r>
  <r>
    <n v="56834"/>
    <d v="2011-05-01T00:00:00"/>
    <s v="High"/>
    <s v="01-May-2011"/>
    <n v="33"/>
    <n v="205.52"/>
    <n v="0.09"/>
    <s v="Regular Air"/>
    <n v="-118.55"/>
    <n v="6.48"/>
    <n v="7.03"/>
    <s v="Darren Powers"/>
    <s v="Alberta"/>
    <x v="6"/>
    <s v="Corporate"/>
    <s v="Office Supplies"/>
    <x v="12"/>
    <x v="7"/>
    <d v="2011-05-02T00:00:00"/>
    <s v="02-May-2011"/>
  </r>
  <r>
    <n v="19457"/>
    <d v="2009-07-12T00:00:00"/>
    <s v="High"/>
    <s v="12-Jul-2009"/>
    <n v="34"/>
    <n v="203.49"/>
    <n v="0.05"/>
    <s v="Regular Air"/>
    <n v="90.35"/>
    <n v="6.3"/>
    <n v="0.5"/>
    <s v="Alice McCarthy"/>
    <s v="Alberta"/>
    <x v="6"/>
    <s v="Corporate"/>
    <s v="Office Supplies"/>
    <x v="9"/>
    <x v="4"/>
    <d v="2009-07-13T00:00:00"/>
    <s v="13-Jul-2009"/>
  </r>
  <r>
    <n v="6304"/>
    <d v="2011-08-11T00:00:00"/>
    <s v="High"/>
    <s v="11-Aug-2011"/>
    <n v="30"/>
    <n v="199.11"/>
    <n v="0.01"/>
    <s v="Regular Air"/>
    <n v="-83.33"/>
    <n v="6.48"/>
    <n v="6.65"/>
    <s v="Adam Shillingsburg"/>
    <s v="Alberta"/>
    <x v="6"/>
    <s v="Corporate"/>
    <s v="Office Supplies"/>
    <x v="12"/>
    <x v="10"/>
    <d v="2011-08-13T00:00:00"/>
    <s v="13-Aug-2011"/>
  </r>
  <r>
    <n v="54949"/>
    <d v="2009-08-10T00:00:00"/>
    <s v="Low"/>
    <s v="10-Aug-2009"/>
    <n v="7"/>
    <n v="192.02"/>
    <n v="0.09"/>
    <s v="Delivery Truck"/>
    <n v="-293.74"/>
    <n v="20.98"/>
    <n v="53.03"/>
    <s v="Shaun Chance"/>
    <s v="Alberta"/>
    <x v="6"/>
    <s v="Corporate"/>
    <s v="Office Supplies"/>
    <x v="4"/>
    <x v="8"/>
    <d v="2009-08-17T00:00:00"/>
    <s v="17-Aug-2009"/>
  </r>
  <r>
    <n v="5347"/>
    <d v="2011-02-21T00:00:00"/>
    <s v="Medium"/>
    <s v="21-Feb-2011"/>
    <n v="1"/>
    <n v="187.20400000000001"/>
    <n v="0.01"/>
    <s v="Regular Air"/>
    <n v="-796.76"/>
    <n v="205.99"/>
    <n v="5.26"/>
    <s v="Kelly Williams"/>
    <s v="Alberta"/>
    <x v="6"/>
    <s v="Corporate"/>
    <s v="Technology"/>
    <x v="10"/>
    <x v="0"/>
    <d v="2011-02-22T00:00:00"/>
    <s v="22-Feb-2011"/>
  </r>
  <r>
    <n v="8165"/>
    <d v="2009-10-15T00:00:00"/>
    <s v="Low"/>
    <s v="15-Oct-2009"/>
    <n v="35"/>
    <n v="183.45"/>
    <n v="0.01"/>
    <s v="Regular Air"/>
    <n v="-149.66"/>
    <n v="4.9800000000000004"/>
    <n v="7.44"/>
    <s v="Cari Sayre"/>
    <s v="Alberta"/>
    <x v="6"/>
    <s v="Corporate"/>
    <s v="Office Supplies"/>
    <x v="12"/>
    <x v="10"/>
    <d v="2009-10-24T00:00:00"/>
    <s v="24-Oct-2009"/>
  </r>
  <r>
    <n v="4389"/>
    <d v="2009-05-04T00:00:00"/>
    <s v="Medium"/>
    <s v="04-May-2009"/>
    <n v="35"/>
    <n v="179.45"/>
    <n v="7.0000000000000007E-2"/>
    <s v="Regular Air"/>
    <n v="-116.35"/>
    <n v="5.34"/>
    <n v="5.63"/>
    <s v="Victoria Pisteka"/>
    <s v="Alberta"/>
    <x v="6"/>
    <s v="Corporate"/>
    <s v="Office Supplies"/>
    <x v="1"/>
    <x v="4"/>
    <d v="2009-05-06T00:00:00"/>
    <s v="06-May-2009"/>
  </r>
  <r>
    <n v="42945"/>
    <d v="2012-12-29T00:00:00"/>
    <s v="Not Specified"/>
    <s v="29-Dec-2012"/>
    <n v="45"/>
    <n v="178.7"/>
    <n v="7.0000000000000007E-2"/>
    <s v="Regular Air"/>
    <n v="-164.92"/>
    <n v="3.95"/>
    <n v="5.13"/>
    <s v="Quincy Jones"/>
    <s v="Alberta"/>
    <x v="6"/>
    <s v="Corporate"/>
    <s v="Office Supplies"/>
    <x v="5"/>
    <x v="14"/>
    <d v="2012-12-29T00:00:00"/>
    <s v="29-Dec-2012"/>
  </r>
  <r>
    <n v="47778"/>
    <d v="2010-02-14T00:00:00"/>
    <s v="Critical"/>
    <s v="14-Feb-2010"/>
    <n v="12"/>
    <n v="174.11"/>
    <n v="0.06"/>
    <s v="Regular Air"/>
    <n v="-24.52"/>
    <n v="13.73"/>
    <n v="6.85"/>
    <s v="Frank Merwin"/>
    <s v="Alberta"/>
    <x v="6"/>
    <s v="Corporate"/>
    <s v="Furniture"/>
    <x v="7"/>
    <x v="41"/>
    <d v="2010-02-16T00:00:00"/>
    <s v="16-Feb-2010"/>
  </r>
  <r>
    <n v="16805"/>
    <d v="2011-12-30T00:00:00"/>
    <s v="Low"/>
    <s v="30-Dec-2011"/>
    <n v="26"/>
    <n v="172.33"/>
    <n v="0.04"/>
    <s v="Regular Air"/>
    <n v="-52.21"/>
    <n v="6.48"/>
    <n v="5.74"/>
    <s v="Alice McCarthy"/>
    <s v="Alberta"/>
    <x v="6"/>
    <s v="Corporate"/>
    <s v="Office Supplies"/>
    <x v="12"/>
    <x v="7"/>
    <d v="2012-01-01T00:00:00"/>
    <s v="01-Jan-2012"/>
  </r>
  <r>
    <n v="2503"/>
    <d v="2010-06-19T00:00:00"/>
    <s v="Medium"/>
    <s v="19-Jun-2010"/>
    <n v="46"/>
    <n v="171.48"/>
    <n v="0.1"/>
    <s v="Regular Air"/>
    <n v="66.13"/>
    <n v="4.13"/>
    <n v="0.5"/>
    <s v="Maria Zettner"/>
    <s v="Alberta"/>
    <x v="6"/>
    <s v="Corporate"/>
    <s v="Office Supplies"/>
    <x v="9"/>
    <x v="4"/>
    <d v="2010-06-20T00:00:00"/>
    <s v="20-Jun-2010"/>
  </r>
  <r>
    <n v="39585"/>
    <d v="2011-12-29T00:00:00"/>
    <s v="Not Specified"/>
    <s v="29-Dec-2011"/>
    <n v="32"/>
    <n v="166.17"/>
    <n v="0.01"/>
    <s v="Regular Air"/>
    <n v="-22.74"/>
    <n v="5.08"/>
    <n v="3.63"/>
    <s v="Max Engle"/>
    <s v="Alberta"/>
    <x v="6"/>
    <s v="Corporate"/>
    <s v="Furniture"/>
    <x v="7"/>
    <x v="51"/>
    <d v="2011-12-30T00:00:00"/>
    <s v="30-Dec-2011"/>
  </r>
  <r>
    <n v="59329"/>
    <d v="2012-12-04T00:00:00"/>
    <s v="Critical"/>
    <s v="04-Dec-2012"/>
    <n v="25"/>
    <n v="165.62"/>
    <n v="0.03"/>
    <s v="Regular Air"/>
    <n v="-64.72"/>
    <n v="6.24"/>
    <n v="5.22"/>
    <s v="Cari MacIntyre"/>
    <s v="Alberta"/>
    <x v="6"/>
    <s v="Corporate"/>
    <s v="Furniture"/>
    <x v="7"/>
    <x v="18"/>
    <d v="2012-12-04T00:00:00"/>
    <s v="04-Dec-2012"/>
  </r>
  <r>
    <n v="9476"/>
    <d v="2009-05-25T00:00:00"/>
    <s v="Not Specified"/>
    <s v="25-May-2009"/>
    <n v="10"/>
    <n v="165.04"/>
    <n v="0.08"/>
    <s v="Express Air"/>
    <n v="-66.59"/>
    <n v="15.99"/>
    <n v="13.18"/>
    <s v="Ruben Dartt"/>
    <s v="Alberta"/>
    <x v="6"/>
    <s v="Corporate"/>
    <s v="Office Supplies"/>
    <x v="1"/>
    <x v="7"/>
    <d v="2009-05-27T00:00:00"/>
    <s v="27-May-2009"/>
  </r>
  <r>
    <n v="36262"/>
    <d v="2010-07-27T00:00:00"/>
    <s v="Not Specified"/>
    <s v="27-Jul-2010"/>
    <n v="23"/>
    <n v="164.02"/>
    <n v="0.03"/>
    <s v="Express Air"/>
    <n v="-47.64"/>
    <n v="6.68"/>
    <n v="6.15"/>
    <s v="Aaron Bergman"/>
    <s v="Alberta"/>
    <x v="6"/>
    <s v="Corporate"/>
    <s v="Office Supplies"/>
    <x v="12"/>
    <x v="7"/>
    <d v="2010-07-28T00:00:00"/>
    <s v="28-Jul-2010"/>
  </r>
  <r>
    <n v="2503"/>
    <d v="2010-06-19T00:00:00"/>
    <s v="Medium"/>
    <s v="19-Jun-2010"/>
    <n v="9"/>
    <n v="162.15450000000001"/>
    <n v="0.08"/>
    <s v="Regular Air"/>
    <n v="-73.739999999999995"/>
    <n v="20.99"/>
    <n v="4.8099999999999996"/>
    <s v="Maria Zettner"/>
    <s v="Alberta"/>
    <x v="6"/>
    <s v="Corporate"/>
    <s v="Technology"/>
    <x v="10"/>
    <x v="15"/>
    <d v="2010-06-21T00:00:00"/>
    <s v="21-Jun-2010"/>
  </r>
  <r>
    <n v="54084"/>
    <d v="2011-09-10T00:00:00"/>
    <s v="Critical"/>
    <s v="10-Sep-2011"/>
    <n v="3"/>
    <n v="160.52000000000001"/>
    <n v="0.08"/>
    <s v="Delivery Truck"/>
    <n v="-69.66"/>
    <n v="50.98"/>
    <n v="14.19"/>
    <s v="Lauren Leatherbury"/>
    <s v="Alberta"/>
    <x v="6"/>
    <s v="Corporate"/>
    <s v="Furniture"/>
    <x v="2"/>
    <x v="0"/>
    <d v="2011-09-12T00:00:00"/>
    <s v="12-Sep-2011"/>
  </r>
  <r>
    <n v="32"/>
    <d v="2011-07-15T00:00:00"/>
    <s v="High"/>
    <s v="15-Jul-2011"/>
    <n v="23"/>
    <n v="160.23349999999999"/>
    <n v="0.04"/>
    <s v="Regular Air"/>
    <n v="-85.13"/>
    <n v="7.99"/>
    <n v="5.03"/>
    <s v="Liz Pelletier"/>
    <s v="Alberta"/>
    <x v="6"/>
    <s v="Corporate"/>
    <s v="Technology"/>
    <x v="10"/>
    <x v="18"/>
    <d v="2011-07-17T00:00:00"/>
    <s v="17-Jul-2011"/>
  </r>
  <r>
    <n v="40006"/>
    <d v="2009-06-15T00:00:00"/>
    <s v="Not Specified"/>
    <s v="15-Jun-2009"/>
    <n v="35"/>
    <n v="157.99"/>
    <n v="0.03"/>
    <s v="Regular Air"/>
    <n v="-105.55"/>
    <n v="4.24"/>
    <n v="5.41"/>
    <s v="Adam Shillingsburg"/>
    <s v="Alberta"/>
    <x v="6"/>
    <s v="Corporate"/>
    <s v="Office Supplies"/>
    <x v="1"/>
    <x v="2"/>
    <d v="2009-06-17T00:00:00"/>
    <s v="17-Jun-2009"/>
  </r>
  <r>
    <n v="19140"/>
    <d v="2009-09-30T00:00:00"/>
    <s v="Medium"/>
    <s v="30-Sep-2009"/>
    <n v="50"/>
    <n v="155.54"/>
    <n v="0.09"/>
    <s v="Regular Air"/>
    <n v="15.66"/>
    <n v="3.29"/>
    <n v="1.35"/>
    <s v="Ann Steele"/>
    <s v="Alberta"/>
    <x v="6"/>
    <s v="Corporate"/>
    <s v="Office Supplies"/>
    <x v="16"/>
    <x v="27"/>
    <d v="2009-10-01T00:00:00"/>
    <s v="01-Oct-2009"/>
  </r>
  <r>
    <n v="4672"/>
    <d v="2011-11-06T00:00:00"/>
    <s v="Critical"/>
    <s v="06-Nov-2011"/>
    <n v="20"/>
    <n v="152.44"/>
    <n v="0.08"/>
    <s v="Regular Air"/>
    <n v="-16.64"/>
    <n v="7.7"/>
    <n v="3.68"/>
    <s v="Alan Dominguez"/>
    <s v="Alberta"/>
    <x v="6"/>
    <s v="Corporate"/>
    <s v="Furniture"/>
    <x v="7"/>
    <x v="24"/>
    <d v="2011-11-07T00:00:00"/>
    <s v="07-Nov-2011"/>
  </r>
  <r>
    <n v="35046"/>
    <d v="2010-07-24T00:00:00"/>
    <s v="Medium"/>
    <s v="24-Jul-2010"/>
    <n v="21"/>
    <n v="151.86000000000001"/>
    <n v="0.1"/>
    <s v="Express Air"/>
    <n v="-54.67"/>
    <n v="7.1"/>
    <n v="6.05"/>
    <s v="Cari Sayre"/>
    <s v="Alberta"/>
    <x v="6"/>
    <s v="Corporate"/>
    <s v="Office Supplies"/>
    <x v="1"/>
    <x v="4"/>
    <d v="2010-07-24T00:00:00"/>
    <s v="24-Jul-2010"/>
  </r>
  <r>
    <n v="37218"/>
    <d v="2010-12-19T00:00:00"/>
    <s v="High"/>
    <s v="19-Dec-2010"/>
    <n v="23"/>
    <n v="147.05000000000001"/>
    <n v="0.08"/>
    <s v="Regular Air"/>
    <n v="-54.91"/>
    <n v="6.48"/>
    <n v="5.82"/>
    <s v="Frank Merwin"/>
    <s v="Alberta"/>
    <x v="6"/>
    <s v="Corporate"/>
    <s v="Office Supplies"/>
    <x v="12"/>
    <x v="7"/>
    <d v="2010-12-20T00:00:00"/>
    <s v="20-Dec-2010"/>
  </r>
  <r>
    <n v="30913"/>
    <d v="2012-09-22T00:00:00"/>
    <s v="Medium"/>
    <s v="22-Sep-2012"/>
    <n v="23"/>
    <n v="143.1"/>
    <n v="0.01"/>
    <s v="Regular Air"/>
    <n v="36.75"/>
    <n v="5.98"/>
    <n v="1.49"/>
    <s v="Roy Phan"/>
    <s v="Alberta"/>
    <x v="6"/>
    <s v="Corporate"/>
    <s v="Office Supplies"/>
    <x v="1"/>
    <x v="4"/>
    <d v="2012-09-23T00:00:00"/>
    <s v="23-Sep-2012"/>
  </r>
  <r>
    <n v="40006"/>
    <d v="2009-06-15T00:00:00"/>
    <s v="Not Specified"/>
    <s v="15-Jun-2009"/>
    <n v="48"/>
    <n v="141.59"/>
    <n v="0.04"/>
    <s v="Regular Air"/>
    <n v="20.260000000000002"/>
    <n v="2.94"/>
    <n v="0.7"/>
    <s v="Adam Shillingsburg"/>
    <s v="Alberta"/>
    <x v="6"/>
    <s v="Corporate"/>
    <s v="Office Supplies"/>
    <x v="13"/>
    <x v="15"/>
    <d v="2009-06-16T00:00:00"/>
    <s v="16-Jun-2009"/>
  </r>
  <r>
    <n v="29317"/>
    <d v="2011-10-02T00:00:00"/>
    <s v="Not Specified"/>
    <s v="02-Oct-2011"/>
    <n v="31"/>
    <n v="140.69"/>
    <n v="0.06"/>
    <s v="Regular Air"/>
    <n v="-14.54"/>
    <n v="4.71"/>
    <n v="0.7"/>
    <s v="Becky Pak"/>
    <s v="Alberta"/>
    <x v="6"/>
    <s v="Corporate"/>
    <s v="Office Supplies"/>
    <x v="16"/>
    <x v="42"/>
    <d v="2011-10-02T00:00:00"/>
    <s v="02-Oct-2011"/>
  </r>
  <r>
    <n v="39750"/>
    <d v="2009-03-27T00:00:00"/>
    <s v="High"/>
    <s v="27-Mar-2009"/>
    <n v="7"/>
    <n v="140.59"/>
    <n v="0.01"/>
    <s v="Regular Air"/>
    <n v="-35.880000000000003"/>
    <n v="17.98"/>
    <n v="8.51"/>
    <s v="Adam Shillingsburg"/>
    <s v="Alberta"/>
    <x v="6"/>
    <s v="Corporate"/>
    <s v="Technology"/>
    <x v="0"/>
    <x v="27"/>
    <d v="2009-03-28T00:00:00"/>
    <s v="28-Mar-2009"/>
  </r>
  <r>
    <n v="12417"/>
    <d v="2010-10-24T00:00:00"/>
    <s v="Critical"/>
    <s v="24-Oct-2010"/>
    <n v="19"/>
    <n v="137.84"/>
    <n v="0.06"/>
    <s v="Regular Air"/>
    <n v="34.31"/>
    <n v="7.4"/>
    <n v="1.71"/>
    <s v="Cathy Prescott"/>
    <s v="Alberta"/>
    <x v="6"/>
    <s v="Corporate"/>
    <s v="Office Supplies"/>
    <x v="12"/>
    <x v="27"/>
    <d v="2010-10-26T00:00:00"/>
    <s v="26-Oct-2010"/>
  </r>
  <r>
    <n v="36262"/>
    <d v="2010-07-27T00:00:00"/>
    <s v="Not Specified"/>
    <s v="27-Jul-2010"/>
    <n v="23"/>
    <n v="136.81"/>
    <n v="0.01"/>
    <s v="Regular Air"/>
    <n v="-30.51"/>
    <n v="5.68"/>
    <n v="3.6"/>
    <s v="Aaron Bergman"/>
    <s v="Alberta"/>
    <x v="6"/>
    <s v="Corporate"/>
    <s v="Office Supplies"/>
    <x v="14"/>
    <x v="0"/>
    <d v="2010-07-28T00:00:00"/>
    <s v="28-Jul-2010"/>
  </r>
  <r>
    <n v="42855"/>
    <d v="2011-07-08T00:00:00"/>
    <s v="Not Specified"/>
    <s v="08-Jul-2011"/>
    <n v="17"/>
    <n v="135.38"/>
    <n v="0.05"/>
    <s v="Regular Air"/>
    <n v="-71.12"/>
    <n v="7.98"/>
    <n v="6.5"/>
    <s v="Sonia Cooley"/>
    <s v="Alberta"/>
    <x v="6"/>
    <s v="Corporate"/>
    <s v="Office Supplies"/>
    <x v="4"/>
    <x v="14"/>
    <d v="2011-07-10T00:00:00"/>
    <s v="10-Jul-2011"/>
  </r>
  <r>
    <n v="7142"/>
    <d v="2011-07-21T00:00:00"/>
    <s v="Critical"/>
    <s v="21-Jul-2011"/>
    <n v="36"/>
    <n v="132.86000000000001"/>
    <n v="0.06"/>
    <s v="Regular Air"/>
    <n v="57"/>
    <n v="3.69"/>
    <n v="0.5"/>
    <s v="Cari Sayre"/>
    <s v="Alberta"/>
    <x v="6"/>
    <s v="Corporate"/>
    <s v="Office Supplies"/>
    <x v="9"/>
    <x v="1"/>
    <d v="2011-07-23T00:00:00"/>
    <s v="23-Jul-2011"/>
  </r>
  <r>
    <n v="34311"/>
    <d v="2009-09-05T00:00:00"/>
    <s v="High"/>
    <s v="05-Sep-2009"/>
    <n v="39"/>
    <n v="132.79"/>
    <n v="0.05"/>
    <s v="Regular Air"/>
    <n v="-100.24"/>
    <n v="3.28"/>
    <n v="3.97"/>
    <s v="Mike Pelletier"/>
    <s v="Alberta"/>
    <x v="6"/>
    <s v="Corporate"/>
    <s v="Office Supplies"/>
    <x v="13"/>
    <x v="0"/>
    <d v="2009-09-06T00:00:00"/>
    <s v="06-Sep-2009"/>
  </r>
  <r>
    <n v="49442"/>
    <d v="2012-08-09T00:00:00"/>
    <s v="High"/>
    <s v="09-Aug-2012"/>
    <n v="11"/>
    <n v="131.12"/>
    <n v="0.03"/>
    <s v="Regular Air"/>
    <n v="-24.81"/>
    <n v="11.5"/>
    <n v="7.19"/>
    <s v="Brian DeCherney"/>
    <s v="Alberta"/>
    <x v="6"/>
    <s v="Corporate"/>
    <s v="Office Supplies"/>
    <x v="1"/>
    <x v="27"/>
    <d v="2012-08-09T00:00:00"/>
    <s v="09-Aug-2012"/>
  </r>
  <r>
    <n v="30343"/>
    <d v="2012-05-21T00:00:00"/>
    <s v="Critical"/>
    <s v="21-May-2012"/>
    <n v="28"/>
    <n v="130.28"/>
    <n v="0.08"/>
    <s v="Regular Air"/>
    <n v="56.97"/>
    <n v="4.91"/>
    <n v="0.5"/>
    <s v="Brian DeCherney"/>
    <s v="Alberta"/>
    <x v="6"/>
    <s v="Corporate"/>
    <s v="Office Supplies"/>
    <x v="9"/>
    <x v="10"/>
    <d v="2012-05-23T00:00:00"/>
    <s v="23-May-2012"/>
  </r>
  <r>
    <n v="25412"/>
    <d v="2011-06-06T00:00:00"/>
    <s v="Not Specified"/>
    <s v="06-Jun-2011"/>
    <n v="18"/>
    <n v="129.77000000000001"/>
    <n v="0.01"/>
    <s v="Regular Air"/>
    <n v="-99.42"/>
    <n v="6.48"/>
    <n v="9.68"/>
    <s v="Katrina Edelman"/>
    <s v="Alberta"/>
    <x v="6"/>
    <s v="Corporate"/>
    <s v="Office Supplies"/>
    <x v="12"/>
    <x v="10"/>
    <d v="2011-06-08T00:00:00"/>
    <s v="08-Jun-2011"/>
  </r>
  <r>
    <n v="26309"/>
    <d v="2012-02-19T00:00:00"/>
    <s v="Low"/>
    <s v="19-Feb-2012"/>
    <n v="42"/>
    <n v="128.13"/>
    <n v="0.09"/>
    <s v="Regular Air"/>
    <n v="32.53"/>
    <n v="3.08"/>
    <n v="0.99"/>
    <s v="Alan Dominguez"/>
    <s v="Alberta"/>
    <x v="6"/>
    <s v="Corporate"/>
    <s v="Office Supplies"/>
    <x v="9"/>
    <x v="7"/>
    <d v="2012-02-21T00:00:00"/>
    <s v="21-Feb-2012"/>
  </r>
  <r>
    <n v="59329"/>
    <d v="2012-12-04T00:00:00"/>
    <s v="Critical"/>
    <s v="04-Dec-2012"/>
    <n v="35"/>
    <n v="128.12"/>
    <n v="0.08"/>
    <s v="Regular Air"/>
    <n v="-135.6"/>
    <n v="3.81"/>
    <n v="5.44"/>
    <s v="Cari MacIntyre"/>
    <s v="Alberta"/>
    <x v="6"/>
    <s v="Corporate"/>
    <s v="Office Supplies"/>
    <x v="1"/>
    <x v="10"/>
    <d v="2012-12-06T00:00:00"/>
    <s v="06-Dec-2012"/>
  </r>
  <r>
    <n v="54051"/>
    <d v="2011-08-11T00:00:00"/>
    <s v="Medium"/>
    <s v="11-Aug-2011"/>
    <n v="28"/>
    <n v="126.95"/>
    <n v="0.06"/>
    <s v="Express Air"/>
    <n v="45.87"/>
    <n v="4.13"/>
    <n v="0.99"/>
    <s v="Alice McCarthy"/>
    <s v="Alberta"/>
    <x v="6"/>
    <s v="Corporate"/>
    <s v="Office Supplies"/>
    <x v="9"/>
    <x v="4"/>
    <d v="2011-08-12T00:00:00"/>
    <s v="12-Aug-2011"/>
  </r>
  <r>
    <n v="30913"/>
    <d v="2012-09-22T00:00:00"/>
    <s v="Medium"/>
    <s v="22-Sep-2012"/>
    <n v="44"/>
    <n v="126.36"/>
    <n v="0.02"/>
    <s v="Regular Air"/>
    <n v="50.26"/>
    <n v="2.89"/>
    <n v="0.5"/>
    <s v="Roy Phan"/>
    <s v="Alberta"/>
    <x v="6"/>
    <s v="Corporate"/>
    <s v="Office Supplies"/>
    <x v="9"/>
    <x v="1"/>
    <d v="2012-09-24T00:00:00"/>
    <s v="24-Sep-2012"/>
  </r>
  <r>
    <n v="4705"/>
    <d v="2012-03-21T00:00:00"/>
    <s v="Not Specified"/>
    <s v="21-Mar-2012"/>
    <n v="16"/>
    <n v="123.85"/>
    <n v="0.09"/>
    <s v="Regular Air"/>
    <n v="-71.44"/>
    <n v="7.98"/>
    <n v="6.5"/>
    <s v="Adrian Hane"/>
    <s v="Alberta"/>
    <x v="6"/>
    <s v="Corporate"/>
    <s v="Office Supplies"/>
    <x v="4"/>
    <x v="14"/>
    <d v="2012-03-23T00:00:00"/>
    <s v="23-Mar-2012"/>
  </r>
  <r>
    <n v="29761"/>
    <d v="2012-07-03T00:00:00"/>
    <s v="Medium"/>
    <s v="03-Jul-2012"/>
    <n v="19"/>
    <n v="123.67"/>
    <n v="0.03"/>
    <s v="Regular Air"/>
    <n v="-34.17"/>
    <n v="6.24"/>
    <n v="5.22"/>
    <s v="Ken Dana"/>
    <s v="Alberta"/>
    <x v="6"/>
    <s v="Corporate"/>
    <s v="Furniture"/>
    <x v="7"/>
    <x v="18"/>
    <d v="2012-07-05T00:00:00"/>
    <s v="05-Jul-2012"/>
  </r>
  <r>
    <n v="52870"/>
    <d v="2009-03-09T00:00:00"/>
    <s v="Not Specified"/>
    <s v="09-Mar-2009"/>
    <n v="21"/>
    <n v="118.51"/>
    <n v="0.03"/>
    <s v="Regular Air"/>
    <n v="-948.71"/>
    <n v="3.25"/>
    <n v="49"/>
    <s v="Ann Steele"/>
    <s v="Alberta"/>
    <x v="6"/>
    <s v="Corporate"/>
    <s v="Office Supplies"/>
    <x v="5"/>
    <x v="0"/>
    <d v="2009-03-11T00:00:00"/>
    <s v="11-Mar-2009"/>
  </r>
  <r>
    <n v="44391"/>
    <d v="2009-01-10T00:00:00"/>
    <s v="Not Specified"/>
    <s v="10-Jan-2009"/>
    <n v="16"/>
    <n v="112.81"/>
    <n v="0.02"/>
    <s v="Regular Air"/>
    <n v="-85.23"/>
    <n v="6.48"/>
    <n v="9.17"/>
    <s v="Ann Steele"/>
    <s v="Alberta"/>
    <x v="6"/>
    <s v="Corporate"/>
    <s v="Office Supplies"/>
    <x v="12"/>
    <x v="7"/>
    <d v="2009-01-11T00:00:00"/>
    <s v="11-Jan-2009"/>
  </r>
  <r>
    <n v="7078"/>
    <d v="2010-04-11T00:00:00"/>
    <s v="High"/>
    <s v="11-Apr-2010"/>
    <n v="9"/>
    <n v="112.12"/>
    <n v="0.01"/>
    <s v="Regular Air"/>
    <n v="-8.4499999999999993"/>
    <n v="11.33"/>
    <n v="6.12"/>
    <s v="Ricardo Block"/>
    <s v="Alberta"/>
    <x v="6"/>
    <s v="Corporate"/>
    <s v="Office Supplies"/>
    <x v="5"/>
    <x v="22"/>
    <d v="2010-04-13T00:00:00"/>
    <s v="13-Apr-2010"/>
  </r>
  <r>
    <n v="9696"/>
    <d v="2011-02-19T00:00:00"/>
    <s v="Not Specified"/>
    <s v="19-Feb-2011"/>
    <n v="15"/>
    <n v="110.15"/>
    <n v="0.02"/>
    <s v="Regular Air"/>
    <n v="13.91"/>
    <n v="6.75"/>
    <n v="2.99"/>
    <s v="Harold Dahlen"/>
    <s v="Alberta"/>
    <x v="6"/>
    <s v="Corporate"/>
    <s v="Office Supplies"/>
    <x v="1"/>
    <x v="2"/>
    <d v="2011-02-21T00:00:00"/>
    <s v="21-Feb-2011"/>
  </r>
  <r>
    <n v="36292"/>
    <d v="2010-02-07T00:00:00"/>
    <s v="Critical"/>
    <s v="07-Feb-2010"/>
    <n v="21"/>
    <n v="109.87"/>
    <n v="0.05"/>
    <s v="Regular Air"/>
    <n v="-98.17"/>
    <n v="4.9800000000000004"/>
    <n v="7.54"/>
    <s v="Christine Abelman"/>
    <s v="Alberta"/>
    <x v="6"/>
    <s v="Corporate"/>
    <s v="Office Supplies"/>
    <x v="12"/>
    <x v="1"/>
    <d v="2010-02-08T00:00:00"/>
    <s v="08-Feb-2010"/>
  </r>
  <r>
    <n v="57216"/>
    <d v="2010-07-29T00:00:00"/>
    <s v="High"/>
    <s v="29-Jul-2010"/>
    <n v="48"/>
    <n v="109.78"/>
    <n v="0.03"/>
    <s v="Regular Air"/>
    <n v="4.4800000000000004"/>
    <n v="2.2000000000000002"/>
    <n v="1.2"/>
    <s v="Ruben Dartt"/>
    <s v="Alberta"/>
    <x v="6"/>
    <s v="Corporate"/>
    <s v="Office Supplies"/>
    <x v="13"/>
    <x v="25"/>
    <d v="2010-07-31T00:00:00"/>
    <s v="31-Jul-2010"/>
  </r>
  <r>
    <n v="54656"/>
    <d v="2012-11-19T00:00:00"/>
    <s v="High"/>
    <s v="19-Nov-2012"/>
    <n v="22"/>
    <n v="109.52"/>
    <n v="0.09"/>
    <s v="Express Air"/>
    <n v="-73.349999999999994"/>
    <n v="4.54"/>
    <n v="5.83"/>
    <s v="Tamara Manning"/>
    <s v="Alberta"/>
    <x v="6"/>
    <s v="Corporate"/>
    <s v="Office Supplies"/>
    <x v="1"/>
    <x v="10"/>
    <d v="2012-11-21T00:00:00"/>
    <s v="21-Nov-2012"/>
  </r>
  <r>
    <n v="11169"/>
    <d v="2010-05-21T00:00:00"/>
    <s v="Medium"/>
    <s v="21-May-2010"/>
    <n v="44"/>
    <n v="109.18"/>
    <n v="0.09"/>
    <s v="Regular Air"/>
    <n v="37.17"/>
    <n v="2.61"/>
    <n v="0.5"/>
    <s v="Christine Abelman"/>
    <s v="Alberta"/>
    <x v="6"/>
    <s v="Corporate"/>
    <s v="Office Supplies"/>
    <x v="9"/>
    <x v="4"/>
    <d v="2010-05-21T00:00:00"/>
    <s v="21-May-2010"/>
  </r>
  <r>
    <n v="48775"/>
    <d v="2009-09-06T00:00:00"/>
    <s v="Low"/>
    <s v="06-Sep-2009"/>
    <n v="17"/>
    <n v="108.11"/>
    <n v="0.09"/>
    <s v="Regular Air"/>
    <n v="-62.23"/>
    <n v="6.48"/>
    <n v="6.86"/>
    <s v="Craig Carroll"/>
    <s v="Alberta"/>
    <x v="6"/>
    <s v="Corporate"/>
    <s v="Office Supplies"/>
    <x v="12"/>
    <x v="7"/>
    <d v="2009-09-08T00:00:00"/>
    <s v="08-Sep-2009"/>
  </r>
  <r>
    <n v="50246"/>
    <d v="2010-08-18T00:00:00"/>
    <s v="Medium"/>
    <s v="18-Aug-2010"/>
    <n v="14"/>
    <n v="102.04"/>
    <n v="0.05"/>
    <s v="Express Air"/>
    <n v="-47.67"/>
    <n v="6.48"/>
    <n v="7.37"/>
    <s v="Darren Powers"/>
    <s v="Alberta"/>
    <x v="6"/>
    <s v="Corporate"/>
    <s v="Office Supplies"/>
    <x v="12"/>
    <x v="7"/>
    <d v="2010-08-19T00:00:00"/>
    <s v="19-Aug-2010"/>
  </r>
  <r>
    <n v="50726"/>
    <d v="2011-10-31T00:00:00"/>
    <s v="Low"/>
    <s v="31-Oct-2011"/>
    <n v="21"/>
    <n v="98.88"/>
    <n v="7.0000000000000007E-2"/>
    <s v="Express Air"/>
    <n v="36.01"/>
    <n v="4.13"/>
    <n v="0.99"/>
    <s v="Ruben Dartt"/>
    <s v="Alberta"/>
    <x v="6"/>
    <s v="Corporate"/>
    <s v="Office Supplies"/>
    <x v="9"/>
    <x v="4"/>
    <d v="2011-10-31T00:00:00"/>
    <s v="31-Oct-2011"/>
  </r>
  <r>
    <n v="46469"/>
    <d v="2009-08-16T00:00:00"/>
    <s v="Critical"/>
    <s v="16-Aug-2009"/>
    <n v="18"/>
    <n v="93.26"/>
    <n v="0.05"/>
    <s v="Regular Air"/>
    <n v="-35.36"/>
    <n v="4.9800000000000004"/>
    <n v="4.7"/>
    <s v="Adam Shillingsburg"/>
    <s v="Alberta"/>
    <x v="6"/>
    <s v="Corporate"/>
    <s v="Office Supplies"/>
    <x v="12"/>
    <x v="1"/>
    <d v="2009-08-18T00:00:00"/>
    <s v="18-Aug-2009"/>
  </r>
  <r>
    <n v="52199"/>
    <d v="2011-01-26T00:00:00"/>
    <s v="Medium"/>
    <s v="26-Jan-2011"/>
    <n v="19"/>
    <n v="92.24"/>
    <n v="0.05"/>
    <s v="Regular Air"/>
    <n v="-60.58"/>
    <n v="4.82"/>
    <n v="5.24"/>
    <s v="Adam Shillingsburg"/>
    <s v="Alberta"/>
    <x v="6"/>
    <s v="Corporate"/>
    <s v="Office Supplies"/>
    <x v="1"/>
    <x v="4"/>
    <d v="2011-01-27T00:00:00"/>
    <s v="27-Jan-2011"/>
  </r>
  <r>
    <n v="2503"/>
    <d v="2010-06-19T00:00:00"/>
    <s v="Medium"/>
    <s v="19-Jun-2010"/>
    <n v="21"/>
    <n v="91.15"/>
    <n v="0.03"/>
    <s v="Regular Air"/>
    <n v="-71.540000000000006"/>
    <n v="4.13"/>
    <n v="5.34"/>
    <s v="Maria Zettner"/>
    <s v="Alberta"/>
    <x v="6"/>
    <s v="Corporate"/>
    <s v="Office Supplies"/>
    <x v="1"/>
    <x v="1"/>
    <d v="2010-06-20T00:00:00"/>
    <s v="20-Jun-2010"/>
  </r>
  <r>
    <n v="49218"/>
    <d v="2010-06-04T00:00:00"/>
    <s v="Low"/>
    <s v="04-Jun-2010"/>
    <n v="21"/>
    <n v="86.64"/>
    <n v="0.09"/>
    <s v="Regular Air"/>
    <n v="-73.069999999999993"/>
    <n v="3.98"/>
    <n v="5.26"/>
    <s v="Ann Steele"/>
    <s v="Alberta"/>
    <x v="6"/>
    <s v="Corporate"/>
    <s v="Office Supplies"/>
    <x v="1"/>
    <x v="1"/>
    <d v="2010-06-04T00:00:00"/>
    <s v="04-Jun-2010"/>
  </r>
  <r>
    <n v="32931"/>
    <d v="2010-02-15T00:00:00"/>
    <s v="Low"/>
    <s v="15-Feb-2010"/>
    <n v="31"/>
    <n v="86.1"/>
    <n v="0.06"/>
    <s v="Regular Air"/>
    <n v="32.700000000000003"/>
    <n v="2.88"/>
    <n v="0.5"/>
    <s v="Shaun Chance"/>
    <s v="Alberta"/>
    <x v="6"/>
    <s v="Corporate"/>
    <s v="Office Supplies"/>
    <x v="9"/>
    <x v="10"/>
    <d v="2010-02-22T00:00:00"/>
    <s v="22-Feb-2010"/>
  </r>
  <r>
    <n v="20193"/>
    <d v="2010-11-07T00:00:00"/>
    <s v="Medium"/>
    <s v="07-Nov-2010"/>
    <n v="23"/>
    <n v="82.12"/>
    <n v="7.0000000000000007E-2"/>
    <s v="Regular Air"/>
    <n v="-121.59"/>
    <n v="3.52"/>
    <n v="6.83"/>
    <s v="Harry Greene"/>
    <s v="Alberta"/>
    <x v="6"/>
    <s v="Corporate"/>
    <s v="Office Supplies"/>
    <x v="1"/>
    <x v="1"/>
    <d v="2010-11-09T00:00:00"/>
    <s v="09-Nov-2010"/>
  </r>
  <r>
    <n v="6850"/>
    <d v="2010-02-11T00:00:00"/>
    <s v="High"/>
    <s v="11-Feb-2010"/>
    <n v="8"/>
    <n v="81.56"/>
    <n v="0.08"/>
    <s v="Regular Air"/>
    <n v="-7.23"/>
    <n v="10.01"/>
    <n v="1.99"/>
    <s v="Chuck Clark"/>
    <s v="Alberta"/>
    <x v="6"/>
    <s v="Corporate"/>
    <s v="Technology"/>
    <x v="11"/>
    <x v="25"/>
    <d v="2010-02-11T00:00:00"/>
    <s v="11-Feb-2010"/>
  </r>
  <r>
    <n v="16518"/>
    <d v="2012-09-29T00:00:00"/>
    <s v="Critical"/>
    <s v="29-Sep-2012"/>
    <n v="4"/>
    <n v="80.290000000000006"/>
    <n v="0.03"/>
    <s v="Regular Air"/>
    <n v="-6.57"/>
    <n v="18.97"/>
    <n v="5.21"/>
    <s v="Ken Dana"/>
    <s v="Alberta"/>
    <x v="6"/>
    <s v="Corporate"/>
    <s v="Office Supplies"/>
    <x v="12"/>
    <x v="7"/>
    <d v="2012-09-30T00:00:00"/>
    <s v="30-Sep-2012"/>
  </r>
  <r>
    <n v="8609"/>
    <d v="2012-04-14T00:00:00"/>
    <s v="Critical"/>
    <s v="14-Apr-2012"/>
    <n v="4"/>
    <n v="72.003500000000003"/>
    <n v="0.04"/>
    <s v="Regular Air"/>
    <n v="-108.08"/>
    <n v="20.99"/>
    <n v="2.5"/>
    <s v="Roy Phan"/>
    <s v="Alberta"/>
    <x v="6"/>
    <s v="Corporate"/>
    <s v="Technology"/>
    <x v="10"/>
    <x v="43"/>
    <d v="2012-04-15T00:00:00"/>
    <s v="15-Apr-2012"/>
  </r>
  <r>
    <n v="27939"/>
    <d v="2012-04-10T00:00:00"/>
    <s v="Medium"/>
    <s v="10-Apr-2012"/>
    <n v="8"/>
    <n v="60.17"/>
    <n v="0"/>
    <s v="Regular Air"/>
    <n v="-18.239999999999998"/>
    <n v="6.68"/>
    <n v="5.66"/>
    <s v="Bruce Money"/>
    <s v="Alberta"/>
    <x v="6"/>
    <s v="Corporate"/>
    <s v="Office Supplies"/>
    <x v="12"/>
    <x v="7"/>
    <d v="2012-04-12T00:00:00"/>
    <s v="12-Apr-2012"/>
  </r>
  <r>
    <n v="36998"/>
    <d v="2012-09-29T00:00:00"/>
    <s v="Low"/>
    <s v="29-Sep-2012"/>
    <n v="8"/>
    <n v="56.5"/>
    <n v="0.02"/>
    <s v="Regular Air"/>
    <n v="-17.16"/>
    <n v="6.48"/>
    <n v="5.19"/>
    <s v="Christine Abelman"/>
    <s v="Alberta"/>
    <x v="6"/>
    <s v="Corporate"/>
    <s v="Office Supplies"/>
    <x v="12"/>
    <x v="7"/>
    <d v="2012-10-01T00:00:00"/>
    <s v="01-Oct-2012"/>
  </r>
  <r>
    <n v="7398"/>
    <d v="2009-06-01T00:00:00"/>
    <s v="Not Specified"/>
    <s v="01-Jun-2009"/>
    <n v="6"/>
    <n v="55.77"/>
    <n v="0.04"/>
    <s v="Regular Air"/>
    <n v="-4.37"/>
    <n v="9.11"/>
    <n v="2.25"/>
    <s v="Craig Carroll"/>
    <s v="Alberta"/>
    <x v="6"/>
    <s v="Corporate"/>
    <s v="Office Supplies"/>
    <x v="13"/>
    <x v="24"/>
    <d v="2009-06-04T00:00:00"/>
    <s v="04-Jun-2009"/>
  </r>
  <r>
    <n v="56069"/>
    <d v="2012-10-14T00:00:00"/>
    <s v="Low"/>
    <s v="14-Oct-2012"/>
    <n v="10"/>
    <n v="55.66"/>
    <n v="0.09"/>
    <s v="Regular Air"/>
    <n v="8.82"/>
    <n v="5.68"/>
    <n v="1.39"/>
    <s v="Becky Pak"/>
    <s v="Alberta"/>
    <x v="6"/>
    <s v="Corporate"/>
    <s v="Office Supplies"/>
    <x v="15"/>
    <x v="1"/>
    <d v="2012-10-19T00:00:00"/>
    <s v="19-Oct-2012"/>
  </r>
  <r>
    <n v="51842"/>
    <d v="2011-11-28T00:00:00"/>
    <s v="Low"/>
    <s v="28-Nov-2011"/>
    <n v="1"/>
    <n v="54.22"/>
    <n v="0.02"/>
    <s v="Regular Air"/>
    <n v="-19.09"/>
    <n v="48.91"/>
    <n v="5.81"/>
    <s v="Tamara Manning"/>
    <s v="Alberta"/>
    <x v="6"/>
    <s v="Corporate"/>
    <s v="Office Supplies"/>
    <x v="12"/>
    <x v="1"/>
    <d v="2011-12-03T00:00:00"/>
    <s v="03-Dec-2011"/>
  </r>
  <r>
    <n v="832"/>
    <d v="2012-04-18T00:00:00"/>
    <s v="Low"/>
    <s v="18-Apr-2012"/>
    <n v="7"/>
    <n v="53.46"/>
    <n v="0.02"/>
    <s v="Regular Air"/>
    <n v="-17.579999999999998"/>
    <n v="6.48"/>
    <n v="5.9"/>
    <s v="Alice McCarthy"/>
    <s v="Alberta"/>
    <x v="6"/>
    <s v="Corporate"/>
    <s v="Office Supplies"/>
    <x v="12"/>
    <x v="7"/>
    <d v="2012-04-22T00:00:00"/>
    <s v="22-Apr-2012"/>
  </r>
  <r>
    <n v="33824"/>
    <d v="2011-03-02T00:00:00"/>
    <s v="Critical"/>
    <s v="02-Mar-2011"/>
    <n v="19"/>
    <n v="50.99"/>
    <n v="0.06"/>
    <s v="Regular Air"/>
    <n v="-3.8"/>
    <n v="2.78"/>
    <n v="1.34"/>
    <s v="Katrina Edelman"/>
    <s v="Alberta"/>
    <x v="6"/>
    <s v="Corporate"/>
    <s v="Office Supplies"/>
    <x v="13"/>
    <x v="45"/>
    <d v="2011-03-03T00:00:00"/>
    <s v="03-Mar-2011"/>
  </r>
  <r>
    <n v="17253"/>
    <d v="2011-08-17T00:00:00"/>
    <s v="Critical"/>
    <s v="17-Aug-2011"/>
    <n v="13"/>
    <n v="50.19"/>
    <n v="0.08"/>
    <s v="Regular Air"/>
    <n v="-64.39"/>
    <n v="3.52"/>
    <n v="6.83"/>
    <s v="Roy Phan"/>
    <s v="Alberta"/>
    <x v="6"/>
    <s v="Corporate"/>
    <s v="Office Supplies"/>
    <x v="1"/>
    <x v="1"/>
    <d v="2011-08-19T00:00:00"/>
    <s v="19-Aug-2011"/>
  </r>
  <r>
    <n v="7078"/>
    <d v="2010-04-11T00:00:00"/>
    <s v="High"/>
    <s v="11-Apr-2010"/>
    <n v="11"/>
    <n v="49.58"/>
    <n v="0.1"/>
    <s v="Express Air"/>
    <n v="-47.02"/>
    <n v="3.36"/>
    <n v="6.27"/>
    <s v="Ricardo Block"/>
    <s v="Alberta"/>
    <x v="6"/>
    <s v="Corporate"/>
    <s v="Office Supplies"/>
    <x v="1"/>
    <x v="27"/>
    <d v="2010-04-12T00:00:00"/>
    <s v="12-Apr-2010"/>
  </r>
  <r>
    <n v="22787"/>
    <d v="2011-04-05T00:00:00"/>
    <s v="Medium"/>
    <s v="05-Apr-2011"/>
    <n v="35"/>
    <n v="46.44"/>
    <n v="0.06"/>
    <s v="Express Air"/>
    <n v="-16.3"/>
    <n v="1.26"/>
    <n v="0.7"/>
    <s v="Ricardo Block"/>
    <s v="Alberta"/>
    <x v="6"/>
    <s v="Corporate"/>
    <s v="Office Supplies"/>
    <x v="16"/>
    <x v="43"/>
    <d v="2011-04-05T00:00:00"/>
    <s v="05-Apr-2011"/>
  </r>
  <r>
    <n v="1767"/>
    <d v="2011-03-13T00:00:00"/>
    <s v="High"/>
    <s v="13-Mar-2011"/>
    <n v="10"/>
    <n v="46.34"/>
    <n v="0.05"/>
    <s v="Regular Air"/>
    <n v="-7.76"/>
    <n v="4.71"/>
    <n v="0.7"/>
    <s v="Roger Barcio"/>
    <s v="Alberta"/>
    <x v="6"/>
    <s v="Corporate"/>
    <s v="Office Supplies"/>
    <x v="16"/>
    <x v="12"/>
    <d v="2011-03-15T00:00:00"/>
    <s v="15-Mar-2011"/>
  </r>
  <r>
    <n v="36548"/>
    <d v="2010-10-30T00:00:00"/>
    <s v="Low"/>
    <s v="30-Oct-2010"/>
    <n v="8"/>
    <n v="44.99"/>
    <n v="0.06"/>
    <s v="Regular Air"/>
    <n v="-40.43"/>
    <n v="4.9800000000000004"/>
    <n v="7.54"/>
    <s v="Max Engle"/>
    <s v="Alberta"/>
    <x v="6"/>
    <s v="Corporate"/>
    <s v="Office Supplies"/>
    <x v="12"/>
    <x v="1"/>
    <d v="2010-11-01T00:00:00"/>
    <s v="01-Nov-2010"/>
  </r>
  <r>
    <n v="38529"/>
    <d v="2009-02-02T00:00:00"/>
    <s v="Low"/>
    <s v="02-Feb-2009"/>
    <n v="38"/>
    <n v="44.85"/>
    <n v="0.02"/>
    <s v="Regular Air"/>
    <n v="-0.49"/>
    <n v="1.1399999999999999"/>
    <n v="0.7"/>
    <s v="Darren Powers"/>
    <s v="Alberta"/>
    <x v="6"/>
    <s v="Corporate"/>
    <s v="Office Supplies"/>
    <x v="16"/>
    <x v="1"/>
    <d v="2009-02-02T00:00:00"/>
    <s v="02-Feb-2009"/>
  </r>
  <r>
    <n v="9639"/>
    <d v="2010-09-05T00:00:00"/>
    <s v="Not Specified"/>
    <s v="05-Sep-2010"/>
    <n v="11"/>
    <n v="43.57"/>
    <n v="0.09"/>
    <s v="Regular Air"/>
    <n v="6.7"/>
    <n v="4.13"/>
    <n v="0.99"/>
    <s v="Becky Pak"/>
    <s v="Alberta"/>
    <x v="6"/>
    <s v="Corporate"/>
    <s v="Office Supplies"/>
    <x v="9"/>
    <x v="4"/>
    <d v="2010-09-05T00:00:00"/>
    <s v="05-Sep-2010"/>
  </r>
  <r>
    <n v="24583"/>
    <d v="2011-08-09T00:00:00"/>
    <s v="Critical"/>
    <s v="09-Aug-2011"/>
    <n v="17"/>
    <n v="42.29"/>
    <n v="0.06"/>
    <s v="Regular Air"/>
    <n v="-85.27"/>
    <n v="2.16"/>
    <n v="6.05"/>
    <s v="Becky Pak"/>
    <s v="Alberta"/>
    <x v="6"/>
    <s v="Corporate"/>
    <s v="Office Supplies"/>
    <x v="1"/>
    <x v="7"/>
    <d v="2011-08-12T00:00:00"/>
    <s v="12-Aug-2011"/>
  </r>
  <r>
    <n v="20513"/>
    <d v="2009-07-07T00:00:00"/>
    <s v="High"/>
    <s v="07-Jul-2009"/>
    <n v="13"/>
    <n v="42.27"/>
    <n v="0.01"/>
    <s v="Express Air"/>
    <n v="4.5599999999999996"/>
    <n v="2.84"/>
    <n v="0.93"/>
    <s v="Aaron Bergman"/>
    <s v="Alberta"/>
    <x v="6"/>
    <s v="Corporate"/>
    <s v="Office Supplies"/>
    <x v="13"/>
    <x v="41"/>
    <d v="2009-07-08T00:00:00"/>
    <s v="08-Jul-2009"/>
  </r>
  <r>
    <n v="51557"/>
    <d v="2011-10-31T00:00:00"/>
    <s v="High"/>
    <s v="31-Oct-2011"/>
    <n v="14"/>
    <n v="37.9"/>
    <n v="0.08"/>
    <s v="Regular Air"/>
    <n v="-22.01"/>
    <n v="2.6"/>
    <n v="2.4"/>
    <s v="Craig Carroll"/>
    <s v="Alberta"/>
    <x v="6"/>
    <s v="Corporate"/>
    <s v="Office Supplies"/>
    <x v="13"/>
    <x v="15"/>
    <d v="2011-10-31T00:00:00"/>
    <s v="31-Oct-2011"/>
  </r>
  <r>
    <n v="39301"/>
    <d v="2009-03-22T00:00:00"/>
    <s v="Medium"/>
    <s v="22-Mar-2009"/>
    <n v="4"/>
    <n v="33.54"/>
    <n v="0.08"/>
    <s v="Regular Air"/>
    <n v="-29.49"/>
    <n v="6.84"/>
    <n v="8.3699999999999992"/>
    <s v="Kelly Williams"/>
    <s v="Alberta"/>
    <x v="6"/>
    <s v="Corporate"/>
    <s v="Office Supplies"/>
    <x v="14"/>
    <x v="15"/>
    <d v="2009-03-24T00:00:00"/>
    <s v="24-Mar-2009"/>
  </r>
  <r>
    <n v="11648"/>
    <d v="2011-04-09T00:00:00"/>
    <s v="Low"/>
    <s v="09-Apr-2011"/>
    <n v="1"/>
    <n v="32.51"/>
    <n v="0.1"/>
    <s v="Regular Air"/>
    <n v="-90.94"/>
    <n v="35.409999999999997"/>
    <n v="1.99"/>
    <s v="Brian DeCherney"/>
    <s v="Alberta"/>
    <x v="6"/>
    <s v="Corporate"/>
    <s v="Technology"/>
    <x v="11"/>
    <x v="21"/>
    <d v="2011-04-16T00:00:00"/>
    <s v="16-Apr-2011"/>
  </r>
  <r>
    <n v="11169"/>
    <d v="2010-05-21T00:00:00"/>
    <s v="Medium"/>
    <s v="21-May-2010"/>
    <n v="5"/>
    <n v="28.59"/>
    <n v="0.05"/>
    <s v="Regular Air"/>
    <n v="-14.33"/>
    <n v="4.9800000000000004"/>
    <n v="4.7"/>
    <s v="Christine Abelman"/>
    <s v="Alberta"/>
    <x v="6"/>
    <s v="Corporate"/>
    <s v="Office Supplies"/>
    <x v="12"/>
    <x v="1"/>
    <d v="2010-05-22T00:00:00"/>
    <s v="22-May-2010"/>
  </r>
  <r>
    <n v="52673"/>
    <d v="2012-05-08T00:00:00"/>
    <s v="Medium"/>
    <s v="08-May-2012"/>
    <n v="4"/>
    <n v="26.41"/>
    <n v="0.05"/>
    <s v="Regular Air"/>
    <n v="-16.53"/>
    <n v="5.18"/>
    <n v="5.74"/>
    <s v="Ruben Dartt"/>
    <s v="Alberta"/>
    <x v="6"/>
    <s v="Corporate"/>
    <s v="Office Supplies"/>
    <x v="1"/>
    <x v="10"/>
    <d v="2012-05-10T00:00:00"/>
    <s v="10-May-2012"/>
  </r>
  <r>
    <n v="7488"/>
    <d v="2012-05-03T00:00:00"/>
    <s v="Critical"/>
    <s v="03-May-2012"/>
    <n v="9"/>
    <n v="26.09"/>
    <n v="0.08"/>
    <s v="Regular Air"/>
    <n v="-1.76"/>
    <n v="2.84"/>
    <n v="0.93"/>
    <s v="Chuck Clark"/>
    <s v="Alberta"/>
    <x v="6"/>
    <s v="Corporate"/>
    <s v="Office Supplies"/>
    <x v="13"/>
    <x v="41"/>
    <d v="2012-05-04T00:00:00"/>
    <s v="04-May-2012"/>
  </r>
  <r>
    <n v="25824"/>
    <d v="2009-09-04T00:00:00"/>
    <s v="Medium"/>
    <s v="04-Sep-2009"/>
    <n v="5"/>
    <n v="25.27"/>
    <n v="0.01"/>
    <s v="Regular Air"/>
    <n v="-19.93"/>
    <n v="3.95"/>
    <n v="5.13"/>
    <s v="Christine Abelman"/>
    <s v="Alberta"/>
    <x v="6"/>
    <s v="Corporate"/>
    <s v="Office Supplies"/>
    <x v="5"/>
    <x v="14"/>
    <d v="2009-09-05T00:00:00"/>
    <s v="05-Sep-2009"/>
  </r>
  <r>
    <n v="29926"/>
    <d v="2012-03-22T00:00:00"/>
    <s v="Medium"/>
    <s v="22-Mar-2012"/>
    <n v="9"/>
    <n v="20.21"/>
    <n v="0"/>
    <s v="Regular Air"/>
    <n v="-5.14"/>
    <n v="2.08"/>
    <n v="1.49"/>
    <s v="Roy Phan"/>
    <s v="Alberta"/>
    <x v="6"/>
    <s v="Corporate"/>
    <s v="Office Supplies"/>
    <x v="1"/>
    <x v="1"/>
    <d v="2012-03-24T00:00:00"/>
    <s v="24-Mar-2012"/>
  </r>
  <r>
    <n v="194"/>
    <d v="2012-04-04T00:00:00"/>
    <s v="Medium"/>
    <s v="04-Apr-2012"/>
    <n v="6"/>
    <n v="20.190000000000001"/>
    <n v="0.04"/>
    <s v="Regular Air"/>
    <n v="-13.44"/>
    <n v="3.14"/>
    <n v="1.92"/>
    <s v="Maria Zettner"/>
    <s v="Alberta"/>
    <x v="6"/>
    <s v="Corporate"/>
    <s v="Office Supplies"/>
    <x v="14"/>
    <x v="30"/>
    <d v="2012-04-06T00:00:00"/>
    <s v="06-Apr-2012"/>
  </r>
  <r>
    <n v="40612"/>
    <d v="2011-02-28T00:00:00"/>
    <s v="High"/>
    <s v="28-Feb-2011"/>
    <n v="9"/>
    <n v="19.2"/>
    <n v="0.1"/>
    <s v="Regular Air"/>
    <n v="-6.84"/>
    <n v="2.21"/>
    <n v="1.1200000000000001"/>
    <s v="Shaun Chance"/>
    <s v="Alberta"/>
    <x v="6"/>
    <s v="Corporate"/>
    <s v="Office Supplies"/>
    <x v="13"/>
    <x v="15"/>
    <d v="2011-03-01T00:00:00"/>
    <s v="01-Mar-2011"/>
  </r>
  <r>
    <n v="47974"/>
    <d v="2009-08-31T00:00:00"/>
    <s v="Medium"/>
    <s v="31-Aug-2009"/>
    <n v="6"/>
    <n v="18.02"/>
    <n v="0.01"/>
    <s v="Regular Air"/>
    <n v="-3.09"/>
    <n v="2.78"/>
    <n v="1.34"/>
    <s v="Frank Merwin"/>
    <s v="Alberta"/>
    <x v="6"/>
    <s v="Corporate"/>
    <s v="Office Supplies"/>
    <x v="13"/>
    <x v="45"/>
    <d v="2009-09-02T00:00:00"/>
    <s v="02-Sep-2009"/>
  </r>
  <r>
    <n v="1824"/>
    <d v="2009-05-04T00:00:00"/>
    <s v="Critical"/>
    <s v="04-May-2009"/>
    <n v="2"/>
    <n v="17.059999999999999"/>
    <n v="0.09"/>
    <s v="Regular Air"/>
    <n v="-5.2"/>
    <n v="6.28"/>
    <n v="5.29"/>
    <s v="Becky Pak"/>
    <s v="Alberta"/>
    <x v="6"/>
    <s v="Corporate"/>
    <s v="Furniture"/>
    <x v="7"/>
    <x v="21"/>
    <d v="2009-05-04T00:00:00"/>
    <s v="04-May-2009"/>
  </r>
  <r>
    <n v="31809"/>
    <d v="2010-07-28T00:00:00"/>
    <s v="High"/>
    <s v="28-Jul-2010"/>
    <n v="1"/>
    <n v="15"/>
    <n v="0.1"/>
    <s v="Regular Air"/>
    <n v="-13.74"/>
    <n v="9.7799999999999994"/>
    <n v="5.76"/>
    <s v="Lauren Leatherbury"/>
    <s v="Alberta"/>
    <x v="6"/>
    <s v="Corporate"/>
    <s v="Office Supplies"/>
    <x v="15"/>
    <x v="2"/>
    <d v="2010-07-30T00:00:00"/>
    <s v="30-Jul-2010"/>
  </r>
  <r>
    <n v="13282"/>
    <d v="2012-05-09T00:00:00"/>
    <s v="Low"/>
    <s v="09-May-2012"/>
    <n v="2"/>
    <n v="12.59"/>
    <n v="0.02"/>
    <s v="Regular Air"/>
    <n v="-5.92"/>
    <n v="6.3"/>
    <n v="0.5"/>
    <s v="Roy Phan"/>
    <s v="Alberta"/>
    <x v="6"/>
    <s v="Corporate"/>
    <s v="Office Supplies"/>
    <x v="9"/>
    <x v="4"/>
    <d v="2012-05-13T00:00:00"/>
    <s v="13-May-2012"/>
  </r>
  <r>
    <n v="38279"/>
    <d v="2012-04-29T00:00:00"/>
    <s v="Medium"/>
    <s v="29-Apr-2012"/>
    <n v="1"/>
    <n v="11.64"/>
    <n v="0.05"/>
    <s v="Regular Air"/>
    <n v="-10.73"/>
    <n v="7.59"/>
    <n v="4"/>
    <s v="Tom Boeckenhauer"/>
    <s v="Alberta"/>
    <x v="6"/>
    <s v="Corporate"/>
    <s v="Furniture"/>
    <x v="7"/>
    <x v="22"/>
    <d v="2012-05-01T00:00:00"/>
    <s v="01-May-2012"/>
  </r>
  <r>
    <n v="35811"/>
    <d v="2012-01-03T00:00:00"/>
    <s v="Critical"/>
    <s v="03-Jan-2012"/>
    <n v="6"/>
    <n v="10.39"/>
    <n v="0.1"/>
    <s v="Regular Air"/>
    <n v="-3.24"/>
    <n v="1.76"/>
    <n v="0.7"/>
    <s v="Chuck Clark"/>
    <s v="Alberta"/>
    <x v="6"/>
    <s v="Corporate"/>
    <s v="Office Supplies"/>
    <x v="13"/>
    <x v="0"/>
    <d v="2012-01-05T00:00:00"/>
    <s v="05-Jan-2012"/>
  </r>
  <r>
    <n v="6"/>
    <d v="2012-02-20T00:00:00"/>
    <s v="Not Specified"/>
    <s v="20-Feb-2012"/>
    <n v="2"/>
    <n v="6.93"/>
    <n v="0.01"/>
    <s v="Regular Air"/>
    <n v="-4.6399999999999997"/>
    <n v="2.08"/>
    <n v="2.56"/>
    <s v="Ruben Dartt"/>
    <s v="Alberta"/>
    <x v="6"/>
    <s v="Corporate"/>
    <s v="Office Supplies"/>
    <x v="14"/>
    <x v="20"/>
    <d v="2012-02-21T00:00:00"/>
    <s v="21-Feb-2012"/>
  </r>
  <r>
    <n v="32932"/>
    <d v="2010-01-09T00:00:00"/>
    <s v="Low"/>
    <s v="09-Jan-2010"/>
    <n v="49"/>
    <n v="29884.6"/>
    <n v="0.05"/>
    <s v="Regular Air"/>
    <n v="12748.86"/>
    <n v="599.99"/>
    <n v="24.49"/>
    <s v="Karen Carlisle"/>
    <s v="British Columbia"/>
    <x v="6"/>
    <s v="Corporate"/>
    <s v="Technology"/>
    <x v="6"/>
    <x v="47"/>
    <d v="2010-01-13T00:00:00"/>
    <s v="13-Jan-2010"/>
  </r>
  <r>
    <n v="44323"/>
    <d v="2012-08-07T00:00:00"/>
    <s v="Medium"/>
    <s v="07-Aug-2012"/>
    <n v="27"/>
    <n v="21320.58"/>
    <n v="0.09"/>
    <s v="Delivery Truck"/>
    <n v="5381.02"/>
    <n v="810.98"/>
    <n v="16.059999999999999"/>
    <s v="Barry Weirich"/>
    <s v="British Columbia"/>
    <x v="6"/>
    <s v="Corporate"/>
    <s v="Technology"/>
    <x v="0"/>
    <x v="0"/>
    <d v="2012-08-09T00:00:00"/>
    <s v="09-Aug-2012"/>
  </r>
  <r>
    <n v="52035"/>
    <d v="2009-11-27T00:00:00"/>
    <s v="High"/>
    <s v="27-Nov-2009"/>
    <n v="29"/>
    <n v="20872.16"/>
    <n v="0.03"/>
    <s v="Regular Air"/>
    <n v="-4437.91"/>
    <n v="699.99"/>
    <n v="24.49"/>
    <s v="Roy Skaria"/>
    <s v="British Columbia"/>
    <x v="6"/>
    <s v="Corporate"/>
    <s v="Technology"/>
    <x v="6"/>
    <x v="25"/>
    <d v="2009-11-30T00:00:00"/>
    <s v="30-Nov-2009"/>
  </r>
  <r>
    <n v="47553"/>
    <d v="2011-05-22T00:00:00"/>
    <s v="Medium"/>
    <s v="22-May-2011"/>
    <n v="49"/>
    <n v="20701.928"/>
    <n v="0.08"/>
    <s v="Delivery Truck"/>
    <n v="3918.54"/>
    <n v="550.98"/>
    <n v="45.7"/>
    <s v="Dan Campbell"/>
    <s v="British Columbia"/>
    <x v="6"/>
    <s v="Corporate"/>
    <s v="Furniture"/>
    <x v="3"/>
    <x v="35"/>
    <d v="2011-05-23T00:00:00"/>
    <s v="23-May-2011"/>
  </r>
  <r>
    <n v="6368"/>
    <d v="2009-02-22T00:00:00"/>
    <s v="Not Specified"/>
    <s v="22-Feb-2009"/>
    <n v="40"/>
    <n v="19100.45"/>
    <n v="0"/>
    <s v="Delivery Truck"/>
    <n v="6839.95"/>
    <n v="442.14"/>
    <n v="14.7"/>
    <s v="Anthony O'Donnell"/>
    <s v="British Columbia"/>
    <x v="6"/>
    <s v="Corporate"/>
    <s v="Technology"/>
    <x v="0"/>
    <x v="0"/>
    <d v="2009-02-22T00:00:00"/>
    <s v="22-Feb-2009"/>
  </r>
  <r>
    <n v="37410"/>
    <d v="2010-10-12T00:00:00"/>
    <s v="Medium"/>
    <s v="12-Oct-2010"/>
    <n v="45"/>
    <n v="18775.759999999998"/>
    <n v="0.03"/>
    <s v="Delivery Truck"/>
    <n v="8504.4699999999993"/>
    <n v="400.97"/>
    <n v="48.26"/>
    <s v="Chuck Clark"/>
    <s v="British Columbia"/>
    <x v="6"/>
    <s v="Corporate"/>
    <s v="Technology"/>
    <x v="0"/>
    <x v="10"/>
    <d v="2010-10-14T00:00:00"/>
    <s v="14-Oct-2010"/>
  </r>
  <r>
    <n v="36836"/>
    <d v="2010-02-26T00:00:00"/>
    <s v="Medium"/>
    <s v="26-Feb-2010"/>
    <n v="43"/>
    <n v="16116.33"/>
    <n v="0.08"/>
    <s v="Regular Air"/>
    <n v="6919.87"/>
    <n v="387.99"/>
    <n v="19.989999999999998"/>
    <s v="Karen Carlisle"/>
    <s v="British Columbia"/>
    <x v="6"/>
    <s v="Corporate"/>
    <s v="Office Supplies"/>
    <x v="1"/>
    <x v="1"/>
    <d v="2010-03-01T00:00:00"/>
    <s v="01-Mar-2010"/>
  </r>
  <r>
    <n v="7427"/>
    <d v="2012-12-15T00:00:00"/>
    <s v="Not Specified"/>
    <s v="15-Dec-2012"/>
    <n v="47"/>
    <n v="16002.29"/>
    <n v="0.09"/>
    <s v="Regular Air"/>
    <n v="4604.79"/>
    <n v="363.25"/>
    <n v="19.989999999999998"/>
    <s v="Ricardo Emerson"/>
    <s v="British Columbia"/>
    <x v="6"/>
    <s v="Corporate"/>
    <s v="Office Supplies"/>
    <x v="5"/>
    <x v="6"/>
    <d v="2012-12-15T00:00:00"/>
    <s v="15-Dec-2012"/>
  </r>
  <r>
    <n v="35364"/>
    <d v="2009-12-12T00:00:00"/>
    <s v="Critical"/>
    <s v="12-Dec-2009"/>
    <n v="37"/>
    <n v="15897.01"/>
    <n v="0.06"/>
    <s v="Delivery Truck"/>
    <n v="455.02"/>
    <n v="424.21"/>
    <n v="110.2"/>
    <s v="Lisa DeCherney"/>
    <s v="British Columbia"/>
    <x v="6"/>
    <s v="Corporate"/>
    <s v="Furniture"/>
    <x v="3"/>
    <x v="46"/>
    <d v="2009-12-13T00:00:00"/>
    <s v="13-Dec-2009"/>
  </r>
  <r>
    <n v="31874"/>
    <d v="2012-09-15T00:00:00"/>
    <s v="High"/>
    <s v="15-Sep-2012"/>
    <n v="39"/>
    <n v="13244.04"/>
    <n v="0.05"/>
    <s v="Delivery Truck"/>
    <n v="275.93"/>
    <n v="348.21"/>
    <n v="84.84"/>
    <s v="Shahid Shariari"/>
    <s v="British Columbia"/>
    <x v="6"/>
    <s v="Corporate"/>
    <s v="Furniture"/>
    <x v="3"/>
    <x v="32"/>
    <d v="2012-09-15T00:00:00"/>
    <s v="15-Sep-2012"/>
  </r>
  <r>
    <n v="44261"/>
    <d v="2012-03-23T00:00:00"/>
    <s v="High"/>
    <s v="23-Mar-2012"/>
    <n v="31"/>
    <n v="13064.06"/>
    <n v="0.01"/>
    <s v="Express Air"/>
    <n v="5979.56"/>
    <n v="420.98"/>
    <n v="19.989999999999998"/>
    <s v="Juliana Krohn"/>
    <s v="British Columbia"/>
    <x v="6"/>
    <s v="Corporate"/>
    <s v="Office Supplies"/>
    <x v="1"/>
    <x v="2"/>
    <d v="2012-03-25T00:00:00"/>
    <s v="25-Mar-2012"/>
  </r>
  <r>
    <n v="33665"/>
    <d v="2011-05-25T00:00:00"/>
    <s v="Low"/>
    <s v="25-May-2011"/>
    <n v="45"/>
    <n v="12457.63"/>
    <n v="0.08"/>
    <s v="Delivery Truck"/>
    <n v="1063.46"/>
    <n v="284.98"/>
    <n v="69.55"/>
    <s v="Lisa DeCherney"/>
    <s v="British Columbia"/>
    <x v="6"/>
    <s v="Corporate"/>
    <s v="Furniture"/>
    <x v="2"/>
    <x v="18"/>
    <d v="2011-05-30T00:00:00"/>
    <s v="30-May-2011"/>
  </r>
  <r>
    <n v="44099"/>
    <d v="2012-03-12T00:00:00"/>
    <s v="Medium"/>
    <s v="12-Mar-2012"/>
    <n v="34"/>
    <n v="11823.52"/>
    <n v="0.1"/>
    <s v="Regular Air"/>
    <n v="4592.74"/>
    <n v="367.99"/>
    <n v="19.989999999999998"/>
    <s v="Alan Schoenberger"/>
    <s v="British Columbia"/>
    <x v="6"/>
    <s v="Corporate"/>
    <s v="Office Supplies"/>
    <x v="1"/>
    <x v="27"/>
    <d v="2012-03-14T00:00:00"/>
    <s v="14-Mar-2012"/>
  </r>
  <r>
    <n v="2595"/>
    <d v="2011-12-13T00:00:00"/>
    <s v="Not Specified"/>
    <s v="13-Dec-2011"/>
    <n v="13"/>
    <n v="11764.25"/>
    <n v="0.04"/>
    <s v="Delivery Truck"/>
    <n v="2322.44"/>
    <n v="880.98"/>
    <n v="44.55"/>
    <s v="Art Miller"/>
    <s v="British Columbia"/>
    <x v="6"/>
    <s v="Corporate"/>
    <s v="Furniture"/>
    <x v="8"/>
    <x v="44"/>
    <d v="2011-12-14T00:00:00"/>
    <s v="14-Dec-2011"/>
  </r>
  <r>
    <n v="23745"/>
    <d v="2012-12-05T00:00:00"/>
    <s v="Low"/>
    <s v="05-Dec-2012"/>
    <n v="47"/>
    <n v="10941.23"/>
    <n v="0"/>
    <s v="Delivery Truck"/>
    <n v="1687.07"/>
    <n v="227.55"/>
    <n v="32.479999999999997"/>
    <s v="Duane Noonan"/>
    <s v="British Columbia"/>
    <x v="6"/>
    <s v="Corporate"/>
    <s v="Furniture"/>
    <x v="3"/>
    <x v="48"/>
    <d v="2012-12-09T00:00:00"/>
    <s v="09-Dec-2012"/>
  </r>
  <r>
    <n v="35364"/>
    <d v="2009-12-12T00:00:00"/>
    <s v="Critical"/>
    <s v="12-Dec-2009"/>
    <n v="29"/>
    <n v="10338.93"/>
    <n v="0.06"/>
    <s v="Delivery Truck"/>
    <n v="-871.52"/>
    <n v="376.13"/>
    <n v="85.63"/>
    <s v="Lisa DeCherney"/>
    <s v="British Columbia"/>
    <x v="6"/>
    <s v="Corporate"/>
    <s v="Furniture"/>
    <x v="3"/>
    <x v="37"/>
    <d v="2009-12-14T00:00:00"/>
    <s v="14-Dec-2009"/>
  </r>
  <r>
    <n v="1221"/>
    <d v="2012-04-18T00:00:00"/>
    <s v="Not Specified"/>
    <s v="18-Apr-2012"/>
    <n v="11"/>
    <n v="10145.14"/>
    <n v="0.03"/>
    <s v="Regular Air"/>
    <n v="3724.57"/>
    <n v="896.99"/>
    <n v="19.989999999999998"/>
    <s v="Lela Donovan"/>
    <s v="British Columbia"/>
    <x v="6"/>
    <s v="Corporate"/>
    <s v="Office Supplies"/>
    <x v="1"/>
    <x v="1"/>
    <d v="2012-04-20T00:00:00"/>
    <s v="20-Apr-2012"/>
  </r>
  <r>
    <n v="41413"/>
    <d v="2011-11-16T00:00:00"/>
    <s v="Low"/>
    <s v="16-Nov-2011"/>
    <n v="17"/>
    <n v="10134.549999999999"/>
    <n v="0.08"/>
    <s v="Regular Air"/>
    <n v="-597.21"/>
    <n v="599.99"/>
    <n v="24.49"/>
    <s v="Art Miller"/>
    <s v="British Columbia"/>
    <x v="6"/>
    <s v="Corporate"/>
    <s v="Technology"/>
    <x v="6"/>
    <x v="7"/>
    <d v="2011-11-23T00:00:00"/>
    <s v="23-Nov-2011"/>
  </r>
  <r>
    <n v="22657"/>
    <d v="2011-10-29T00:00:00"/>
    <s v="High"/>
    <s v="29-Oct-2011"/>
    <n v="36"/>
    <n v="9544.18"/>
    <n v="0"/>
    <s v="Express Air"/>
    <n v="3392.88"/>
    <n v="256.99"/>
    <n v="11.25"/>
    <s v="Ralph Kennedy"/>
    <s v="British Columbia"/>
    <x v="6"/>
    <s v="Corporate"/>
    <s v="Technology"/>
    <x v="11"/>
    <x v="51"/>
    <d v="2011-10-30T00:00:00"/>
    <s v="30-Oct-2011"/>
  </r>
  <r>
    <n v="4261"/>
    <d v="2012-10-02T00:00:00"/>
    <s v="Critical"/>
    <s v="02-Oct-2012"/>
    <n v="32"/>
    <n v="9235.9699999999993"/>
    <n v="0.04"/>
    <s v="Regular Air"/>
    <n v="2848.17"/>
    <n v="300.64999999999998"/>
    <n v="24.49"/>
    <s v="Lela Donovan"/>
    <s v="British Columbia"/>
    <x v="6"/>
    <s v="Corporate"/>
    <s v="Office Supplies"/>
    <x v="5"/>
    <x v="24"/>
    <d v="2012-10-04T00:00:00"/>
    <s v="04-Oct-2012"/>
  </r>
  <r>
    <n v="12199"/>
    <d v="2011-12-14T00:00:00"/>
    <s v="Low"/>
    <s v="14-Dec-2011"/>
    <n v="50"/>
    <n v="8289.51"/>
    <n v="0.01"/>
    <s v="Regular Air"/>
    <n v="3051.62"/>
    <n v="155.06"/>
    <n v="7.07"/>
    <s v="Justin Knight"/>
    <s v="British Columbia"/>
    <x v="6"/>
    <s v="Corporate"/>
    <s v="Office Supplies"/>
    <x v="4"/>
    <x v="14"/>
    <d v="2011-12-18T00:00:00"/>
    <s v="18-Dec-2011"/>
  </r>
  <r>
    <n v="47457"/>
    <d v="2009-06-03T00:00:00"/>
    <s v="Low"/>
    <s v="03-Jun-2009"/>
    <n v="50"/>
    <n v="8230.77"/>
    <n v="0.05"/>
    <s v="Regular Air"/>
    <n v="1577.02"/>
    <n v="161.55000000000001"/>
    <n v="19.989999999999998"/>
    <s v="Alejandro Savely"/>
    <s v="British Columbia"/>
    <x v="6"/>
    <s v="Corporate"/>
    <s v="Office Supplies"/>
    <x v="4"/>
    <x v="32"/>
    <d v="2009-06-08T00:00:00"/>
    <s v="08-Jun-2009"/>
  </r>
  <r>
    <n v="10692"/>
    <d v="2009-07-26T00:00:00"/>
    <s v="Low"/>
    <s v="26-Jul-2009"/>
    <n v="48"/>
    <n v="8101.9875000000002"/>
    <n v="0.05"/>
    <s v="Regular Air"/>
    <n v="2369.84"/>
    <n v="200.99"/>
    <n v="4.2"/>
    <s v="Rob Haberlin"/>
    <s v="British Columbia"/>
    <x v="6"/>
    <s v="Corporate"/>
    <s v="Technology"/>
    <x v="10"/>
    <x v="14"/>
    <d v="2009-07-30T00:00:00"/>
    <s v="30-Jul-2009"/>
  </r>
  <r>
    <n v="23685"/>
    <d v="2012-06-29T00:00:00"/>
    <s v="Not Specified"/>
    <s v="29-Jun-2012"/>
    <n v="46"/>
    <n v="7928.5619999999999"/>
    <n v="0.08"/>
    <s v="Regular Air"/>
    <n v="2229.48"/>
    <n v="205.99"/>
    <n v="5"/>
    <s v="Cynthia Delaney"/>
    <s v="British Columbia"/>
    <x v="6"/>
    <s v="Corporate"/>
    <s v="Technology"/>
    <x v="10"/>
    <x v="14"/>
    <d v="2012-06-30T00:00:00"/>
    <s v="30-Jun-2012"/>
  </r>
  <r>
    <n v="47972"/>
    <d v="2010-10-11T00:00:00"/>
    <s v="Medium"/>
    <s v="11-Oct-2010"/>
    <n v="46"/>
    <n v="7685.62"/>
    <n v="0.02"/>
    <s v="Express Air"/>
    <n v="1952.15"/>
    <n v="165.2"/>
    <n v="19.989999999999998"/>
    <s v="Brendan Murry"/>
    <s v="British Columbia"/>
    <x v="6"/>
    <s v="Corporate"/>
    <s v="Office Supplies"/>
    <x v="4"/>
    <x v="14"/>
    <d v="2010-10-13T00:00:00"/>
    <s v="13-Oct-2010"/>
  </r>
  <r>
    <n v="20389"/>
    <d v="2009-08-11T00:00:00"/>
    <s v="High"/>
    <s v="11-Aug-2009"/>
    <n v="31"/>
    <n v="7477.78"/>
    <n v="0.09"/>
    <s v="Delivery Truck"/>
    <n v="883.29"/>
    <n v="260.98"/>
    <n v="41.91"/>
    <s v="Liz Price"/>
    <s v="British Columbia"/>
    <x v="6"/>
    <s v="Corporate"/>
    <s v="Furniture"/>
    <x v="8"/>
    <x v="14"/>
    <d v="2009-08-13T00:00:00"/>
    <s v="13-Aug-2009"/>
  </r>
  <r>
    <n v="11074"/>
    <d v="2011-06-09T00:00:00"/>
    <s v="High"/>
    <s v="09-Jun-2011"/>
    <n v="44"/>
    <n v="7164.7434999999996"/>
    <n v="7.0000000000000007E-2"/>
    <s v="Regular Air"/>
    <n v="1609.29"/>
    <n v="205.99"/>
    <n v="5.99"/>
    <s v="Cynthia Delaney"/>
    <s v="British Columbia"/>
    <x v="6"/>
    <s v="Corporate"/>
    <s v="Technology"/>
    <x v="10"/>
    <x v="14"/>
    <d v="2011-06-10T00:00:00"/>
    <s v="10-Jun-2011"/>
  </r>
  <r>
    <n v="44320"/>
    <d v="2009-04-29T00:00:00"/>
    <s v="Medium"/>
    <s v="29-Apr-2009"/>
    <n v="49"/>
    <n v="7002.08"/>
    <n v="0.1"/>
    <s v="Regular Air"/>
    <n v="-1640.51"/>
    <n v="154.13"/>
    <n v="69"/>
    <s v="Sally Knutson"/>
    <s v="British Columbia"/>
    <x v="6"/>
    <s v="Corporate"/>
    <s v="Furniture"/>
    <x v="3"/>
    <x v="48"/>
    <d v="2009-04-30T00:00:00"/>
    <s v="30-Apr-2009"/>
  </r>
  <r>
    <n v="52448"/>
    <d v="2010-09-10T00:00:00"/>
    <s v="Not Specified"/>
    <s v="10-Sep-2010"/>
    <n v="22"/>
    <n v="6767.43"/>
    <n v="0.05"/>
    <s v="Delivery Truck"/>
    <n v="803.48"/>
    <n v="320.98"/>
    <n v="58.95"/>
    <s v="Barry Weirich"/>
    <s v="British Columbia"/>
    <x v="6"/>
    <s v="Corporate"/>
    <s v="Furniture"/>
    <x v="2"/>
    <x v="6"/>
    <d v="2010-09-11T00:00:00"/>
    <s v="11-Sep-2010"/>
  </r>
  <r>
    <n v="20961"/>
    <d v="2010-01-14T00:00:00"/>
    <s v="Not Specified"/>
    <s v="14-Jan-2010"/>
    <n v="34"/>
    <n v="6607.92"/>
    <n v="0.06"/>
    <s v="Regular Air"/>
    <n v="1462.72"/>
    <n v="199.99"/>
    <n v="24.49"/>
    <s v="Lela Donovan"/>
    <s v="British Columbia"/>
    <x v="6"/>
    <s v="Corporate"/>
    <s v="Technology"/>
    <x v="6"/>
    <x v="29"/>
    <d v="2010-01-16T00:00:00"/>
    <s v="16-Jan-2010"/>
  </r>
  <r>
    <n v="10144"/>
    <d v="2011-01-02T00:00:00"/>
    <s v="Critical"/>
    <s v="02-Jan-2011"/>
    <n v="24"/>
    <n v="6408.3"/>
    <n v="0.1"/>
    <s v="Delivery Truck"/>
    <n v="539.54"/>
    <n v="280.98"/>
    <n v="35.67"/>
    <s v="Sonia Sunley"/>
    <s v="British Columbia"/>
    <x v="6"/>
    <s v="Corporate"/>
    <s v="Furniture"/>
    <x v="3"/>
    <x v="32"/>
    <d v="2011-01-02T00:00:00"/>
    <s v="02-Jan-2011"/>
  </r>
  <r>
    <n v="41440"/>
    <d v="2009-09-22T00:00:00"/>
    <s v="High"/>
    <s v="22-Sep-2009"/>
    <n v="19"/>
    <n v="6070.96"/>
    <n v="0.01"/>
    <s v="Delivery Truck"/>
    <n v="173.48"/>
    <n v="296.18"/>
    <n v="54.12"/>
    <s v="Alejandro Savely"/>
    <s v="British Columbia"/>
    <x v="6"/>
    <s v="Corporate"/>
    <s v="Furniture"/>
    <x v="3"/>
    <x v="40"/>
    <d v="2009-09-25T00:00:00"/>
    <s v="25-Sep-2009"/>
  </r>
  <r>
    <n v="51584"/>
    <d v="2010-10-17T00:00:00"/>
    <s v="Critical"/>
    <s v="17-Oct-2010"/>
    <n v="48"/>
    <n v="5620.2"/>
    <n v="0.01"/>
    <s v="Delivery Truck"/>
    <n v="176.04"/>
    <n v="110.98"/>
    <n v="30"/>
    <s v="Rob Haberlin"/>
    <s v="British Columbia"/>
    <x v="6"/>
    <s v="Corporate"/>
    <s v="Furniture"/>
    <x v="2"/>
    <x v="35"/>
    <d v="2010-10-18T00:00:00"/>
    <s v="18-Oct-2010"/>
  </r>
  <r>
    <n v="36867"/>
    <d v="2009-09-05T00:00:00"/>
    <s v="High"/>
    <s v="05-Sep-2009"/>
    <n v="21"/>
    <n v="5482.18"/>
    <n v="0.06"/>
    <s v="Express Air"/>
    <n v="1167.3800000000001"/>
    <n v="276.2"/>
    <n v="24.49"/>
    <s v="Speros Goranitis"/>
    <s v="British Columbia"/>
    <x v="6"/>
    <s v="Corporate"/>
    <s v="Furniture"/>
    <x v="2"/>
    <x v="49"/>
    <d v="2009-09-07T00:00:00"/>
    <s v="07-Sep-2009"/>
  </r>
  <r>
    <n v="10144"/>
    <d v="2011-01-02T00:00:00"/>
    <s v="Critical"/>
    <s v="02-Jan-2011"/>
    <n v="16"/>
    <n v="5403.75"/>
    <n v="0.08"/>
    <s v="Delivery Truck"/>
    <n v="103.83"/>
    <n v="355.98"/>
    <n v="58.92"/>
    <s v="Sonia Sunley"/>
    <s v="British Columbia"/>
    <x v="6"/>
    <s v="Corporate"/>
    <s v="Furniture"/>
    <x v="2"/>
    <x v="28"/>
    <d v="2011-01-04T00:00:00"/>
    <s v="04-Jan-2011"/>
  </r>
  <r>
    <n v="17507"/>
    <d v="2012-06-12T00:00:00"/>
    <s v="Medium"/>
    <s v="12-Jun-2012"/>
    <n v="22"/>
    <n v="5393.27"/>
    <n v="0.1"/>
    <s v="Delivery Truck"/>
    <n v="353.72"/>
    <n v="270.97000000000003"/>
    <n v="28.06"/>
    <s v="Lela Donovan"/>
    <s v="British Columbia"/>
    <x v="6"/>
    <s v="Corporate"/>
    <s v="Technology"/>
    <x v="0"/>
    <x v="0"/>
    <d v="2012-06-14T00:00:00"/>
    <s v="14-Jun-2012"/>
  </r>
  <r>
    <n v="56162"/>
    <d v="2011-04-25T00:00:00"/>
    <s v="Not Specified"/>
    <s v="25-Apr-2011"/>
    <n v="30"/>
    <n v="5217.79"/>
    <n v="0.09"/>
    <s v="Delivery Truck"/>
    <n v="209.54"/>
    <n v="180.98"/>
    <n v="30"/>
    <s v="Julia Barnett"/>
    <s v="British Columbia"/>
    <x v="6"/>
    <s v="Corporate"/>
    <s v="Furniture"/>
    <x v="2"/>
    <x v="39"/>
    <d v="2011-04-27T00:00:00"/>
    <s v="27-Apr-2011"/>
  </r>
  <r>
    <n v="31553"/>
    <d v="2009-01-10T00:00:00"/>
    <s v="Critical"/>
    <s v="10-Jan-2009"/>
    <n v="32"/>
    <n v="4906.8500000000004"/>
    <n v="0.09"/>
    <s v="Regular Air"/>
    <n v="1907.94"/>
    <n v="162.93"/>
    <n v="19.989999999999998"/>
    <s v="Sean Wendt"/>
    <s v="British Columbia"/>
    <x v="6"/>
    <s v="Corporate"/>
    <s v="Office Supplies"/>
    <x v="15"/>
    <x v="4"/>
    <d v="2009-01-12T00:00:00"/>
    <s v="12-Jan-2009"/>
  </r>
  <r>
    <n v="37537"/>
    <d v="2009-01-02T00:00:00"/>
    <s v="Low"/>
    <s v="02-Jan-2009"/>
    <n v="32"/>
    <n v="4902.38"/>
    <n v="0.05"/>
    <s v="Regular Air"/>
    <n v="1438.49"/>
    <n v="155.06"/>
    <n v="7.07"/>
    <s v="Alan Schoenberger"/>
    <s v="British Columbia"/>
    <x v="6"/>
    <s v="Corporate"/>
    <s v="Office Supplies"/>
    <x v="4"/>
    <x v="14"/>
    <d v="2009-01-09T00:00:00"/>
    <s v="09-Jan-2009"/>
  </r>
  <r>
    <n v="4864"/>
    <d v="2012-11-10T00:00:00"/>
    <s v="Low"/>
    <s v="10-Nov-2012"/>
    <n v="16"/>
    <n v="4901.99"/>
    <n v="0.04"/>
    <s v="Regular Air"/>
    <n v="1724.68"/>
    <n v="315.98"/>
    <n v="19.989999999999998"/>
    <s v="Ralph Kennedy"/>
    <s v="British Columbia"/>
    <x v="6"/>
    <s v="Corporate"/>
    <s v="Office Supplies"/>
    <x v="1"/>
    <x v="1"/>
    <d v="2012-11-14T00:00:00"/>
    <s v="14-Nov-2012"/>
  </r>
  <r>
    <n v="12129"/>
    <d v="2012-12-25T00:00:00"/>
    <s v="Medium"/>
    <s v="25-Dec-2012"/>
    <n v="36"/>
    <n v="4852.05"/>
    <n v="0"/>
    <s v="Delivery Truck"/>
    <n v="-1197.58"/>
    <n v="122.99"/>
    <n v="70.2"/>
    <s v="Giulietta Weimer"/>
    <s v="British Columbia"/>
    <x v="6"/>
    <s v="Corporate"/>
    <s v="Furniture"/>
    <x v="2"/>
    <x v="37"/>
    <d v="2012-12-28T00:00:00"/>
    <s v="28-Dec-2012"/>
  </r>
  <r>
    <n v="51489"/>
    <d v="2012-03-03T00:00:00"/>
    <s v="Critical"/>
    <s v="03-Mar-2012"/>
    <n v="42"/>
    <n v="4846.68"/>
    <n v="0.04"/>
    <s v="Regular Air"/>
    <n v="820.94"/>
    <n v="110.98"/>
    <n v="13.99"/>
    <s v="Berenike Kampe"/>
    <s v="British Columbia"/>
    <x v="6"/>
    <s v="Corporate"/>
    <s v="Furniture"/>
    <x v="7"/>
    <x v="39"/>
    <d v="2012-03-05T00:00:00"/>
    <s v="05-Mar-2012"/>
  </r>
  <r>
    <n v="19044"/>
    <d v="2012-04-11T00:00:00"/>
    <s v="Low"/>
    <s v="11-Apr-2012"/>
    <n v="32"/>
    <n v="4800.4399999999996"/>
    <n v="0.08"/>
    <s v="Regular Air"/>
    <n v="1912.92"/>
    <n v="150.97999999999999"/>
    <n v="13.99"/>
    <s v="Rob Dowd"/>
    <s v="British Columbia"/>
    <x v="6"/>
    <s v="Corporate"/>
    <s v="Technology"/>
    <x v="0"/>
    <x v="1"/>
    <d v="2012-04-13T00:00:00"/>
    <s v="13-Apr-2012"/>
  </r>
  <r>
    <n v="44261"/>
    <d v="2012-03-23T00:00:00"/>
    <s v="High"/>
    <s v="23-Mar-2012"/>
    <n v="34"/>
    <n v="4771.8900000000003"/>
    <n v="0.05"/>
    <s v="Delivery Truck"/>
    <n v="-427.99"/>
    <n v="140.97999999999999"/>
    <n v="36.090000000000003"/>
    <s v="Juliana Krohn"/>
    <s v="British Columbia"/>
    <x v="6"/>
    <s v="Corporate"/>
    <s v="Furniture"/>
    <x v="8"/>
    <x v="36"/>
    <d v="2012-03-25T00:00:00"/>
    <s v="25-Mar-2012"/>
  </r>
  <r>
    <n v="37315"/>
    <d v="2012-06-05T00:00:00"/>
    <s v="Low"/>
    <s v="05-Jun-2012"/>
    <n v="31"/>
    <n v="4726.5950000000003"/>
    <n v="0.05"/>
    <s v="Express Air"/>
    <n v="1176.48"/>
    <n v="175.99"/>
    <n v="4.99"/>
    <s v="Luke Weiss"/>
    <s v="British Columbia"/>
    <x v="6"/>
    <s v="Corporate"/>
    <s v="Technology"/>
    <x v="10"/>
    <x v="14"/>
    <d v="2012-06-12T00:00:00"/>
    <s v="12-Jun-2012"/>
  </r>
  <r>
    <n v="2279"/>
    <d v="2010-02-22T00:00:00"/>
    <s v="Medium"/>
    <s v="22-Feb-2010"/>
    <n v="49"/>
    <n v="4577.18"/>
    <n v="0"/>
    <s v="Delivery Truck"/>
    <n v="205.83"/>
    <n v="90.98"/>
    <n v="30"/>
    <s v="Rob Haberlin"/>
    <s v="British Columbia"/>
    <x v="6"/>
    <s v="Corporate"/>
    <s v="Furniture"/>
    <x v="2"/>
    <x v="9"/>
    <d v="2010-02-23T00:00:00"/>
    <s v="23-Feb-2010"/>
  </r>
  <r>
    <n v="16230"/>
    <d v="2010-02-27T00:00:00"/>
    <s v="Low"/>
    <s v="27-Feb-2010"/>
    <n v="40"/>
    <n v="4538.66"/>
    <n v="0"/>
    <s v="Regular Air"/>
    <n v="506.86"/>
    <n v="111.03"/>
    <n v="8.64"/>
    <s v="Sonia Sunley"/>
    <s v="British Columbia"/>
    <x v="6"/>
    <s v="Corporate"/>
    <s v="Office Supplies"/>
    <x v="4"/>
    <x v="8"/>
    <d v="2010-03-04T00:00:00"/>
    <s v="04-Mar-2010"/>
  </r>
  <r>
    <n v="4996"/>
    <d v="2012-09-13T00:00:00"/>
    <s v="Medium"/>
    <s v="13-Sep-2012"/>
    <n v="30"/>
    <n v="4305.79"/>
    <n v="0"/>
    <s v="Regular Air"/>
    <n v="1020.32"/>
    <n v="142.86000000000001"/>
    <n v="19.989999999999998"/>
    <s v="Rob Dowd"/>
    <s v="British Columbia"/>
    <x v="6"/>
    <s v="Corporate"/>
    <s v="Office Supplies"/>
    <x v="4"/>
    <x v="0"/>
    <d v="2012-09-14T00:00:00"/>
    <s v="14-Sep-2012"/>
  </r>
  <r>
    <n v="50310"/>
    <d v="2009-08-15T00:00:00"/>
    <s v="Medium"/>
    <s v="15-Aug-2009"/>
    <n v="43"/>
    <n v="4095.76"/>
    <n v="0.03"/>
    <s v="Delivery Truck"/>
    <n v="-444.14"/>
    <n v="89.99"/>
    <n v="42"/>
    <s v="Sarah Foster"/>
    <s v="British Columbia"/>
    <x v="6"/>
    <s v="Corporate"/>
    <s v="Furniture"/>
    <x v="2"/>
    <x v="32"/>
    <d v="2009-08-18T00:00:00"/>
    <s v="18-Aug-2009"/>
  </r>
  <r>
    <n v="37537"/>
    <d v="2009-01-02T00:00:00"/>
    <s v="Low"/>
    <s v="02-Jan-2009"/>
    <n v="43"/>
    <n v="4083.19"/>
    <n v="7.0000000000000007E-2"/>
    <s v="Delivery Truck"/>
    <n v="-1049.8499999999999"/>
    <n v="100.98"/>
    <n v="45"/>
    <s v="Alan Schoenberger"/>
    <s v="British Columbia"/>
    <x v="6"/>
    <s v="Corporate"/>
    <s v="Furniture"/>
    <x v="2"/>
    <x v="39"/>
    <d v="2009-01-04T00:00:00"/>
    <s v="04-Jan-2009"/>
  </r>
  <r>
    <n v="32513"/>
    <d v="2012-02-02T00:00:00"/>
    <s v="Low"/>
    <s v="02-Feb-2012"/>
    <n v="23"/>
    <n v="3982.21"/>
    <n v="0.03"/>
    <s v="Regular Air"/>
    <n v="1413.94"/>
    <n v="165.98"/>
    <n v="19.989999999999998"/>
    <s v="Andrew Allen"/>
    <s v="British Columbia"/>
    <x v="6"/>
    <s v="Corporate"/>
    <s v="Office Supplies"/>
    <x v="1"/>
    <x v="27"/>
    <d v="2012-02-07T00:00:00"/>
    <s v="07-Feb-2012"/>
  </r>
  <r>
    <n v="19074"/>
    <d v="2012-06-25T00:00:00"/>
    <s v="Critical"/>
    <s v="25-Jun-2012"/>
    <n v="17"/>
    <n v="3816.59"/>
    <n v="0.01"/>
    <s v="Delivery Truck"/>
    <n v="191.47"/>
    <n v="208.16"/>
    <n v="68.02"/>
    <s v="Sonia Sunley"/>
    <s v="British Columbia"/>
    <x v="6"/>
    <s v="Corporate"/>
    <s v="Office Supplies"/>
    <x v="5"/>
    <x v="15"/>
    <d v="2012-06-27T00:00:00"/>
    <s v="27-Jun-2012"/>
  </r>
  <r>
    <n v="37925"/>
    <d v="2010-09-26T00:00:00"/>
    <s v="Medium"/>
    <s v="26-Sep-2010"/>
    <n v="46"/>
    <n v="3780.16"/>
    <n v="0.1"/>
    <s v="Delivery Truck"/>
    <n v="1265.82"/>
    <n v="90.97"/>
    <n v="14"/>
    <s v="Luke Weiss"/>
    <s v="British Columbia"/>
    <x v="6"/>
    <s v="Corporate"/>
    <s v="Technology"/>
    <x v="0"/>
    <x v="10"/>
    <d v="2010-09-27T00:00:00"/>
    <s v="27-Sep-2010"/>
  </r>
  <r>
    <n v="41152"/>
    <d v="2011-09-03T00:00:00"/>
    <s v="High"/>
    <s v="03-Sep-2011"/>
    <n v="49"/>
    <n v="3702.92"/>
    <n v="0.03"/>
    <s v="Regular Air"/>
    <n v="541.91999999999996"/>
    <n v="76.72"/>
    <n v="19.95"/>
    <s v="Bobby Trafton"/>
    <s v="British Columbia"/>
    <x v="6"/>
    <s v="Corporate"/>
    <s v="Office Supplies"/>
    <x v="5"/>
    <x v="41"/>
    <d v="2011-09-04T00:00:00"/>
    <s v="04-Sep-2011"/>
  </r>
  <r>
    <n v="41633"/>
    <d v="2010-11-09T00:00:00"/>
    <s v="Low"/>
    <s v="09-Nov-2010"/>
    <n v="29"/>
    <n v="3636.91"/>
    <n v="0"/>
    <s v="Delivery Truck"/>
    <n v="-1284.24"/>
    <n v="122.99"/>
    <n v="70.2"/>
    <s v="Bill Eplett"/>
    <s v="British Columbia"/>
    <x v="6"/>
    <s v="Corporate"/>
    <s v="Furniture"/>
    <x v="2"/>
    <x v="37"/>
    <d v="2010-11-09T00:00:00"/>
    <s v="09-Nov-2010"/>
  </r>
  <r>
    <n v="32611"/>
    <d v="2009-08-27T00:00:00"/>
    <s v="Medium"/>
    <s v="27-Aug-2009"/>
    <n v="19"/>
    <n v="3537.39"/>
    <n v="0"/>
    <s v="Delivery Truck"/>
    <n v="232.78"/>
    <n v="180.98"/>
    <n v="30"/>
    <s v="Neil Knudson"/>
    <s v="British Columbia"/>
    <x v="6"/>
    <s v="Corporate"/>
    <s v="Furniture"/>
    <x v="2"/>
    <x v="39"/>
    <d v="2009-08-28T00:00:00"/>
    <s v="28-Aug-2009"/>
  </r>
  <r>
    <n v="41831"/>
    <d v="2012-07-21T00:00:00"/>
    <s v="Not Specified"/>
    <s v="21-Jul-2012"/>
    <n v="43"/>
    <n v="3441.09"/>
    <n v="0.03"/>
    <s v="Delivery Truck"/>
    <n v="431.95"/>
    <n v="80.97"/>
    <n v="30.06"/>
    <s v="Muhammed Lee"/>
    <s v="British Columbia"/>
    <x v="6"/>
    <s v="Corporate"/>
    <s v="Technology"/>
    <x v="0"/>
    <x v="27"/>
    <d v="2012-07-23T00:00:00"/>
    <s v="23-Jul-2012"/>
  </r>
  <r>
    <n v="45409"/>
    <d v="2010-04-12T00:00:00"/>
    <s v="Critical"/>
    <s v="12-Apr-2010"/>
    <n v="11"/>
    <n v="3427.31"/>
    <n v="0.1"/>
    <s v="Delivery Truck"/>
    <n v="124.36"/>
    <n v="320.98"/>
    <n v="58.95"/>
    <s v="Damala Kotsonis"/>
    <s v="British Columbia"/>
    <x v="6"/>
    <s v="Corporate"/>
    <s v="Furniture"/>
    <x v="2"/>
    <x v="6"/>
    <d v="2010-04-15T00:00:00"/>
    <s v="15-Apr-2010"/>
  </r>
  <r>
    <n v="39808"/>
    <d v="2012-09-02T00:00:00"/>
    <s v="Low"/>
    <s v="02-Sep-2012"/>
    <n v="31"/>
    <n v="3413.4555"/>
    <n v="0.03"/>
    <s v="Regular Air"/>
    <n v="868.47"/>
    <n v="125.99"/>
    <n v="2.5"/>
    <s v="Brendan Murry"/>
    <s v="British Columbia"/>
    <x v="6"/>
    <s v="Corporate"/>
    <s v="Technology"/>
    <x v="10"/>
    <x v="18"/>
    <d v="2012-09-06T00:00:00"/>
    <s v="06-Sep-2012"/>
  </r>
  <r>
    <n v="42343"/>
    <d v="2009-08-14T00:00:00"/>
    <s v="Critical"/>
    <s v="14-Aug-2009"/>
    <n v="46"/>
    <n v="3412.08"/>
    <n v="0.04"/>
    <s v="Delivery Truck"/>
    <n v="239.23"/>
    <n v="70.98"/>
    <n v="26.85"/>
    <s v="Berenike Kampe"/>
    <s v="British Columbia"/>
    <x v="6"/>
    <s v="Corporate"/>
    <s v="Furniture"/>
    <x v="8"/>
    <x v="49"/>
    <d v="2009-08-16T00:00:00"/>
    <s v="16-Aug-2009"/>
  </r>
  <r>
    <n v="6337"/>
    <d v="2011-08-31T00:00:00"/>
    <s v="Not Specified"/>
    <s v="31-Aug-2011"/>
    <n v="48"/>
    <n v="3397.72"/>
    <n v="0.01"/>
    <s v="Regular Air"/>
    <n v="-912.08"/>
    <n v="70.709999999999994"/>
    <n v="37.58"/>
    <s v="Justin Knight"/>
    <s v="British Columbia"/>
    <x v="6"/>
    <s v="Corporate"/>
    <s v="Furniture"/>
    <x v="7"/>
    <x v="8"/>
    <d v="2011-09-02T00:00:00"/>
    <s v="02-Sep-2011"/>
  </r>
  <r>
    <n v="16230"/>
    <d v="2010-02-27T00:00:00"/>
    <s v="Low"/>
    <s v="27-Feb-2010"/>
    <n v="27"/>
    <n v="3379.01"/>
    <n v="0.06"/>
    <s v="Delivery Truck"/>
    <n v="-801.09"/>
    <n v="130.97999999999999"/>
    <n v="54.74"/>
    <s v="Sonia Sunley"/>
    <s v="British Columbia"/>
    <x v="6"/>
    <s v="Corporate"/>
    <s v="Furniture"/>
    <x v="8"/>
    <x v="39"/>
    <d v="2010-03-01T00:00:00"/>
    <s v="01-Mar-2010"/>
  </r>
  <r>
    <n v="44261"/>
    <d v="2012-03-23T00:00:00"/>
    <s v="High"/>
    <s v="23-Mar-2012"/>
    <n v="1"/>
    <n v="3360.3"/>
    <n v="0.05"/>
    <s v="Delivery Truck"/>
    <n v="-7961.43"/>
    <n v="3502.14"/>
    <n v="8.73"/>
    <s v="Juliana Krohn"/>
    <s v="British Columbia"/>
    <x v="6"/>
    <s v="Corporate"/>
    <s v="Technology"/>
    <x v="0"/>
    <x v="6"/>
    <d v="2012-03-24T00:00:00"/>
    <s v="24-Mar-2012"/>
  </r>
  <r>
    <n v="10048"/>
    <d v="2009-05-15T00:00:00"/>
    <s v="Not Specified"/>
    <s v="15-May-2009"/>
    <n v="46"/>
    <n v="3197.45"/>
    <n v="0.08"/>
    <s v="Regular Air"/>
    <n v="97.16"/>
    <n v="73.98"/>
    <n v="4"/>
    <s v="Sonia Sunley"/>
    <s v="British Columbia"/>
    <x v="6"/>
    <s v="Corporate"/>
    <s v="Technology"/>
    <x v="11"/>
    <x v="36"/>
    <d v="2009-05-18T00:00:00"/>
    <s v="18-May-2009"/>
  </r>
  <r>
    <n v="30659"/>
    <d v="2011-09-13T00:00:00"/>
    <s v="Critical"/>
    <s v="13-Sep-2011"/>
    <n v="45"/>
    <n v="3116.7714999999998"/>
    <n v="0.08"/>
    <s v="Regular Air"/>
    <n v="-106.51"/>
    <n v="85.99"/>
    <n v="0.99"/>
    <s v="Kelly Williams"/>
    <s v="British Columbia"/>
    <x v="6"/>
    <s v="Corporate"/>
    <s v="Technology"/>
    <x v="10"/>
    <x v="42"/>
    <d v="2011-09-15T00:00:00"/>
    <s v="15-Sep-2011"/>
  </r>
  <r>
    <n v="33570"/>
    <d v="2012-12-16T00:00:00"/>
    <s v="Not Specified"/>
    <s v="16-Dec-2012"/>
    <n v="19"/>
    <n v="3093.864"/>
    <n v="7.0000000000000007E-2"/>
    <s v="Regular Air"/>
    <n v="286.39999999999998"/>
    <n v="205.99"/>
    <n v="5.26"/>
    <s v="Ken Heidel"/>
    <s v="British Columbia"/>
    <x v="6"/>
    <s v="Corporate"/>
    <s v="Technology"/>
    <x v="10"/>
    <x v="0"/>
    <d v="2012-12-16T00:00:00"/>
    <s v="16-Dec-2012"/>
  </r>
  <r>
    <n v="18179"/>
    <d v="2009-08-01T00:00:00"/>
    <s v="Not Specified"/>
    <s v="01-Aug-2009"/>
    <n v="50"/>
    <n v="3075.83"/>
    <n v="0.03"/>
    <s v="Regular Air"/>
    <n v="1207.9100000000001"/>
    <n v="60.98"/>
    <n v="1.99"/>
    <s v="Liz Price"/>
    <s v="British Columbia"/>
    <x v="6"/>
    <s v="Corporate"/>
    <s v="Technology"/>
    <x v="11"/>
    <x v="31"/>
    <d v="2009-08-01T00:00:00"/>
    <s v="01-Aug-2009"/>
  </r>
  <r>
    <n v="30852"/>
    <d v="2009-05-14T00:00:00"/>
    <s v="Critical"/>
    <s v="14-May-2009"/>
    <n v="35"/>
    <n v="2827.1424999999999"/>
    <n v="0.01"/>
    <s v="Regular Air"/>
    <n v="713.88"/>
    <n v="95.99"/>
    <n v="4.9000000000000004"/>
    <s v="Andrew Allen"/>
    <s v="British Columbia"/>
    <x v="6"/>
    <s v="Corporate"/>
    <s v="Technology"/>
    <x v="10"/>
    <x v="0"/>
    <d v="2009-05-15T00:00:00"/>
    <s v="15-May-2009"/>
  </r>
  <r>
    <n v="41888"/>
    <d v="2009-02-28T00:00:00"/>
    <s v="Low"/>
    <s v="28-Feb-2009"/>
    <n v="29"/>
    <n v="2823.0369999999998"/>
    <n v="0.1"/>
    <s v="Regular Air"/>
    <n v="372.4"/>
    <n v="125.99"/>
    <n v="4.2"/>
    <s v="Victoria Pisteka"/>
    <s v="British Columbia"/>
    <x v="6"/>
    <s v="Corporate"/>
    <s v="Technology"/>
    <x v="10"/>
    <x v="14"/>
    <d v="2009-02-28T00:00:00"/>
    <s v="28-Feb-2009"/>
  </r>
  <r>
    <n v="38625"/>
    <d v="2010-11-17T00:00:00"/>
    <s v="Not Specified"/>
    <s v="17-Nov-2010"/>
    <n v="28"/>
    <n v="2752"/>
    <n v="0.06"/>
    <s v="Express Air"/>
    <n v="336.47"/>
    <n v="99.99"/>
    <n v="19.989999999999998"/>
    <s v="Chad Sievert"/>
    <s v="British Columbia"/>
    <x v="6"/>
    <s v="Corporate"/>
    <s v="Technology"/>
    <x v="11"/>
    <x v="24"/>
    <d v="2010-11-19T00:00:00"/>
    <s v="19-Nov-2010"/>
  </r>
  <r>
    <n v="42112"/>
    <d v="2010-12-24T00:00:00"/>
    <s v="Not Specified"/>
    <s v="24-Dec-2010"/>
    <n v="16"/>
    <n v="2744.3609999999999"/>
    <n v="0.01"/>
    <s v="Regular Air"/>
    <n v="201.03"/>
    <n v="195.99"/>
    <n v="8.99"/>
    <s v="Bill Eplett"/>
    <s v="British Columbia"/>
    <x v="6"/>
    <s v="Corporate"/>
    <s v="Technology"/>
    <x v="10"/>
    <x v="18"/>
    <d v="2010-12-26T00:00:00"/>
    <s v="26-Dec-2010"/>
  </r>
  <r>
    <n v="39136"/>
    <d v="2009-06-24T00:00:00"/>
    <s v="High"/>
    <s v="24-Jun-2009"/>
    <n v="49"/>
    <n v="2693.5140000000001"/>
    <n v="0.02"/>
    <s v="Regular Air"/>
    <n v="662.05"/>
    <n v="65.989999999999995"/>
    <n v="3.99"/>
    <s v="Shirley Jackson"/>
    <s v="British Columbia"/>
    <x v="6"/>
    <s v="Corporate"/>
    <s v="Technology"/>
    <x v="10"/>
    <x v="14"/>
    <d v="2009-06-26T00:00:00"/>
    <s v="26-Jun-2009"/>
  </r>
  <r>
    <n v="322"/>
    <d v="2012-03-18T00:00:00"/>
    <s v="Critical"/>
    <s v="18-Mar-2012"/>
    <n v="20"/>
    <n v="2634.8555000000001"/>
    <n v="0.08"/>
    <s v="Regular Air"/>
    <n v="257.76"/>
    <n v="155.99"/>
    <n v="8.08"/>
    <s v="Giulietta Weimer"/>
    <s v="British Columbia"/>
    <x v="6"/>
    <s v="Corporate"/>
    <s v="Technology"/>
    <x v="10"/>
    <x v="18"/>
    <d v="2012-03-20T00:00:00"/>
    <s v="20-Mar-2012"/>
  </r>
  <r>
    <n v="34816"/>
    <d v="2010-11-05T00:00:00"/>
    <s v="Not Specified"/>
    <s v="05-Nov-2010"/>
    <n v="43"/>
    <n v="2568.71"/>
    <n v="0.1"/>
    <s v="Regular Air"/>
    <n v="590.77"/>
    <n v="60.98"/>
    <n v="19.989999999999998"/>
    <s v="Sally Knutson"/>
    <s v="British Columbia"/>
    <x v="6"/>
    <s v="Corporate"/>
    <s v="Office Supplies"/>
    <x v="15"/>
    <x v="1"/>
    <d v="2010-11-07T00:00:00"/>
    <s v="07-Nov-2010"/>
  </r>
  <r>
    <n v="51073"/>
    <d v="2010-05-14T00:00:00"/>
    <s v="Not Specified"/>
    <s v="14-May-2010"/>
    <n v="17"/>
    <n v="2475.08"/>
    <n v="0"/>
    <s v="Express Air"/>
    <n v="958.8"/>
    <n v="136.97999999999999"/>
    <n v="24.49"/>
    <s v="Luke Weiss"/>
    <s v="British Columbia"/>
    <x v="6"/>
    <s v="Corporate"/>
    <s v="Furniture"/>
    <x v="7"/>
    <x v="14"/>
    <d v="2010-05-16T00:00:00"/>
    <s v="16-May-2010"/>
  </r>
  <r>
    <n v="17344"/>
    <d v="2010-07-19T00:00:00"/>
    <s v="Critical"/>
    <s v="19-Jul-2010"/>
    <n v="40"/>
    <n v="2405.4575"/>
    <n v="0.01"/>
    <s v="Regular Air"/>
    <n v="571.54"/>
    <n v="65.989999999999995"/>
    <n v="7.69"/>
    <s v="Rob Dowd"/>
    <s v="British Columbia"/>
    <x v="6"/>
    <s v="Corporate"/>
    <s v="Technology"/>
    <x v="10"/>
    <x v="14"/>
    <d v="2010-07-21T00:00:00"/>
    <s v="21-Jul-2010"/>
  </r>
  <r>
    <n v="51648"/>
    <d v="2012-01-01T00:00:00"/>
    <s v="Low"/>
    <s v="01-Jan-2012"/>
    <n v="45"/>
    <n v="2354.8000000000002"/>
    <n v="0.03"/>
    <s v="Regular Air"/>
    <n v="332.97"/>
    <n v="49.99"/>
    <n v="19.989999999999998"/>
    <s v="Roy Skaria"/>
    <s v="British Columbia"/>
    <x v="6"/>
    <s v="Corporate"/>
    <s v="Technology"/>
    <x v="11"/>
    <x v="25"/>
    <d v="2012-01-08T00:00:00"/>
    <s v="08-Jan-2012"/>
  </r>
  <r>
    <n v="10432"/>
    <d v="2012-01-05T00:00:00"/>
    <s v="Low"/>
    <s v="05-Jan-2012"/>
    <n v="13"/>
    <n v="2323.36"/>
    <n v="0.08"/>
    <s v="Regular Air"/>
    <n v="220.39"/>
    <n v="179.99"/>
    <n v="19.989999999999998"/>
    <s v="Sonia Sunley"/>
    <s v="British Columbia"/>
    <x v="6"/>
    <s v="Corporate"/>
    <s v="Technology"/>
    <x v="11"/>
    <x v="23"/>
    <d v="2012-01-12T00:00:00"/>
    <s v="12-Jan-2012"/>
  </r>
  <r>
    <n v="39301"/>
    <d v="2009-03-22T00:00:00"/>
    <s v="Medium"/>
    <s v="22-Mar-2009"/>
    <n v="16"/>
    <n v="2232.66"/>
    <n v="0.1"/>
    <s v="Express Air"/>
    <n v="-521.09"/>
    <n v="152.47999999999999"/>
    <n v="4"/>
    <s v="Kelly Williams"/>
    <s v="British Columbia"/>
    <x v="6"/>
    <s v="Corporate"/>
    <s v="Technology"/>
    <x v="11"/>
    <x v="11"/>
    <d v="2009-03-23T00:00:00"/>
    <s v="23-Mar-2009"/>
  </r>
  <r>
    <n v="37445"/>
    <d v="2012-02-18T00:00:00"/>
    <s v="High"/>
    <s v="18-Feb-2012"/>
    <n v="37"/>
    <n v="2180.23"/>
    <n v="0.05"/>
    <s v="Regular Air"/>
    <n v="660.25"/>
    <n v="60.22"/>
    <n v="3.5"/>
    <s v="Anthony O'Donnell"/>
    <s v="British Columbia"/>
    <x v="6"/>
    <s v="Corporate"/>
    <s v="Office Supplies"/>
    <x v="5"/>
    <x v="6"/>
    <d v="2012-02-19T00:00:00"/>
    <s v="19-Feb-2012"/>
  </r>
  <r>
    <n v="8992"/>
    <d v="2010-11-12T00:00:00"/>
    <s v="High"/>
    <s v="12-Nov-2010"/>
    <n v="14"/>
    <n v="2145.6975000000002"/>
    <n v="0.08"/>
    <s v="Regular Air"/>
    <n v="-176.79"/>
    <n v="195.99"/>
    <n v="4.2"/>
    <s v="Shahid Shariari"/>
    <s v="British Columbia"/>
    <x v="6"/>
    <s v="Corporate"/>
    <s v="Technology"/>
    <x v="10"/>
    <x v="18"/>
    <d v="2010-11-14T00:00:00"/>
    <s v="14-Nov-2010"/>
  </r>
  <r>
    <n v="43397"/>
    <d v="2011-05-12T00:00:00"/>
    <s v="Critical"/>
    <s v="12-May-2011"/>
    <n v="35"/>
    <n v="2130.31"/>
    <n v="0.08"/>
    <s v="Delivery Truck"/>
    <n v="-319.26"/>
    <n v="60.89"/>
    <n v="32.409999999999997"/>
    <s v="Damala Kotsonis"/>
    <s v="British Columbia"/>
    <x v="6"/>
    <s v="Corporate"/>
    <s v="Furniture"/>
    <x v="2"/>
    <x v="0"/>
    <d v="2011-05-13T00:00:00"/>
    <s v="13-May-2011"/>
  </r>
  <r>
    <n v="39808"/>
    <d v="2012-09-02T00:00:00"/>
    <s v="Low"/>
    <s v="02-Sep-2012"/>
    <n v="50"/>
    <n v="2026.42"/>
    <n v="0.03"/>
    <s v="Regular Air"/>
    <n v="655.36"/>
    <n v="39.979999999999997"/>
    <n v="9.83"/>
    <s v="Brendan Murry"/>
    <s v="British Columbia"/>
    <x v="6"/>
    <s v="Corporate"/>
    <s v="Office Supplies"/>
    <x v="15"/>
    <x v="27"/>
    <d v="2012-09-09T00:00:00"/>
    <s v="09-Sep-2012"/>
  </r>
  <r>
    <n v="5121"/>
    <d v="2012-05-10T00:00:00"/>
    <s v="Not Specified"/>
    <s v="10-May-2012"/>
    <n v="45"/>
    <n v="1991.703"/>
    <n v="7.0000000000000007E-2"/>
    <s v="Regular Air"/>
    <n v="559.11"/>
    <n v="55.99"/>
    <n v="1.25"/>
    <s v="Ralph Kennedy"/>
    <s v="British Columbia"/>
    <x v="6"/>
    <s v="Corporate"/>
    <s v="Technology"/>
    <x v="10"/>
    <x v="20"/>
    <d v="2012-05-11T00:00:00"/>
    <s v="11-May-2012"/>
  </r>
  <r>
    <n v="41888"/>
    <d v="2009-02-28T00:00:00"/>
    <s v="Low"/>
    <s v="28-Feb-2009"/>
    <n v="18"/>
    <n v="1979.47"/>
    <n v="0.1"/>
    <s v="Regular Air"/>
    <n v="690.27"/>
    <n v="120.98"/>
    <n v="9.07"/>
    <s v="Victoria Pisteka"/>
    <s v="British Columbia"/>
    <x v="6"/>
    <s v="Corporate"/>
    <s v="Office Supplies"/>
    <x v="1"/>
    <x v="2"/>
    <d v="2009-03-09T00:00:00"/>
    <s v="09-Mar-2009"/>
  </r>
  <r>
    <n v="56868"/>
    <d v="2011-12-03T00:00:00"/>
    <s v="Low"/>
    <s v="03-Dec-2011"/>
    <n v="34"/>
    <n v="1947.4265"/>
    <n v="0.03"/>
    <s v="Regular Air"/>
    <n v="473.27"/>
    <n v="65.989999999999995"/>
    <n v="5.92"/>
    <s v="Bobby Trafton"/>
    <s v="British Columbia"/>
    <x v="6"/>
    <s v="Corporate"/>
    <s v="Technology"/>
    <x v="10"/>
    <x v="20"/>
    <d v="2011-12-10T00:00:00"/>
    <s v="10-Dec-2011"/>
  </r>
  <r>
    <n v="36834"/>
    <d v="2009-12-24T00:00:00"/>
    <s v="Low"/>
    <s v="24-Dec-2009"/>
    <n v="11"/>
    <n v="1935.1"/>
    <n v="0.01"/>
    <s v="Delivery Truck"/>
    <n v="-42.96"/>
    <n v="170.98"/>
    <n v="35.89"/>
    <s v="Rob Dowd"/>
    <s v="British Columbia"/>
    <x v="6"/>
    <s v="Corporate"/>
    <s v="Furniture"/>
    <x v="8"/>
    <x v="32"/>
    <d v="2009-12-26T00:00:00"/>
    <s v="26-Dec-2009"/>
  </r>
  <r>
    <n v="42338"/>
    <d v="2009-11-02T00:00:00"/>
    <s v="Not Specified"/>
    <s v="02-Nov-2009"/>
    <n v="32"/>
    <n v="1909.0065"/>
    <n v="0.01"/>
    <s v="Regular Air"/>
    <n v="344.13"/>
    <n v="65.989999999999995"/>
    <n v="8.99"/>
    <s v="Adam Hart"/>
    <s v="British Columbia"/>
    <x v="6"/>
    <s v="Corporate"/>
    <s v="Technology"/>
    <x v="10"/>
    <x v="14"/>
    <d v="2009-11-04T00:00:00"/>
    <s v="04-Nov-2009"/>
  </r>
  <r>
    <n v="35"/>
    <d v="2011-10-22T00:00:00"/>
    <s v="Not Specified"/>
    <s v="22-Oct-2011"/>
    <n v="14"/>
    <n v="1892.848"/>
    <n v="0.01"/>
    <s v="Regular Air"/>
    <n v="48.99"/>
    <n v="155.99"/>
    <n v="8.99"/>
    <s v="Julie Creighton"/>
    <s v="British Columbia"/>
    <x v="6"/>
    <s v="Corporate"/>
    <s v="Technology"/>
    <x v="10"/>
    <x v="15"/>
    <d v="2011-10-24T00:00:00"/>
    <s v="24-Oct-2011"/>
  </r>
  <r>
    <n v="44256"/>
    <d v="2011-11-19T00:00:00"/>
    <s v="Low"/>
    <s v="19-Nov-2011"/>
    <n v="49"/>
    <n v="1889.04"/>
    <n v="0.1"/>
    <s v="Express Air"/>
    <n v="182.15"/>
    <n v="40.97"/>
    <n v="8.99"/>
    <s v="Sally Knutson"/>
    <s v="British Columbia"/>
    <x v="6"/>
    <s v="Corporate"/>
    <s v="Office Supplies"/>
    <x v="13"/>
    <x v="14"/>
    <d v="2011-11-26T00:00:00"/>
    <s v="26-Nov-2011"/>
  </r>
  <r>
    <n v="1925"/>
    <d v="2012-03-04T00:00:00"/>
    <s v="Critical"/>
    <s v="04-Mar-2012"/>
    <n v="7"/>
    <n v="1874.37"/>
    <n v="0.08"/>
    <s v="Regular Air"/>
    <n v="67.84"/>
    <n v="276.2"/>
    <n v="24.49"/>
    <s v="Brian Moss"/>
    <s v="British Columbia"/>
    <x v="6"/>
    <s v="Corporate"/>
    <s v="Furniture"/>
    <x v="2"/>
    <x v="49"/>
    <d v="2012-03-05T00:00:00"/>
    <s v="05-Mar-2012"/>
  </r>
  <r>
    <n v="43682"/>
    <d v="2012-08-27T00:00:00"/>
    <s v="Medium"/>
    <s v="27-Aug-2012"/>
    <n v="14"/>
    <n v="1849.6"/>
    <n v="0.06"/>
    <s v="Regular Air"/>
    <n v="62.16"/>
    <n v="155.99"/>
    <n v="8.99"/>
    <s v="Tim Taslimi"/>
    <s v="British Columbia"/>
    <x v="6"/>
    <s v="Corporate"/>
    <s v="Technology"/>
    <x v="10"/>
    <x v="20"/>
    <d v="2012-08-29T00:00:00"/>
    <s v="29-Aug-2012"/>
  </r>
  <r>
    <n v="50310"/>
    <d v="2009-08-15T00:00:00"/>
    <s v="Medium"/>
    <s v="15-Aug-2009"/>
    <n v="42"/>
    <n v="1811.3"/>
    <n v="7.0000000000000007E-2"/>
    <s v="Express Air"/>
    <n v="520.41"/>
    <n v="42.98"/>
    <n v="4.62"/>
    <s v="Sarah Foster"/>
    <s v="British Columbia"/>
    <x v="6"/>
    <s v="Corporate"/>
    <s v="Office Supplies"/>
    <x v="5"/>
    <x v="0"/>
    <d v="2009-08-17T00:00:00"/>
    <s v="17-Aug-2009"/>
  </r>
  <r>
    <n v="26368"/>
    <d v="2010-07-15T00:00:00"/>
    <s v="Medium"/>
    <s v="15-Jul-2010"/>
    <n v="25"/>
    <n v="1809.0125"/>
    <n v="0.01"/>
    <s v="Regular Air"/>
    <n v="795.05"/>
    <n v="85.99"/>
    <n v="2.5"/>
    <s v="Shahid Shariari"/>
    <s v="British Columbia"/>
    <x v="6"/>
    <s v="Corporate"/>
    <s v="Technology"/>
    <x v="10"/>
    <x v="2"/>
    <d v="2010-07-17T00:00:00"/>
    <s v="17-Jul-2010"/>
  </r>
  <r>
    <n v="37925"/>
    <d v="2010-09-26T00:00:00"/>
    <s v="Medium"/>
    <s v="26-Sep-2010"/>
    <n v="31"/>
    <n v="1784.048"/>
    <n v="0.05"/>
    <s v="Regular Air"/>
    <n v="394.45"/>
    <n v="65.989999999999995"/>
    <n v="3.99"/>
    <s v="Luke Weiss"/>
    <s v="British Columbia"/>
    <x v="6"/>
    <s v="Corporate"/>
    <s v="Technology"/>
    <x v="10"/>
    <x v="14"/>
    <d v="2010-09-27T00:00:00"/>
    <s v="27-Sep-2010"/>
  </r>
  <r>
    <n v="35938"/>
    <d v="2012-11-17T00:00:00"/>
    <s v="Not Specified"/>
    <s v="17-Nov-2012"/>
    <n v="6"/>
    <n v="1770.7"/>
    <n v="0.05"/>
    <s v="Delivery Truck"/>
    <n v="-448.25"/>
    <n v="280.98"/>
    <n v="57"/>
    <s v="Bart Folk"/>
    <s v="British Columbia"/>
    <x v="6"/>
    <s v="Corporate"/>
    <s v="Furniture"/>
    <x v="2"/>
    <x v="8"/>
    <d v="2012-11-19T00:00:00"/>
    <s v="19-Nov-2012"/>
  </r>
  <r>
    <n v="41413"/>
    <d v="2011-11-16T00:00:00"/>
    <s v="Low"/>
    <s v="16-Nov-2011"/>
    <n v="46"/>
    <n v="1765.64"/>
    <n v="0.08"/>
    <s v="Regular Air"/>
    <n v="108.65"/>
    <n v="40.97"/>
    <n v="14.45"/>
    <s v="Art Miller"/>
    <s v="British Columbia"/>
    <x v="6"/>
    <s v="Corporate"/>
    <s v="Furniture"/>
    <x v="7"/>
    <x v="6"/>
    <d v="2011-11-18T00:00:00"/>
    <s v="18-Nov-2011"/>
  </r>
  <r>
    <n v="51073"/>
    <d v="2010-05-14T00:00:00"/>
    <s v="Not Specified"/>
    <s v="14-May-2010"/>
    <n v="49"/>
    <n v="1610.42"/>
    <n v="0"/>
    <s v="Regular Air"/>
    <n v="813.35"/>
    <n v="30.93"/>
    <n v="3.92"/>
    <s v="Luke Weiss"/>
    <s v="British Columbia"/>
    <x v="6"/>
    <s v="Corporate"/>
    <s v="Furniture"/>
    <x v="7"/>
    <x v="47"/>
    <d v="2010-05-15T00:00:00"/>
    <s v="15-May-2010"/>
  </r>
  <r>
    <n v="7169"/>
    <d v="2010-03-26T00:00:00"/>
    <s v="Medium"/>
    <s v="26-Mar-2010"/>
    <n v="30"/>
    <n v="1580.6005"/>
    <n v="7.0000000000000007E-2"/>
    <s v="Regular Air"/>
    <n v="303.52999999999997"/>
    <n v="65.989999999999995"/>
    <n v="2.79"/>
    <s v="Lela Donovan"/>
    <s v="British Columbia"/>
    <x v="6"/>
    <s v="Corporate"/>
    <s v="Technology"/>
    <x v="10"/>
    <x v="0"/>
    <d v="2010-03-28T00:00:00"/>
    <s v="28-Mar-2010"/>
  </r>
  <r>
    <n v="31297"/>
    <d v="2012-08-18T00:00:00"/>
    <s v="Low"/>
    <s v="18-Aug-2012"/>
    <n v="44"/>
    <n v="1579.56"/>
    <n v="0.01"/>
    <s v="Regular Air"/>
    <n v="699.64"/>
    <n v="35.44"/>
    <n v="4.92"/>
    <s v="Mike Kennedy"/>
    <s v="British Columbia"/>
    <x v="6"/>
    <s v="Corporate"/>
    <s v="Office Supplies"/>
    <x v="12"/>
    <x v="1"/>
    <d v="2012-08-27T00:00:00"/>
    <s v="27-Aug-2012"/>
  </r>
  <r>
    <n v="4261"/>
    <d v="2012-10-02T00:00:00"/>
    <s v="Critical"/>
    <s v="02-Oct-2012"/>
    <n v="22"/>
    <n v="1556.87"/>
    <n v="0.04"/>
    <s v="Delivery Truck"/>
    <n v="-521.41999999999996"/>
    <n v="68.81"/>
    <n v="60"/>
    <s v="Lela Donovan"/>
    <s v="British Columbia"/>
    <x v="6"/>
    <s v="Corporate"/>
    <s v="Office Supplies"/>
    <x v="5"/>
    <x v="25"/>
    <d v="2012-10-03T00:00:00"/>
    <s v="03-Oct-2012"/>
  </r>
  <r>
    <n v="54564"/>
    <d v="2010-12-06T00:00:00"/>
    <s v="High"/>
    <s v="06-Dec-2010"/>
    <n v="27"/>
    <n v="1553.8679999999999"/>
    <n v="0.04"/>
    <s v="Express Air"/>
    <n v="322.51"/>
    <n v="65.989999999999995"/>
    <n v="5.92"/>
    <s v="Brendan Murry"/>
    <s v="British Columbia"/>
    <x v="6"/>
    <s v="Corporate"/>
    <s v="Technology"/>
    <x v="10"/>
    <x v="20"/>
    <d v="2010-12-08T00:00:00"/>
    <s v="08-Dec-2010"/>
  </r>
  <r>
    <n v="36805"/>
    <d v="2010-12-14T00:00:00"/>
    <s v="Medium"/>
    <s v="14-Dec-2010"/>
    <n v="28"/>
    <n v="1546.3965000000001"/>
    <n v="7.0000000000000007E-2"/>
    <s v="Express Air"/>
    <n v="226.72"/>
    <n v="65.989999999999995"/>
    <n v="5.26"/>
    <s v="Shahid Shariari"/>
    <s v="British Columbia"/>
    <x v="6"/>
    <s v="Corporate"/>
    <s v="Technology"/>
    <x v="10"/>
    <x v="14"/>
    <d v="2010-12-16T00:00:00"/>
    <s v="16-Dec-2010"/>
  </r>
  <r>
    <n v="11782"/>
    <d v="2012-07-28T00:00:00"/>
    <s v="Low"/>
    <s v="28-Jul-2012"/>
    <n v="27"/>
    <n v="1541.7809999999999"/>
    <n v="7.0000000000000007E-2"/>
    <s v="Regular Air"/>
    <n v="14.35"/>
    <n v="66.989999999999995"/>
    <n v="13.99"/>
    <s v="Marina Lichtenstein"/>
    <s v="British Columbia"/>
    <x v="6"/>
    <s v="Corporate"/>
    <s v="Technology"/>
    <x v="10"/>
    <x v="18"/>
    <d v="2012-08-04T00:00:00"/>
    <s v="04-Aug-2012"/>
  </r>
  <r>
    <n v="11553"/>
    <d v="2009-04-18T00:00:00"/>
    <s v="Medium"/>
    <s v="18-Apr-2009"/>
    <n v="20"/>
    <n v="1531.4110000000001"/>
    <n v="0.03"/>
    <s v="Regular Air"/>
    <n v="365.42"/>
    <n v="85.99"/>
    <n v="0.99"/>
    <s v="Justin Knight"/>
    <s v="British Columbia"/>
    <x v="6"/>
    <s v="Corporate"/>
    <s v="Technology"/>
    <x v="10"/>
    <x v="20"/>
    <d v="2009-04-20T00:00:00"/>
    <s v="20-Apr-2009"/>
  </r>
  <r>
    <n v="51362"/>
    <d v="2010-02-22T00:00:00"/>
    <s v="Medium"/>
    <s v="22-Feb-2010"/>
    <n v="47"/>
    <n v="1501.8"/>
    <n v="0.02"/>
    <s v="Regular Air"/>
    <n v="112.78"/>
    <n v="30.97"/>
    <n v="4"/>
    <s v="Tim Taslimi"/>
    <s v="British Columbia"/>
    <x v="6"/>
    <s v="Corporate"/>
    <s v="Technology"/>
    <x v="11"/>
    <x v="37"/>
    <d v="2010-02-24T00:00:00"/>
    <s v="24-Feb-2010"/>
  </r>
  <r>
    <n v="33570"/>
    <d v="2012-12-16T00:00:00"/>
    <s v="Not Specified"/>
    <s v="16-Dec-2012"/>
    <n v="1"/>
    <n v="1500.82"/>
    <n v="0.01"/>
    <s v="Delivery Truck"/>
    <n v="-3381.99"/>
    <n v="1500.97"/>
    <n v="29.7"/>
    <s v="Ken Heidel"/>
    <s v="British Columbia"/>
    <x v="6"/>
    <s v="Corporate"/>
    <s v="Technology"/>
    <x v="0"/>
    <x v="6"/>
    <d v="2012-12-18T00:00:00"/>
    <s v="18-Dec-2012"/>
  </r>
  <r>
    <n v="38021"/>
    <d v="2009-01-21T00:00:00"/>
    <s v="Medium"/>
    <s v="21-Jan-2009"/>
    <n v="46"/>
    <n v="1482.01"/>
    <n v="0.02"/>
    <s v="Regular Air"/>
    <n v="709.33"/>
    <n v="30.44"/>
    <n v="1.49"/>
    <s v="Rob Haberlin"/>
    <s v="British Columbia"/>
    <x v="6"/>
    <s v="Corporate"/>
    <s v="Office Supplies"/>
    <x v="1"/>
    <x v="7"/>
    <d v="2009-01-23T00:00:00"/>
    <s v="23-Jan-2009"/>
  </r>
  <r>
    <n v="29986"/>
    <d v="2011-07-03T00:00:00"/>
    <s v="Critical"/>
    <s v="03-Jul-2011"/>
    <n v="40"/>
    <n v="1477.39"/>
    <n v="0.03"/>
    <s v="Regular Air"/>
    <n v="641.4"/>
    <n v="37.700000000000003"/>
    <n v="2.99"/>
    <s v="Rob Dowd"/>
    <s v="British Columbia"/>
    <x v="6"/>
    <s v="Corporate"/>
    <s v="Office Supplies"/>
    <x v="1"/>
    <x v="2"/>
    <d v="2011-07-03T00:00:00"/>
    <s v="03-Jul-2011"/>
  </r>
  <r>
    <n v="6144"/>
    <d v="2009-06-21T00:00:00"/>
    <s v="Critical"/>
    <s v="21-Jun-2009"/>
    <n v="4"/>
    <n v="1472.31"/>
    <n v="0.03"/>
    <s v="Delivery Truck"/>
    <n v="-223.59"/>
    <n v="348.21"/>
    <n v="40.19"/>
    <s v="Ralph Kennedy"/>
    <s v="British Columbia"/>
    <x v="6"/>
    <s v="Corporate"/>
    <s v="Furniture"/>
    <x v="3"/>
    <x v="44"/>
    <d v="2009-06-22T00:00:00"/>
    <s v="22-Jun-2009"/>
  </r>
  <r>
    <n v="39232"/>
    <d v="2011-07-12T00:00:00"/>
    <s v="Low"/>
    <s v="12-Jul-2011"/>
    <n v="26"/>
    <n v="1451.59"/>
    <n v="0.06"/>
    <s v="Regular Air"/>
    <n v="435.11"/>
    <n v="55.48"/>
    <n v="14.3"/>
    <s v="Adam Hart"/>
    <s v="British Columbia"/>
    <x v="6"/>
    <s v="Corporate"/>
    <s v="Office Supplies"/>
    <x v="12"/>
    <x v="7"/>
    <d v="2011-07-17T00:00:00"/>
    <s v="17-Jul-2011"/>
  </r>
  <r>
    <n v="9892"/>
    <d v="2012-07-16T00:00:00"/>
    <s v="Medium"/>
    <s v="16-Jul-2012"/>
    <n v="50"/>
    <n v="1406.64"/>
    <n v="0.02"/>
    <s v="Regular Air"/>
    <n v="424.36"/>
    <n v="27.18"/>
    <n v="8.23"/>
    <s v="Kelly Williams"/>
    <s v="British Columbia"/>
    <x v="6"/>
    <s v="Corporate"/>
    <s v="Office Supplies"/>
    <x v="15"/>
    <x v="1"/>
    <d v="2012-07-17T00:00:00"/>
    <s v="17-Jul-2012"/>
  </r>
  <r>
    <n v="51879"/>
    <d v="2010-08-24T00:00:00"/>
    <s v="Not Specified"/>
    <s v="24-Aug-2010"/>
    <n v="26"/>
    <n v="1382.31"/>
    <n v="0.03"/>
    <s v="Regular Air"/>
    <n v="372.26"/>
    <n v="51.94"/>
    <n v="19.989999999999998"/>
    <s v="Monica Federle"/>
    <s v="British Columbia"/>
    <x v="6"/>
    <s v="Corporate"/>
    <s v="Furniture"/>
    <x v="7"/>
    <x v="47"/>
    <d v="2010-08-26T00:00:00"/>
    <s v="26-Aug-2010"/>
  </r>
  <r>
    <n v="39649"/>
    <d v="2009-10-19T00:00:00"/>
    <s v="High"/>
    <s v="19-Oct-2009"/>
    <n v="10"/>
    <n v="1351.653"/>
    <n v="0.01"/>
    <s v="Express Air"/>
    <n v="-202.85"/>
    <n v="155.99"/>
    <n v="8.99"/>
    <s v="Karen Carlisle"/>
    <s v="British Columbia"/>
    <x v="6"/>
    <s v="Corporate"/>
    <s v="Technology"/>
    <x v="10"/>
    <x v="15"/>
    <d v="2009-10-20T00:00:00"/>
    <s v="20-Oct-2009"/>
  </r>
  <r>
    <n v="11553"/>
    <d v="2009-04-18T00:00:00"/>
    <s v="Medium"/>
    <s v="18-Apr-2009"/>
    <n v="28"/>
    <n v="1350.34"/>
    <n v="0.1"/>
    <s v="Express Air"/>
    <n v="-517.16999999999996"/>
    <n v="52.99"/>
    <n v="19.989999999999998"/>
    <s v="Justin Knight"/>
    <s v="British Columbia"/>
    <x v="6"/>
    <s v="Corporate"/>
    <s v="Office Supplies"/>
    <x v="4"/>
    <x v="43"/>
    <d v="2009-04-19T00:00:00"/>
    <s v="19-Apr-2009"/>
  </r>
  <r>
    <n v="8992"/>
    <d v="2010-11-12T00:00:00"/>
    <s v="High"/>
    <s v="12-Nov-2010"/>
    <n v="18"/>
    <n v="1341.963"/>
    <n v="0"/>
    <s v="Regular Air"/>
    <n v="180.78"/>
    <n v="85.99"/>
    <n v="2.79"/>
    <s v="Shahid Shariari"/>
    <s v="British Columbia"/>
    <x v="6"/>
    <s v="Corporate"/>
    <s v="Technology"/>
    <x v="10"/>
    <x v="15"/>
    <d v="2010-11-13T00:00:00"/>
    <s v="13-Nov-2010"/>
  </r>
  <r>
    <n v="44450"/>
    <d v="2010-10-09T00:00:00"/>
    <s v="Critical"/>
    <s v="09-Oct-2010"/>
    <n v="24"/>
    <n v="1326.51"/>
    <n v="0.03"/>
    <s v="Regular Air"/>
    <n v="58.17"/>
    <n v="65.989999999999995"/>
    <n v="8.99"/>
    <s v="Sean Wendt"/>
    <s v="British Columbia"/>
    <x v="6"/>
    <s v="Corporate"/>
    <s v="Technology"/>
    <x v="10"/>
    <x v="18"/>
    <d v="2010-10-09T00:00:00"/>
    <s v="09-Oct-2010"/>
  </r>
  <r>
    <n v="1445"/>
    <d v="2011-01-09T00:00:00"/>
    <s v="Medium"/>
    <s v="09-Jan-2011"/>
    <n v="3"/>
    <n v="1326.09"/>
    <n v="0"/>
    <s v="Regular Air"/>
    <n v="-20.55"/>
    <n v="420.98"/>
    <n v="19.989999999999998"/>
    <s v="Shahid Shariari"/>
    <s v="British Columbia"/>
    <x v="6"/>
    <s v="Corporate"/>
    <s v="Office Supplies"/>
    <x v="1"/>
    <x v="2"/>
    <d v="2011-01-12T00:00:00"/>
    <s v="12-Jan-2011"/>
  </r>
  <r>
    <n v="10692"/>
    <d v="2009-07-26T00:00:00"/>
    <s v="Low"/>
    <s v="26-Jul-2009"/>
    <n v="8"/>
    <n v="1313.8109999999999"/>
    <n v="7.0000000000000007E-2"/>
    <s v="Regular Air"/>
    <n v="-457.16"/>
    <n v="195.99"/>
    <n v="8.99"/>
    <s v="Rob Haberlin"/>
    <s v="British Columbia"/>
    <x v="6"/>
    <s v="Corporate"/>
    <s v="Technology"/>
    <x v="10"/>
    <x v="15"/>
    <d v="2009-07-26T00:00:00"/>
    <s v="26-Jul-2009"/>
  </r>
  <r>
    <n v="42343"/>
    <d v="2009-08-14T00:00:00"/>
    <s v="Critical"/>
    <s v="14-Aug-2009"/>
    <n v="31"/>
    <n v="1311.68"/>
    <n v="0.03"/>
    <s v="Regular Air"/>
    <n v="230.37"/>
    <n v="40.99"/>
    <n v="17.48"/>
    <s v="Berenike Kampe"/>
    <s v="British Columbia"/>
    <x v="6"/>
    <s v="Corporate"/>
    <s v="Office Supplies"/>
    <x v="12"/>
    <x v="10"/>
    <d v="2009-08-15T00:00:00"/>
    <s v="15-Aug-2009"/>
  </r>
  <r>
    <n v="35364"/>
    <d v="2009-12-12T00:00:00"/>
    <s v="Critical"/>
    <s v="12-Dec-2009"/>
    <n v="8"/>
    <n v="1265.2929999999999"/>
    <n v="0.06"/>
    <s v="Regular Air"/>
    <n v="-554.44000000000005"/>
    <n v="195.99"/>
    <n v="8.99"/>
    <s v="Lisa DeCherney"/>
    <s v="British Columbia"/>
    <x v="6"/>
    <s v="Corporate"/>
    <s v="Technology"/>
    <x v="10"/>
    <x v="18"/>
    <d v="2009-12-14T00:00:00"/>
    <s v="14-Dec-2009"/>
  </r>
  <r>
    <n v="24132"/>
    <d v="2009-07-06T00:00:00"/>
    <s v="Low"/>
    <s v="06-Jul-2009"/>
    <n v="31"/>
    <n v="1252.8900000000001"/>
    <n v="0.05"/>
    <s v="Regular Air"/>
    <n v="339.75"/>
    <n v="39.06"/>
    <n v="10.55"/>
    <s v="Justin Knight"/>
    <s v="British Columbia"/>
    <x v="6"/>
    <s v="Corporate"/>
    <s v="Office Supplies"/>
    <x v="1"/>
    <x v="7"/>
    <d v="2009-07-13T00:00:00"/>
    <s v="13-Jul-2009"/>
  </r>
  <r>
    <n v="32418"/>
    <d v="2009-01-05T00:00:00"/>
    <s v="Not Specified"/>
    <s v="05-Jan-2009"/>
    <n v="5"/>
    <n v="1244.19"/>
    <n v="0.08"/>
    <s v="Delivery Truck"/>
    <n v="-131.31"/>
    <n v="243.98"/>
    <n v="43.32"/>
    <s v="Marina Lichtenstein"/>
    <s v="British Columbia"/>
    <x v="6"/>
    <s v="Corporate"/>
    <s v="Furniture"/>
    <x v="2"/>
    <x v="20"/>
    <d v="2009-01-06T00:00:00"/>
    <s v="06-Jan-2009"/>
  </r>
  <r>
    <n v="37537"/>
    <d v="2009-01-02T00:00:00"/>
    <s v="Low"/>
    <s v="02-Jan-2009"/>
    <n v="4"/>
    <n v="1239.06"/>
    <n v="0"/>
    <s v="Delivery Truck"/>
    <n v="-193.08"/>
    <n v="291.73"/>
    <n v="48.8"/>
    <s v="Alan Schoenberger"/>
    <s v="British Columbia"/>
    <x v="6"/>
    <s v="Corporate"/>
    <s v="Furniture"/>
    <x v="2"/>
    <x v="0"/>
    <d v="2009-01-02T00:00:00"/>
    <s v="02-Jan-2009"/>
  </r>
  <r>
    <n v="11332"/>
    <d v="2009-11-16T00:00:00"/>
    <s v="Low"/>
    <s v="16-Nov-2009"/>
    <n v="23"/>
    <n v="1223.3795"/>
    <n v="0.08"/>
    <s v="Express Air"/>
    <n v="83.57"/>
    <n v="65.989999999999995"/>
    <n v="5.92"/>
    <s v="Liz Price"/>
    <s v="British Columbia"/>
    <x v="6"/>
    <s v="Corporate"/>
    <s v="Technology"/>
    <x v="10"/>
    <x v="15"/>
    <d v="2009-11-23T00:00:00"/>
    <s v="23-Nov-2009"/>
  </r>
  <r>
    <n v="20646"/>
    <d v="2011-03-30T00:00:00"/>
    <s v="Medium"/>
    <s v="30-Mar-2011"/>
    <n v="41"/>
    <n v="1204.0844999999999"/>
    <n v="0.04"/>
    <s v="Regular Air"/>
    <n v="341.96"/>
    <n v="35.99"/>
    <n v="1.1000000000000001"/>
    <s v="Lauren Leatherbury"/>
    <s v="British Columbia"/>
    <x v="6"/>
    <s v="Corporate"/>
    <s v="Technology"/>
    <x v="10"/>
    <x v="20"/>
    <d v="2011-04-01T00:00:00"/>
    <s v="01-Apr-2011"/>
  </r>
  <r>
    <n v="36480"/>
    <d v="2010-08-22T00:00:00"/>
    <s v="Medium"/>
    <s v="22-Aug-2010"/>
    <n v="44"/>
    <n v="1190.8"/>
    <n v="7.0000000000000007E-2"/>
    <s v="Regular Air"/>
    <n v="502.49"/>
    <n v="28.53"/>
    <n v="1.49"/>
    <s v="Lela Donovan"/>
    <s v="British Columbia"/>
    <x v="6"/>
    <s v="Corporate"/>
    <s v="Office Supplies"/>
    <x v="1"/>
    <x v="1"/>
    <d v="2010-08-23T00:00:00"/>
    <s v="23-Aug-2010"/>
  </r>
  <r>
    <n v="34816"/>
    <d v="2010-11-05T00:00:00"/>
    <s v="Not Specified"/>
    <s v="05-Nov-2010"/>
    <n v="29"/>
    <n v="1158.45"/>
    <n v="0.1"/>
    <s v="Regular Air"/>
    <n v="267.16000000000003"/>
    <n v="41.71"/>
    <n v="4.5"/>
    <s v="Sally Knutson"/>
    <s v="British Columbia"/>
    <x v="6"/>
    <s v="Corporate"/>
    <s v="Office Supplies"/>
    <x v="5"/>
    <x v="0"/>
    <d v="2010-11-05T00:00:00"/>
    <s v="05-Nov-2010"/>
  </r>
  <r>
    <n v="42919"/>
    <d v="2011-10-06T00:00:00"/>
    <s v="Medium"/>
    <s v="06-Oct-2011"/>
    <n v="7"/>
    <n v="1143.4285"/>
    <n v="0.04"/>
    <s v="Express Air"/>
    <n v="-475.66"/>
    <n v="195.99"/>
    <n v="4.2"/>
    <s v="David Bremer"/>
    <s v="British Columbia"/>
    <x v="6"/>
    <s v="Corporate"/>
    <s v="Technology"/>
    <x v="10"/>
    <x v="0"/>
    <d v="2011-10-07T00:00:00"/>
    <s v="07-Oct-2011"/>
  </r>
  <r>
    <n v="47750"/>
    <d v="2010-06-15T00:00:00"/>
    <s v="Low"/>
    <s v="15-Jun-2010"/>
    <n v="43"/>
    <n v="1097.5999999999999"/>
    <n v="0.05"/>
    <s v="Regular Air"/>
    <n v="216.12"/>
    <n v="25.38"/>
    <n v="8.99"/>
    <s v="Sally Knutson"/>
    <s v="British Columbia"/>
    <x v="6"/>
    <s v="Corporate"/>
    <s v="Furniture"/>
    <x v="7"/>
    <x v="31"/>
    <d v="2010-06-20T00:00:00"/>
    <s v="20-Jun-2010"/>
  </r>
  <r>
    <n v="49761"/>
    <d v="2011-01-24T00:00:00"/>
    <s v="Not Specified"/>
    <s v="24-Jan-2011"/>
    <n v="45"/>
    <n v="1090.5999999999999"/>
    <n v="7.0000000000000007E-2"/>
    <s v="Regular Air"/>
    <n v="300.91000000000003"/>
    <n v="23.99"/>
    <n v="6.3"/>
    <s v="Lisa DeCherney"/>
    <s v="British Columbia"/>
    <x v="6"/>
    <s v="Corporate"/>
    <s v="Technology"/>
    <x v="0"/>
    <x v="1"/>
    <d v="2011-01-25T00:00:00"/>
    <s v="25-Jan-2011"/>
  </r>
  <r>
    <n v="24580"/>
    <d v="2012-06-23T00:00:00"/>
    <s v="High"/>
    <s v="23-Jun-2012"/>
    <n v="25"/>
    <n v="1081.22"/>
    <n v="0.08"/>
    <s v="Regular Air"/>
    <n v="130.80000000000001"/>
    <n v="43.98"/>
    <n v="8.99"/>
    <s v="Mark Cousins"/>
    <s v="British Columbia"/>
    <x v="6"/>
    <s v="Corporate"/>
    <s v="Office Supplies"/>
    <x v="13"/>
    <x v="15"/>
    <d v="2012-06-24T00:00:00"/>
    <s v="24-Jun-2012"/>
  </r>
  <r>
    <n v="38594"/>
    <d v="2009-12-01T00:00:00"/>
    <s v="Medium"/>
    <s v="01-Dec-2009"/>
    <n v="26"/>
    <n v="1011.9"/>
    <n v="7.0000000000000007E-2"/>
    <s v="Regular Air"/>
    <n v="247.94"/>
    <n v="39.479999999999997"/>
    <n v="1.99"/>
    <s v="Roland Fjeld"/>
    <s v="British Columbia"/>
    <x v="6"/>
    <s v="Corporate"/>
    <s v="Technology"/>
    <x v="11"/>
    <x v="41"/>
    <d v="2009-12-02T00:00:00"/>
    <s v="02-Dec-2009"/>
  </r>
  <r>
    <n v="55651"/>
    <d v="2012-03-07T00:00:00"/>
    <s v="Medium"/>
    <s v="07-Mar-2012"/>
    <n v="11"/>
    <n v="995.72400000000005"/>
    <n v="0.05"/>
    <s v="Regular Air"/>
    <n v="-117.61"/>
    <n v="110.99"/>
    <n v="2.5"/>
    <s v="Helen Andreada"/>
    <s v="British Columbia"/>
    <x v="6"/>
    <s v="Corporate"/>
    <s v="Technology"/>
    <x v="10"/>
    <x v="6"/>
    <d v="2012-03-08T00:00:00"/>
    <s v="08-Mar-2012"/>
  </r>
  <r>
    <n v="55203"/>
    <d v="2010-04-11T00:00:00"/>
    <s v="Low"/>
    <s v="11-Apr-2010"/>
    <n v="18"/>
    <n v="994.47450000000003"/>
    <n v="0.05"/>
    <s v="Regular Air"/>
    <n v="0.71"/>
    <n v="65.989999999999995"/>
    <n v="7.69"/>
    <s v="Natalie Webber"/>
    <s v="British Columbia"/>
    <x v="6"/>
    <s v="Corporate"/>
    <s v="Technology"/>
    <x v="10"/>
    <x v="14"/>
    <d v="2010-04-11T00:00:00"/>
    <s v="11-Apr-2010"/>
  </r>
  <r>
    <n v="51879"/>
    <d v="2010-08-24T00:00:00"/>
    <s v="Not Specified"/>
    <s v="24-Aug-2010"/>
    <n v="46"/>
    <n v="991.36"/>
    <n v="0.01"/>
    <s v="Regular Air"/>
    <n v="212.06"/>
    <n v="19.98"/>
    <n v="8.68"/>
    <s v="Monica Federle"/>
    <s v="British Columbia"/>
    <x v="6"/>
    <s v="Corporate"/>
    <s v="Office Supplies"/>
    <x v="12"/>
    <x v="7"/>
    <d v="2010-08-25T00:00:00"/>
    <s v="25-Aug-2010"/>
  </r>
  <r>
    <n v="32611"/>
    <d v="2009-08-27T00:00:00"/>
    <s v="Medium"/>
    <s v="27-Aug-2009"/>
    <n v="18"/>
    <n v="986.24"/>
    <n v="0.02"/>
    <s v="Express Air"/>
    <n v="68.900000000000006"/>
    <n v="53.98"/>
    <n v="5.5"/>
    <s v="Neil Knudson"/>
    <s v="British Columbia"/>
    <x v="6"/>
    <s v="Corporate"/>
    <s v="Technology"/>
    <x v="11"/>
    <x v="44"/>
    <d v="2009-08-28T00:00:00"/>
    <s v="28-Aug-2009"/>
  </r>
  <r>
    <n v="37830"/>
    <d v="2009-08-16T00:00:00"/>
    <s v="Not Specified"/>
    <s v="16-Aug-2009"/>
    <n v="39"/>
    <n v="977.92"/>
    <n v="0.05"/>
    <s v="Express Air"/>
    <n v="148.88999999999999"/>
    <n v="25.99"/>
    <n v="5.37"/>
    <s v="Tamara Willingham"/>
    <s v="British Columbia"/>
    <x v="6"/>
    <s v="Corporate"/>
    <s v="Office Supplies"/>
    <x v="13"/>
    <x v="0"/>
    <d v="2009-08-18T00:00:00"/>
    <s v="18-Aug-2009"/>
  </r>
  <r>
    <n v="39745"/>
    <d v="2011-05-04T00:00:00"/>
    <s v="Not Specified"/>
    <s v="04-May-2011"/>
    <n v="8"/>
    <n v="955.29"/>
    <n v="0.05"/>
    <s v="Delivery Truck"/>
    <n v="-286.2"/>
    <n v="115.99"/>
    <n v="56.14"/>
    <s v="Ralph Kennedy"/>
    <s v="British Columbia"/>
    <x v="6"/>
    <s v="Corporate"/>
    <s v="Technology"/>
    <x v="0"/>
    <x v="27"/>
    <d v="2011-05-05T00:00:00"/>
    <s v="05-May-2011"/>
  </r>
  <r>
    <n v="54336"/>
    <d v="2010-04-15T00:00:00"/>
    <s v="Medium"/>
    <s v="15-Apr-2010"/>
    <n v="50"/>
    <n v="952.21"/>
    <n v="0.05"/>
    <s v="Regular Air"/>
    <n v="403.83"/>
    <n v="18.84"/>
    <n v="3.62"/>
    <s v="Alejandro Savely"/>
    <s v="British Columbia"/>
    <x v="6"/>
    <s v="Corporate"/>
    <s v="Furniture"/>
    <x v="7"/>
    <x v="21"/>
    <d v="2010-04-17T00:00:00"/>
    <s v="17-Apr-2010"/>
  </r>
  <r>
    <n v="22119"/>
    <d v="2009-07-24T00:00:00"/>
    <s v="Low"/>
    <s v="24-Jul-2009"/>
    <n v="20"/>
    <n v="939.39"/>
    <n v="7.0000000000000007E-2"/>
    <s v="Regular Air"/>
    <n v="-122.77"/>
    <n v="49.43"/>
    <n v="19.989999999999998"/>
    <s v="Stewart Carmichael"/>
    <s v="British Columbia"/>
    <x v="6"/>
    <s v="Corporate"/>
    <s v="Office Supplies"/>
    <x v="5"/>
    <x v="6"/>
    <d v="2009-07-29T00:00:00"/>
    <s v="29-Jul-2009"/>
  </r>
  <r>
    <n v="46631"/>
    <d v="2012-03-11T00:00:00"/>
    <s v="Not Specified"/>
    <s v="11-Mar-2012"/>
    <n v="39"/>
    <n v="930.84"/>
    <n v="0.05"/>
    <s v="Regular Air"/>
    <n v="-122.12"/>
    <n v="22.84"/>
    <n v="16.920000000000002"/>
    <s v="Harold Dahlen"/>
    <s v="British Columbia"/>
    <x v="6"/>
    <s v="Corporate"/>
    <s v="Office Supplies"/>
    <x v="12"/>
    <x v="4"/>
    <d v="2012-03-13T00:00:00"/>
    <s v="13-Mar-2012"/>
  </r>
  <r>
    <n v="43043"/>
    <d v="2012-04-14T00:00:00"/>
    <s v="Critical"/>
    <s v="14-Apr-2012"/>
    <n v="4"/>
    <n v="904.12"/>
    <n v="7.0000000000000007E-2"/>
    <s v="Regular Air"/>
    <n v="28.81"/>
    <n v="225.04"/>
    <n v="11.79"/>
    <s v="Adam Hart"/>
    <s v="British Columbia"/>
    <x v="6"/>
    <s v="Corporate"/>
    <s v="Office Supplies"/>
    <x v="5"/>
    <x v="22"/>
    <d v="2012-04-16T00:00:00"/>
    <s v="16-Apr-2012"/>
  </r>
  <r>
    <n v="45409"/>
    <d v="2010-04-12T00:00:00"/>
    <s v="Critical"/>
    <s v="12-Apr-2010"/>
    <n v="50"/>
    <n v="893.13750000000005"/>
    <n v="0"/>
    <s v="Regular Air"/>
    <n v="11"/>
    <n v="20.99"/>
    <n v="1.25"/>
    <s v="Damala Kotsonis"/>
    <s v="British Columbia"/>
    <x v="6"/>
    <s v="Corporate"/>
    <s v="Technology"/>
    <x v="10"/>
    <x v="34"/>
    <d v="2010-04-15T00:00:00"/>
    <s v="15-Apr-2010"/>
  </r>
  <r>
    <n v="40420"/>
    <d v="2011-01-10T00:00:00"/>
    <s v="High"/>
    <s v="10-Jan-2011"/>
    <n v="50"/>
    <n v="886.36300000000006"/>
    <n v="0.08"/>
    <s v="Regular Air"/>
    <n v="450.02"/>
    <n v="20.99"/>
    <n v="0.99"/>
    <s v="Jeremy Pistek"/>
    <s v="British Columbia"/>
    <x v="6"/>
    <s v="Corporate"/>
    <s v="Technology"/>
    <x v="10"/>
    <x v="7"/>
    <d v="2011-01-12T00:00:00"/>
    <s v="12-Jan-2011"/>
  </r>
  <r>
    <n v="26053"/>
    <d v="2012-01-24T00:00:00"/>
    <s v="Low"/>
    <s v="24-Jan-2012"/>
    <n v="48"/>
    <n v="878.75"/>
    <n v="7.0000000000000007E-2"/>
    <s v="Express Air"/>
    <n v="70.459999999999994"/>
    <n v="18.97"/>
    <n v="9.0299999999999994"/>
    <s v="Cynthia Delaney"/>
    <s v="British Columbia"/>
    <x v="6"/>
    <s v="Corporate"/>
    <s v="Office Supplies"/>
    <x v="12"/>
    <x v="7"/>
    <d v="2012-01-24T00:00:00"/>
    <s v="24-Jan-2012"/>
  </r>
  <r>
    <n v="26277"/>
    <d v="2011-06-27T00:00:00"/>
    <s v="Medium"/>
    <s v="27-Jun-2011"/>
    <n v="17"/>
    <n v="877.81"/>
    <n v="0.02"/>
    <s v="Regular Air"/>
    <n v="-44.4"/>
    <n v="49.99"/>
    <n v="19.989999999999998"/>
    <s v="Art Miller"/>
    <s v="British Columbia"/>
    <x v="6"/>
    <s v="Corporate"/>
    <s v="Technology"/>
    <x v="11"/>
    <x v="45"/>
    <d v="2011-06-28T00:00:00"/>
    <s v="28-Jun-2011"/>
  </r>
  <r>
    <n v="48420"/>
    <d v="2009-10-11T00:00:00"/>
    <s v="Low"/>
    <s v="11-Oct-2009"/>
    <n v="46"/>
    <n v="863.26"/>
    <n v="0.09"/>
    <s v="Express Air"/>
    <n v="229.6"/>
    <n v="19.23"/>
    <n v="6.15"/>
    <s v="Berenike Kampe"/>
    <s v="British Columbia"/>
    <x v="6"/>
    <s v="Corporate"/>
    <s v="Furniture"/>
    <x v="7"/>
    <x v="47"/>
    <d v="2009-10-13T00:00:00"/>
    <s v="13-Oct-2009"/>
  </r>
  <r>
    <n v="11553"/>
    <d v="2009-04-18T00:00:00"/>
    <s v="Medium"/>
    <s v="18-Apr-2009"/>
    <n v="8"/>
    <n v="861.26"/>
    <n v="7.0000000000000007E-2"/>
    <s v="Delivery Truck"/>
    <n v="-429.86"/>
    <n v="100.98"/>
    <n v="57.38"/>
    <s v="Justin Knight"/>
    <s v="British Columbia"/>
    <x v="6"/>
    <s v="Corporate"/>
    <s v="Furniture"/>
    <x v="8"/>
    <x v="8"/>
    <d v="2009-04-21T00:00:00"/>
    <s v="21-Apr-2009"/>
  </r>
  <r>
    <n v="6374"/>
    <d v="2011-08-07T00:00:00"/>
    <s v="Critical"/>
    <s v="07-Aug-2011"/>
    <n v="29"/>
    <n v="857.42"/>
    <n v="7.0000000000000007E-2"/>
    <s v="Express Air"/>
    <n v="51.18"/>
    <n v="31.11"/>
    <n v="3.6"/>
    <s v="Ricardo Emerson"/>
    <s v="British Columbia"/>
    <x v="6"/>
    <s v="Corporate"/>
    <s v="Technology"/>
    <x v="11"/>
    <x v="28"/>
    <d v="2011-08-08T00:00:00"/>
    <s v="08-Aug-2011"/>
  </r>
  <r>
    <n v="39654"/>
    <d v="2012-09-30T00:00:00"/>
    <s v="Medium"/>
    <s v="30-Sep-2012"/>
    <n v="39"/>
    <n v="856.15"/>
    <n v="0.03"/>
    <s v="Express Air"/>
    <n v="330.03"/>
    <n v="21.38"/>
    <n v="2.99"/>
    <s v="Grant Thornton"/>
    <s v="British Columbia"/>
    <x v="6"/>
    <s v="Corporate"/>
    <s v="Office Supplies"/>
    <x v="1"/>
    <x v="7"/>
    <d v="2012-10-01T00:00:00"/>
    <s v="01-Oct-2012"/>
  </r>
  <r>
    <n v="34980"/>
    <d v="2010-08-02T00:00:00"/>
    <s v="Not Specified"/>
    <s v="02-Aug-2010"/>
    <n v="25"/>
    <n v="848.19"/>
    <n v="0.06"/>
    <s v="Express Air"/>
    <n v="120.02"/>
    <n v="34.76"/>
    <n v="5.49"/>
    <s v="Victoria Pisteka"/>
    <s v="British Columbia"/>
    <x v="6"/>
    <s v="Corporate"/>
    <s v="Office Supplies"/>
    <x v="4"/>
    <x v="18"/>
    <d v="2010-08-04T00:00:00"/>
    <s v="04-Aug-2010"/>
  </r>
  <r>
    <n v="2279"/>
    <d v="2010-02-22T00:00:00"/>
    <s v="Medium"/>
    <s v="22-Feb-2010"/>
    <n v="39"/>
    <n v="845.9"/>
    <n v="0.04"/>
    <s v="Regular Air"/>
    <n v="52.53"/>
    <n v="20.98"/>
    <n v="5.42"/>
    <s v="Rob Haberlin"/>
    <s v="British Columbia"/>
    <x v="6"/>
    <s v="Corporate"/>
    <s v="Office Supplies"/>
    <x v="4"/>
    <x v="32"/>
    <d v="2010-02-24T00:00:00"/>
    <s v="24-Feb-2010"/>
  </r>
  <r>
    <n v="40965"/>
    <d v="2009-11-20T00:00:00"/>
    <s v="Medium"/>
    <s v="20-Nov-2009"/>
    <n v="29"/>
    <n v="843.55"/>
    <n v="0.08"/>
    <s v="Regular Air"/>
    <n v="168.76"/>
    <n v="30.98"/>
    <n v="8.74"/>
    <s v="Mark Cousins"/>
    <s v="British Columbia"/>
    <x v="6"/>
    <s v="Corporate"/>
    <s v="Office Supplies"/>
    <x v="12"/>
    <x v="27"/>
    <d v="2009-11-21T00:00:00"/>
    <s v="21-Nov-2009"/>
  </r>
  <r>
    <n v="14471"/>
    <d v="2011-05-26T00:00:00"/>
    <s v="Not Specified"/>
    <s v="26-May-2011"/>
    <n v="44"/>
    <n v="823.63"/>
    <n v="0.03"/>
    <s v="Regular Air"/>
    <n v="375.02"/>
    <n v="18.649999999999999"/>
    <n v="3.77"/>
    <s v="Ralph Kennedy"/>
    <s v="British Columbia"/>
    <x v="6"/>
    <s v="Corporate"/>
    <s v="Furniture"/>
    <x v="7"/>
    <x v="4"/>
    <d v="2011-05-26T00:00:00"/>
    <s v="26-May-2011"/>
  </r>
  <r>
    <n v="39235"/>
    <d v="2010-07-14T00:00:00"/>
    <s v="Medium"/>
    <s v="14-Jul-2010"/>
    <n v="34"/>
    <n v="801.98"/>
    <n v="0"/>
    <s v="Regular Air"/>
    <n v="-99.95"/>
    <n v="21.66"/>
    <n v="13.99"/>
    <s v="Lauren Leatherbury"/>
    <s v="British Columbia"/>
    <x v="6"/>
    <s v="Corporate"/>
    <s v="Office Supplies"/>
    <x v="5"/>
    <x v="24"/>
    <d v="2010-07-16T00:00:00"/>
    <s v="16-Jul-2010"/>
  </r>
  <r>
    <n v="45762"/>
    <d v="2010-07-21T00:00:00"/>
    <s v="Low"/>
    <s v="21-Jul-2010"/>
    <n v="21"/>
    <n v="793.85"/>
    <n v="0.01"/>
    <s v="Regular Air"/>
    <n v="308.52999999999997"/>
    <n v="37.94"/>
    <n v="5.08"/>
    <s v="Barry Weirich"/>
    <s v="British Columbia"/>
    <x v="6"/>
    <s v="Corporate"/>
    <s v="Office Supplies"/>
    <x v="12"/>
    <x v="1"/>
    <d v="2010-07-26T00:00:00"/>
    <s v="26-Jul-2010"/>
  </r>
  <r>
    <n v="5095"/>
    <d v="2012-04-21T00:00:00"/>
    <s v="High"/>
    <s v="21-Apr-2012"/>
    <n v="7"/>
    <n v="786.67499999999995"/>
    <n v="0.01"/>
    <s v="Regular Air"/>
    <n v="-315.02999999999997"/>
    <n v="125.99"/>
    <n v="8.8000000000000007"/>
    <s v="Lauren Leatherbury"/>
    <s v="British Columbia"/>
    <x v="6"/>
    <s v="Corporate"/>
    <s v="Technology"/>
    <x v="10"/>
    <x v="14"/>
    <d v="2012-04-22T00:00:00"/>
    <s v="22-Apr-2012"/>
  </r>
  <r>
    <n v="27876"/>
    <d v="2010-09-07T00:00:00"/>
    <s v="Low"/>
    <s v="07-Sep-2010"/>
    <n v="44"/>
    <n v="777.63"/>
    <n v="0.03"/>
    <s v="Regular Air"/>
    <n v="-70.540000000000006"/>
    <n v="16.989999999999998"/>
    <n v="8.99"/>
    <s v="Sarah Foster"/>
    <s v="British Columbia"/>
    <x v="6"/>
    <s v="Corporate"/>
    <s v="Office Supplies"/>
    <x v="13"/>
    <x v="0"/>
    <d v="2010-09-14T00:00:00"/>
    <s v="14-Sep-2010"/>
  </r>
  <r>
    <n v="2438"/>
    <d v="2010-07-14T00:00:00"/>
    <s v="High"/>
    <s v="14-Jul-2010"/>
    <n v="23"/>
    <n v="717.46799999999996"/>
    <n v="0.01"/>
    <s v="Regular Air"/>
    <n v="316.48"/>
    <n v="35.99"/>
    <n v="0.99"/>
    <s v="Andrew Allen"/>
    <s v="British Columbia"/>
    <x v="6"/>
    <s v="Corporate"/>
    <s v="Technology"/>
    <x v="10"/>
    <x v="2"/>
    <d v="2010-07-16T00:00:00"/>
    <s v="16-Jul-2010"/>
  </r>
  <r>
    <n v="23745"/>
    <d v="2012-12-05T00:00:00"/>
    <s v="Low"/>
    <s v="05-Dec-2012"/>
    <n v="12"/>
    <n v="715.8"/>
    <n v="0.06"/>
    <s v="Regular Air"/>
    <n v="-279.12"/>
    <n v="55.5"/>
    <n v="52.2"/>
    <s v="Duane Noonan"/>
    <s v="British Columbia"/>
    <x v="6"/>
    <s v="Corporate"/>
    <s v="Furniture"/>
    <x v="7"/>
    <x v="13"/>
    <d v="2012-12-05T00:00:00"/>
    <s v="05-Dec-2012"/>
  </r>
  <r>
    <n v="38690"/>
    <d v="2012-01-20T00:00:00"/>
    <s v="Low"/>
    <s v="20-Jan-2012"/>
    <n v="28"/>
    <n v="697.5"/>
    <n v="0.02"/>
    <s v="Regular Air"/>
    <n v="169.89"/>
    <n v="23.99"/>
    <n v="6.3"/>
    <s v="Shahid Shariari"/>
    <s v="British Columbia"/>
    <x v="6"/>
    <s v="Corporate"/>
    <s v="Technology"/>
    <x v="0"/>
    <x v="1"/>
    <d v="2012-01-24T00:00:00"/>
    <s v="24-Jan-2012"/>
  </r>
  <r>
    <n v="30149"/>
    <d v="2010-12-12T00:00:00"/>
    <s v="Medium"/>
    <s v="12-Dec-2010"/>
    <n v="50"/>
    <n v="690.97"/>
    <n v="0.03"/>
    <s v="Regular Air"/>
    <n v="-16.940000000000001"/>
    <n v="13.79"/>
    <n v="8.7799999999999994"/>
    <s v="Mark Cousins"/>
    <s v="British Columbia"/>
    <x v="6"/>
    <s v="Corporate"/>
    <s v="Furniture"/>
    <x v="7"/>
    <x v="21"/>
    <d v="2010-12-15T00:00:00"/>
    <s v="15-Dec-2010"/>
  </r>
  <r>
    <n v="16230"/>
    <d v="2010-02-27T00:00:00"/>
    <s v="Low"/>
    <s v="27-Feb-2010"/>
    <n v="15"/>
    <n v="687.52"/>
    <n v="0.08"/>
    <s v="Regular Air"/>
    <n v="223.76"/>
    <n v="48.91"/>
    <n v="5.81"/>
    <s v="Sonia Sunley"/>
    <s v="British Columbia"/>
    <x v="6"/>
    <s v="Corporate"/>
    <s v="Office Supplies"/>
    <x v="12"/>
    <x v="1"/>
    <d v="2010-03-06T00:00:00"/>
    <s v="06-Mar-2010"/>
  </r>
  <r>
    <n v="31297"/>
    <d v="2012-08-18T00:00:00"/>
    <s v="Low"/>
    <s v="18-Aug-2012"/>
    <n v="39"/>
    <n v="679.95"/>
    <n v="0.08"/>
    <s v="Regular Air"/>
    <n v="-93.3"/>
    <n v="17.989999999999998"/>
    <n v="8.65"/>
    <s v="Mike Kennedy"/>
    <s v="British Columbia"/>
    <x v="6"/>
    <s v="Corporate"/>
    <s v="Office Supplies"/>
    <x v="13"/>
    <x v="6"/>
    <d v="2012-08-25T00:00:00"/>
    <s v="25-Aug-2012"/>
  </r>
  <r>
    <n v="12743"/>
    <d v="2010-06-23T00:00:00"/>
    <s v="High"/>
    <s v="23-Jun-2010"/>
    <n v="39"/>
    <n v="677.51800000000003"/>
    <n v="0.09"/>
    <s v="Regular Air"/>
    <n v="168.22"/>
    <n v="20.99"/>
    <n v="0.99"/>
    <s v="Mark Cousins"/>
    <s v="British Columbia"/>
    <x v="6"/>
    <s v="Corporate"/>
    <s v="Technology"/>
    <x v="10"/>
    <x v="6"/>
    <d v="2010-06-25T00:00:00"/>
    <s v="25-Jun-2010"/>
  </r>
  <r>
    <n v="41671"/>
    <d v="2012-12-03T00:00:00"/>
    <s v="Critical"/>
    <s v="03-Dec-2012"/>
    <n v="49"/>
    <n v="638.91"/>
    <n v="0.02"/>
    <s v="Regular Air"/>
    <n v="77.48"/>
    <n v="12.98"/>
    <n v="3.14"/>
    <s v="Bart Watters"/>
    <s v="British Columbia"/>
    <x v="6"/>
    <s v="Corporate"/>
    <s v="Office Supplies"/>
    <x v="14"/>
    <x v="18"/>
    <d v="2012-12-05T00:00:00"/>
    <s v="05-Dec-2012"/>
  </r>
  <r>
    <n v="55330"/>
    <d v="2009-08-12T00:00:00"/>
    <s v="Medium"/>
    <s v="12-Aug-2009"/>
    <n v="49"/>
    <n v="633.91"/>
    <n v="0"/>
    <s v="Regular Air"/>
    <n v="141.16999999999999"/>
    <n v="12.58"/>
    <n v="5.16"/>
    <s v="Brad Thomas"/>
    <s v="British Columbia"/>
    <x v="6"/>
    <s v="Corporate"/>
    <s v="Furniture"/>
    <x v="7"/>
    <x v="21"/>
    <d v="2009-08-12T00:00:00"/>
    <s v="12-Aug-2009"/>
  </r>
  <r>
    <n v="25635"/>
    <d v="2012-05-29T00:00:00"/>
    <s v="Critical"/>
    <s v="29-May-2012"/>
    <n v="14"/>
    <n v="633.08000000000004"/>
    <n v="0.04"/>
    <s v="Express Air"/>
    <n v="145.47999999999999"/>
    <n v="42.98"/>
    <n v="4.62"/>
    <s v="Sally Knutson"/>
    <s v="British Columbia"/>
    <x v="6"/>
    <s v="Corporate"/>
    <s v="Office Supplies"/>
    <x v="5"/>
    <x v="0"/>
    <d v="2012-05-30T00:00:00"/>
    <s v="30-May-2012"/>
  </r>
  <r>
    <n v="28068"/>
    <d v="2010-08-26T00:00:00"/>
    <s v="Low"/>
    <s v="26-Aug-2010"/>
    <n v="23"/>
    <n v="631.99"/>
    <n v="0.08"/>
    <s v="Regular Air"/>
    <n v="-43.96"/>
    <n v="27.48"/>
    <n v="4"/>
    <s v="Julie Creighton"/>
    <s v="British Columbia"/>
    <x v="6"/>
    <s v="Corporate"/>
    <s v="Technology"/>
    <x v="11"/>
    <x v="16"/>
    <d v="2010-08-28T00:00:00"/>
    <s v="28-Aug-2010"/>
  </r>
  <r>
    <n v="35938"/>
    <d v="2012-11-17T00:00:00"/>
    <s v="Not Specified"/>
    <s v="17-Nov-2012"/>
    <n v="48"/>
    <n v="628.33000000000004"/>
    <n v="0.09"/>
    <s v="Regular Air"/>
    <n v="-226.62"/>
    <n v="14.03"/>
    <n v="9.3699999999999992"/>
    <s v="Bart Folk"/>
    <s v="British Columbia"/>
    <x v="6"/>
    <s v="Corporate"/>
    <s v="Office Supplies"/>
    <x v="4"/>
    <x v="0"/>
    <d v="2012-11-18T00:00:00"/>
    <s v="18-Nov-2012"/>
  </r>
  <r>
    <n v="59074"/>
    <d v="2010-08-12T00:00:00"/>
    <s v="Low"/>
    <s v="12-Aug-2010"/>
    <n v="37"/>
    <n v="589.63"/>
    <n v="0.03"/>
    <s v="Regular Air"/>
    <n v="70.8"/>
    <n v="14.98"/>
    <n v="8.99"/>
    <s v="Jack Lebron"/>
    <s v="British Columbia"/>
    <x v="6"/>
    <s v="Corporate"/>
    <s v="Furniture"/>
    <x v="7"/>
    <x v="4"/>
    <d v="2010-08-14T00:00:00"/>
    <s v="14-Aug-2010"/>
  </r>
  <r>
    <n v="40608"/>
    <d v="2012-08-19T00:00:00"/>
    <s v="Not Specified"/>
    <s v="19-Aug-2012"/>
    <n v="29"/>
    <n v="573.97"/>
    <n v="0.05"/>
    <s v="Regular Air"/>
    <n v="55.82"/>
    <n v="18.97"/>
    <n v="9.5399999999999991"/>
    <s v="Bill Eplett"/>
    <s v="British Columbia"/>
    <x v="6"/>
    <s v="Corporate"/>
    <s v="Office Supplies"/>
    <x v="12"/>
    <x v="7"/>
    <d v="2012-08-21T00:00:00"/>
    <s v="21-Aug-2012"/>
  </r>
  <r>
    <n v="57511"/>
    <d v="2009-10-06T00:00:00"/>
    <s v="Critical"/>
    <s v="06-Oct-2009"/>
    <n v="11"/>
    <n v="569.63599999999997"/>
    <n v="0"/>
    <s v="Regular Air"/>
    <n v="-173.25"/>
    <n v="55.99"/>
    <n v="5"/>
    <s v="Duane Noonan"/>
    <s v="British Columbia"/>
    <x v="6"/>
    <s v="Corporate"/>
    <s v="Technology"/>
    <x v="10"/>
    <x v="12"/>
    <d v="2009-10-08T00:00:00"/>
    <s v="08-Oct-2009"/>
  </r>
  <r>
    <n v="34980"/>
    <d v="2010-08-02T00:00:00"/>
    <s v="Not Specified"/>
    <s v="02-Aug-2010"/>
    <n v="12"/>
    <n v="562.15"/>
    <n v="0.01"/>
    <s v="Regular Air"/>
    <n v="148.34"/>
    <n v="46.89"/>
    <n v="5.0999999999999996"/>
    <s v="Victoria Pisteka"/>
    <s v="British Columbia"/>
    <x v="6"/>
    <s v="Corporate"/>
    <s v="Office Supplies"/>
    <x v="5"/>
    <x v="29"/>
    <d v="2010-08-04T00:00:00"/>
    <s v="04-Aug-2010"/>
  </r>
  <r>
    <n v="52196"/>
    <d v="2010-01-30T00:00:00"/>
    <s v="Not Specified"/>
    <s v="30-Jan-2010"/>
    <n v="10"/>
    <n v="547.00049999999999"/>
    <n v="0.08"/>
    <s v="Regular Air"/>
    <n v="-97.2"/>
    <n v="65.989999999999995"/>
    <n v="3.9"/>
    <s v="Adam Hart"/>
    <s v="British Columbia"/>
    <x v="6"/>
    <s v="Corporate"/>
    <s v="Technology"/>
    <x v="10"/>
    <x v="20"/>
    <d v="2010-02-01T00:00:00"/>
    <s v="01-Feb-2010"/>
  </r>
  <r>
    <n v="24576"/>
    <d v="2012-12-11T00:00:00"/>
    <s v="Not Specified"/>
    <s v="11-Dec-2012"/>
    <n v="29"/>
    <n v="531.06299999999999"/>
    <n v="0.03"/>
    <s v="Regular Air"/>
    <n v="24.56"/>
    <n v="20.99"/>
    <n v="4.8099999999999996"/>
    <s v="Luke Weiss"/>
    <s v="British Columbia"/>
    <x v="6"/>
    <s v="Corporate"/>
    <s v="Technology"/>
    <x v="10"/>
    <x v="15"/>
    <d v="2012-12-13T00:00:00"/>
    <s v="13-Dec-2012"/>
  </r>
  <r>
    <n v="18179"/>
    <d v="2009-08-01T00:00:00"/>
    <s v="Not Specified"/>
    <s v="01-Aug-2009"/>
    <n v="50"/>
    <n v="527.6"/>
    <n v="0"/>
    <s v="Regular Air"/>
    <n v="221.59"/>
    <n v="10.31"/>
    <n v="1.79"/>
    <s v="Liz Price"/>
    <s v="British Columbia"/>
    <x v="6"/>
    <s v="Corporate"/>
    <s v="Office Supplies"/>
    <x v="12"/>
    <x v="1"/>
    <d v="2009-08-03T00:00:00"/>
    <s v="03-Aug-2009"/>
  </r>
  <r>
    <n v="53056"/>
    <d v="2011-11-03T00:00:00"/>
    <s v="Critical"/>
    <s v="03-Nov-2011"/>
    <n v="13"/>
    <n v="509.49"/>
    <n v="7.0000000000000007E-2"/>
    <s v="Regular Air"/>
    <n v="-51.18"/>
    <n v="40.99"/>
    <n v="8.9700000000000006"/>
    <s v="Helen Andreada"/>
    <s v="British Columbia"/>
    <x v="6"/>
    <s v="Corporate"/>
    <s v="Technology"/>
    <x v="0"/>
    <x v="41"/>
    <d v="2011-11-04T00:00:00"/>
    <s v="04-Nov-2011"/>
  </r>
  <r>
    <n v="44162"/>
    <d v="2010-03-19T00:00:00"/>
    <s v="High"/>
    <s v="19-Mar-2010"/>
    <n v="46"/>
    <n v="507.64"/>
    <n v="0.04"/>
    <s v="Regular Air"/>
    <n v="42.76"/>
    <n v="10.98"/>
    <n v="3.37"/>
    <s v="Julie Creighton"/>
    <s v="British Columbia"/>
    <x v="6"/>
    <s v="Corporate"/>
    <s v="Office Supplies"/>
    <x v="14"/>
    <x v="6"/>
    <d v="2010-03-20T00:00:00"/>
    <s v="20-Mar-2010"/>
  </r>
  <r>
    <n v="34721"/>
    <d v="2010-11-01T00:00:00"/>
    <s v="Not Specified"/>
    <s v="01-Nov-2010"/>
    <n v="46"/>
    <n v="503.17"/>
    <n v="0.01"/>
    <s v="Regular Air"/>
    <n v="-10.210000000000001"/>
    <n v="10.23"/>
    <n v="4.68"/>
    <s v="Bart Watters"/>
    <s v="British Columbia"/>
    <x v="6"/>
    <s v="Corporate"/>
    <s v="Office Supplies"/>
    <x v="14"/>
    <x v="14"/>
    <d v="2010-11-02T00:00:00"/>
    <s v="02-Nov-2010"/>
  </r>
  <r>
    <n v="50310"/>
    <d v="2009-08-15T00:00:00"/>
    <s v="Medium"/>
    <s v="15-Aug-2009"/>
    <n v="22"/>
    <n v="482.37"/>
    <n v="0.03"/>
    <s v="Regular Air"/>
    <n v="34.03"/>
    <n v="20.95"/>
    <n v="4"/>
    <s v="Sarah Foster"/>
    <s v="British Columbia"/>
    <x v="6"/>
    <s v="Corporate"/>
    <s v="Technology"/>
    <x v="11"/>
    <x v="18"/>
    <d v="2009-08-17T00:00:00"/>
    <s v="17-Aug-2009"/>
  </r>
  <r>
    <n v="33284"/>
    <d v="2012-03-31T00:00:00"/>
    <s v="Low"/>
    <s v="31-Mar-2012"/>
    <n v="21"/>
    <n v="480.39"/>
    <n v="0.01"/>
    <s v="Regular Air"/>
    <n v="144.66"/>
    <n v="22.23"/>
    <n v="8.99"/>
    <s v="Lela Donovan"/>
    <s v="British Columbia"/>
    <x v="6"/>
    <s v="Corporate"/>
    <s v="Furniture"/>
    <x v="7"/>
    <x v="25"/>
    <d v="2012-04-02T00:00:00"/>
    <s v="02-Apr-2012"/>
  </r>
  <r>
    <n v="37668"/>
    <d v="2010-01-08T00:00:00"/>
    <s v="Low"/>
    <s v="08-Jan-2010"/>
    <n v="33"/>
    <n v="478.27"/>
    <n v="0.01"/>
    <s v="Regular Air"/>
    <n v="-4.8499999999999996"/>
    <n v="13.99"/>
    <n v="7.51"/>
    <s v="Victoria Pisteka"/>
    <s v="British Columbia"/>
    <x v="6"/>
    <s v="Corporate"/>
    <s v="Technology"/>
    <x v="0"/>
    <x v="4"/>
    <d v="2010-01-08T00:00:00"/>
    <s v="08-Jan-2010"/>
  </r>
  <r>
    <n v="27174"/>
    <d v="2011-10-08T00:00:00"/>
    <s v="Critical"/>
    <s v="08-Oct-2011"/>
    <n v="17"/>
    <n v="477.50450000000001"/>
    <n v="0.09"/>
    <s v="Regular Air"/>
    <n v="-245.56"/>
    <n v="35.99"/>
    <n v="5"/>
    <s v="Alex Avila"/>
    <s v="British Columbia"/>
    <x v="6"/>
    <s v="Corporate"/>
    <s v="Technology"/>
    <x v="10"/>
    <x v="42"/>
    <d v="2011-10-10T00:00:00"/>
    <s v="10-Oct-2011"/>
  </r>
  <r>
    <n v="37250"/>
    <d v="2010-01-14T00:00:00"/>
    <s v="High"/>
    <s v="14-Jan-2010"/>
    <n v="13"/>
    <n v="473.46"/>
    <n v="0.03"/>
    <s v="Regular Air"/>
    <n v="128.11000000000001"/>
    <n v="35.94"/>
    <n v="6.66"/>
    <s v="Grant Thornton"/>
    <s v="British Columbia"/>
    <x v="6"/>
    <s v="Corporate"/>
    <s v="Office Supplies"/>
    <x v="15"/>
    <x v="27"/>
    <d v="2010-01-15T00:00:00"/>
    <s v="15-Jan-2010"/>
  </r>
  <r>
    <n v="29185"/>
    <d v="2010-01-20T00:00:00"/>
    <s v="High"/>
    <s v="20-Jan-2010"/>
    <n v="8"/>
    <n v="468.49"/>
    <n v="0.03"/>
    <s v="Regular Air"/>
    <n v="-6.37"/>
    <n v="56.96"/>
    <n v="13.22"/>
    <s v="Rob Dowd"/>
    <s v="British Columbia"/>
    <x v="6"/>
    <s v="Corporate"/>
    <s v="Office Supplies"/>
    <x v="5"/>
    <x v="0"/>
    <d v="2010-01-21T00:00:00"/>
    <s v="21-Jan-2010"/>
  </r>
  <r>
    <n v="34787"/>
    <d v="2010-02-28T00:00:00"/>
    <s v="Low"/>
    <s v="28-Feb-2010"/>
    <n v="14"/>
    <n v="453.99"/>
    <n v="0.05"/>
    <s v="Regular Air"/>
    <n v="14.61"/>
    <n v="30.98"/>
    <n v="8.99"/>
    <s v="Sean Wendt"/>
    <s v="British Columbia"/>
    <x v="6"/>
    <s v="Corporate"/>
    <s v="Office Supplies"/>
    <x v="13"/>
    <x v="15"/>
    <d v="2010-03-02T00:00:00"/>
    <s v="02-Mar-2010"/>
  </r>
  <r>
    <n v="37281"/>
    <d v="2009-08-28T00:00:00"/>
    <s v="Medium"/>
    <s v="28-Aug-2009"/>
    <n v="25"/>
    <n v="453.24549999999999"/>
    <n v="0.05"/>
    <s v="Regular Air"/>
    <n v="3.31"/>
    <n v="20.99"/>
    <n v="4.8099999999999996"/>
    <s v="Roy Skaria"/>
    <s v="British Columbia"/>
    <x v="6"/>
    <s v="Corporate"/>
    <s v="Technology"/>
    <x v="10"/>
    <x v="15"/>
    <d v="2009-08-29T00:00:00"/>
    <s v="29-Aug-2009"/>
  </r>
  <r>
    <n v="6337"/>
    <d v="2011-08-31T00:00:00"/>
    <s v="Not Specified"/>
    <s v="31-Aug-2011"/>
    <n v="1"/>
    <n v="449.42"/>
    <n v="7.0000000000000007E-2"/>
    <s v="Delivery Truck"/>
    <n v="-261.61"/>
    <n v="376.13"/>
    <n v="85.63"/>
    <s v="Justin Knight"/>
    <s v="British Columbia"/>
    <x v="6"/>
    <s v="Corporate"/>
    <s v="Furniture"/>
    <x v="3"/>
    <x v="37"/>
    <d v="2011-09-01T00:00:00"/>
    <s v="01-Sep-2011"/>
  </r>
  <r>
    <n v="50950"/>
    <d v="2012-12-30T00:00:00"/>
    <s v="Not Specified"/>
    <s v="30-Dec-2012"/>
    <n v="35"/>
    <n v="448.1"/>
    <n v="0.1"/>
    <s v="Express Air"/>
    <n v="-15.07"/>
    <n v="13.48"/>
    <n v="4.51"/>
    <s v="Tony Molinari"/>
    <s v="British Columbia"/>
    <x v="6"/>
    <s v="Corporate"/>
    <s v="Office Supplies"/>
    <x v="4"/>
    <x v="14"/>
    <d v="2012-12-30T00:00:00"/>
    <s v="30-Dec-2012"/>
  </r>
  <r>
    <n v="37729"/>
    <d v="2009-01-15T00:00:00"/>
    <s v="Not Specified"/>
    <s v="15-Jan-2009"/>
    <n v="48"/>
    <n v="447.89"/>
    <n v="0"/>
    <s v="Regular Air"/>
    <n v="-26.78"/>
    <n v="8.6"/>
    <n v="6.19"/>
    <s v="Giulietta Weimer"/>
    <s v="British Columbia"/>
    <x v="6"/>
    <s v="Corporate"/>
    <s v="Office Supplies"/>
    <x v="1"/>
    <x v="1"/>
    <d v="2009-01-15T00:00:00"/>
    <s v="15-Jan-2009"/>
  </r>
  <r>
    <n v="7169"/>
    <d v="2010-03-26T00:00:00"/>
    <s v="Medium"/>
    <s v="26-Mar-2010"/>
    <n v="22"/>
    <n v="446.72"/>
    <n v="0.05"/>
    <s v="Regular Air"/>
    <n v="-39"/>
    <n v="20.28"/>
    <n v="14.39"/>
    <s v="Lela Donovan"/>
    <s v="British Columbia"/>
    <x v="6"/>
    <s v="Corporate"/>
    <s v="Furniture"/>
    <x v="7"/>
    <x v="26"/>
    <d v="2010-03-28T00:00:00"/>
    <s v="28-Mar-2010"/>
  </r>
  <r>
    <n v="29185"/>
    <d v="2010-01-20T00:00:00"/>
    <s v="High"/>
    <s v="20-Jan-2010"/>
    <n v="48"/>
    <n v="446.53"/>
    <n v="0.04"/>
    <s v="Express Air"/>
    <n v="-261.45"/>
    <n v="8.3699999999999992"/>
    <n v="10.16"/>
    <s v="Rob Dowd"/>
    <s v="British Columbia"/>
    <x v="6"/>
    <s v="Corporate"/>
    <s v="Furniture"/>
    <x v="7"/>
    <x v="14"/>
    <d v="2010-01-22T00:00:00"/>
    <s v="22-Jan-2010"/>
  </r>
  <r>
    <n v="24132"/>
    <d v="2009-07-06T00:00:00"/>
    <s v="Low"/>
    <s v="06-Jul-2009"/>
    <n v="22"/>
    <n v="446.46"/>
    <n v="0.04"/>
    <s v="Regular Air"/>
    <n v="-1.88"/>
    <n v="20.95"/>
    <n v="4"/>
    <s v="Justin Knight"/>
    <s v="British Columbia"/>
    <x v="6"/>
    <s v="Corporate"/>
    <s v="Technology"/>
    <x v="11"/>
    <x v="18"/>
    <d v="2009-07-11T00:00:00"/>
    <s v="11-Jul-2009"/>
  </r>
  <r>
    <n v="8992"/>
    <d v="2010-11-12T00:00:00"/>
    <s v="High"/>
    <s v="12-Nov-2010"/>
    <n v="3"/>
    <n v="441.43"/>
    <n v="0.06"/>
    <s v="Regular Air"/>
    <n v="-154.44999999999999"/>
    <n v="140.81"/>
    <n v="24.49"/>
    <s v="Shahid Shariari"/>
    <s v="British Columbia"/>
    <x v="6"/>
    <s v="Corporate"/>
    <s v="Furniture"/>
    <x v="2"/>
    <x v="6"/>
    <d v="2010-11-13T00:00:00"/>
    <s v="13-Nov-2010"/>
  </r>
  <r>
    <n v="24070"/>
    <d v="2011-03-15T00:00:00"/>
    <s v="High"/>
    <s v="15-Mar-2011"/>
    <n v="3"/>
    <n v="431.29"/>
    <n v="0.1"/>
    <s v="Regular Air"/>
    <n v="-164.59"/>
    <n v="140.81"/>
    <n v="24.49"/>
    <s v="Sonia Sunley"/>
    <s v="British Columbia"/>
    <x v="6"/>
    <s v="Corporate"/>
    <s v="Furniture"/>
    <x v="2"/>
    <x v="6"/>
    <d v="2011-03-16T00:00:00"/>
    <s v="16-Mar-2011"/>
  </r>
  <r>
    <n v="39041"/>
    <d v="2011-10-26T00:00:00"/>
    <s v="Critical"/>
    <s v="26-Oct-2011"/>
    <n v="47"/>
    <n v="418.03"/>
    <n v="0"/>
    <s v="Express Air"/>
    <n v="-158.58000000000001"/>
    <n v="8.09"/>
    <n v="7.96"/>
    <s v="Adam Hart"/>
    <s v="British Columbia"/>
    <x v="6"/>
    <s v="Corporate"/>
    <s v="Furniture"/>
    <x v="7"/>
    <x v="19"/>
    <d v="2011-10-26T00:00:00"/>
    <s v="26-Oct-2011"/>
  </r>
  <r>
    <n v="49026"/>
    <d v="2011-03-07T00:00:00"/>
    <s v="Low"/>
    <s v="07-Mar-2011"/>
    <n v="36"/>
    <n v="411.75"/>
    <n v="0.05"/>
    <s v="Regular Air"/>
    <n v="-182.87"/>
    <n v="11.66"/>
    <n v="8.99"/>
    <s v="Roland Fjeld"/>
    <s v="British Columbia"/>
    <x v="6"/>
    <s v="Corporate"/>
    <s v="Office Supplies"/>
    <x v="13"/>
    <x v="14"/>
    <d v="2011-03-12T00:00:00"/>
    <s v="12-Mar-2011"/>
  </r>
  <r>
    <n v="17507"/>
    <d v="2012-06-12T00:00:00"/>
    <s v="Medium"/>
    <s v="12-Jun-2012"/>
    <n v="27"/>
    <n v="399.76"/>
    <n v="0.04"/>
    <s v="Regular Air"/>
    <n v="48.13"/>
    <n v="14.56"/>
    <n v="3.5"/>
    <s v="Lela Donovan"/>
    <s v="British Columbia"/>
    <x v="6"/>
    <s v="Corporate"/>
    <s v="Office Supplies"/>
    <x v="5"/>
    <x v="15"/>
    <d v="2012-06-12T00:00:00"/>
    <s v="12-Jun-2012"/>
  </r>
  <r>
    <n v="59233"/>
    <d v="2010-08-20T00:00:00"/>
    <s v="High"/>
    <s v="20-Aug-2010"/>
    <n v="30"/>
    <n v="397.17"/>
    <n v="0.1"/>
    <s v="Express Air"/>
    <n v="7.69"/>
    <n v="14.34"/>
    <n v="5"/>
    <s v="Jack Lebron"/>
    <s v="British Columbia"/>
    <x v="6"/>
    <s v="Corporate"/>
    <s v="Furniture"/>
    <x v="7"/>
    <x v="19"/>
    <d v="2010-08-20T00:00:00"/>
    <s v="20-Aug-2010"/>
  </r>
  <r>
    <n v="39232"/>
    <d v="2011-07-12T00:00:00"/>
    <s v="Low"/>
    <s v="12-Jul-2011"/>
    <n v="11"/>
    <n v="391.9"/>
    <n v="0.1"/>
    <s v="Regular Air"/>
    <n v="-47.01"/>
    <n v="35.44"/>
    <n v="19.989999999999998"/>
    <s v="Adam Hart"/>
    <s v="British Columbia"/>
    <x v="6"/>
    <s v="Corporate"/>
    <s v="Office Supplies"/>
    <x v="12"/>
    <x v="1"/>
    <d v="2011-07-14T00:00:00"/>
    <s v="14-Jul-2011"/>
  </r>
  <r>
    <n v="50950"/>
    <d v="2012-12-30T00:00:00"/>
    <s v="Not Specified"/>
    <s v="30-Dec-2012"/>
    <n v="6"/>
    <n v="391.12"/>
    <n v="0.06"/>
    <s v="Delivery Truck"/>
    <n v="-166.96"/>
    <n v="60.98"/>
    <n v="30"/>
    <s v="Tony Molinari"/>
    <s v="British Columbia"/>
    <x v="6"/>
    <s v="Corporate"/>
    <s v="Furniture"/>
    <x v="2"/>
    <x v="3"/>
    <d v="2012-12-30T00:00:00"/>
    <s v="30-Dec-2012"/>
  </r>
  <r>
    <n v="40485"/>
    <d v="2009-12-27T00:00:00"/>
    <s v="Not Specified"/>
    <s v="27-Dec-2009"/>
    <n v="7"/>
    <n v="388.71350000000001"/>
    <n v="0.01"/>
    <s v="Regular Air"/>
    <n v="-190.42"/>
    <n v="65.989999999999995"/>
    <n v="3.99"/>
    <s v="David Bremer"/>
    <s v="British Columbia"/>
    <x v="6"/>
    <s v="Corporate"/>
    <s v="Technology"/>
    <x v="10"/>
    <x v="14"/>
    <d v="2009-12-28T00:00:00"/>
    <s v="28-Dec-2009"/>
  </r>
  <r>
    <n v="23907"/>
    <d v="2011-07-14T00:00:00"/>
    <s v="Not Specified"/>
    <s v="14-Jul-2011"/>
    <n v="7"/>
    <n v="384.2"/>
    <n v="0.05"/>
    <s v="Regular Air"/>
    <n v="-164.46"/>
    <n v="65.989999999999995"/>
    <n v="2.5"/>
    <s v="Julie Creighton"/>
    <s v="British Columbia"/>
    <x v="6"/>
    <s v="Corporate"/>
    <s v="Technology"/>
    <x v="10"/>
    <x v="20"/>
    <d v="2011-07-14T00:00:00"/>
    <s v="14-Jul-2011"/>
  </r>
  <r>
    <n v="31619"/>
    <d v="2009-09-17T00:00:00"/>
    <s v="Low"/>
    <s v="17-Sep-2009"/>
    <n v="9"/>
    <n v="383.23"/>
    <n v="0.01"/>
    <s v="Regular Air"/>
    <n v="146.51"/>
    <n v="39.979999999999997"/>
    <n v="9.1999999999999993"/>
    <s v="Pete Kriz"/>
    <s v="British Columbia"/>
    <x v="6"/>
    <s v="Corporate"/>
    <s v="Furniture"/>
    <x v="7"/>
    <x v="38"/>
    <d v="2009-09-19T00:00:00"/>
    <s v="19-Sep-2009"/>
  </r>
  <r>
    <n v="45158"/>
    <d v="2010-04-10T00:00:00"/>
    <s v="Low"/>
    <s v="10-Apr-2010"/>
    <n v="40"/>
    <n v="375.52"/>
    <n v="0.09"/>
    <s v="Regular Air"/>
    <n v="131.69999999999999"/>
    <n v="9.68"/>
    <n v="2.0299999999999998"/>
    <s v="Juliana Krohn"/>
    <s v="British Columbia"/>
    <x v="6"/>
    <s v="Corporate"/>
    <s v="Office Supplies"/>
    <x v="12"/>
    <x v="7"/>
    <d v="2010-04-12T00:00:00"/>
    <s v="12-Apr-2010"/>
  </r>
  <r>
    <n v="47011"/>
    <d v="2009-02-19T00:00:00"/>
    <s v="High"/>
    <s v="19-Feb-2009"/>
    <n v="33"/>
    <n v="373.13"/>
    <n v="0.05"/>
    <s v="Regular Air"/>
    <n v="-35.26"/>
    <n v="11.29"/>
    <n v="5.03"/>
    <s v="Roland Fjeld"/>
    <s v="British Columbia"/>
    <x v="6"/>
    <s v="Corporate"/>
    <s v="Office Supplies"/>
    <x v="4"/>
    <x v="14"/>
    <d v="2009-02-21T00:00:00"/>
    <s v="21-Feb-2009"/>
  </r>
  <r>
    <n v="48293"/>
    <d v="2012-04-09T00:00:00"/>
    <s v="Critical"/>
    <s v="09-Apr-2012"/>
    <n v="47"/>
    <n v="370.6"/>
    <n v="0.03"/>
    <s v="Regular Air"/>
    <n v="160.72"/>
    <n v="7.64"/>
    <n v="1.39"/>
    <s v="Victoria Pisteka"/>
    <s v="British Columbia"/>
    <x v="6"/>
    <s v="Corporate"/>
    <s v="Office Supplies"/>
    <x v="15"/>
    <x v="10"/>
    <d v="2012-04-10T00:00:00"/>
    <s v="10-Apr-2012"/>
  </r>
  <r>
    <n v="52580"/>
    <d v="2012-08-28T00:00:00"/>
    <s v="High"/>
    <s v="28-Aug-2012"/>
    <n v="16"/>
    <n v="367.09"/>
    <n v="0.04"/>
    <s v="Regular Air"/>
    <n v="74.2"/>
    <n v="22.98"/>
    <n v="1.99"/>
    <s v="Katherine Ducich"/>
    <s v="British Columbia"/>
    <x v="6"/>
    <s v="Corporate"/>
    <s v="Technology"/>
    <x v="11"/>
    <x v="29"/>
    <d v="2012-08-30T00:00:00"/>
    <s v="30-Aug-2012"/>
  </r>
  <r>
    <n v="18145"/>
    <d v="2010-09-04T00:00:00"/>
    <s v="Medium"/>
    <s v="04-Sep-2010"/>
    <n v="21"/>
    <n v="361.98"/>
    <n v="0"/>
    <s v="Regular Air"/>
    <n v="-55.61"/>
    <n v="15.99"/>
    <n v="9.4"/>
    <s v="Lauren Leatherbury"/>
    <s v="British Columbia"/>
    <x v="6"/>
    <s v="Corporate"/>
    <s v="Technology"/>
    <x v="0"/>
    <x v="19"/>
    <d v="2010-09-05T00:00:00"/>
    <s v="05-Sep-2010"/>
  </r>
  <r>
    <n v="19234"/>
    <d v="2009-01-24T00:00:00"/>
    <s v="High"/>
    <s v="24-Jan-2009"/>
    <n v="24"/>
    <n v="359.65"/>
    <n v="0.01"/>
    <s v="Regular Air"/>
    <n v="-11.15"/>
    <n v="14.42"/>
    <n v="6.75"/>
    <s v="Cynthia Delaney"/>
    <s v="British Columbia"/>
    <x v="6"/>
    <s v="Corporate"/>
    <s v="Office Supplies"/>
    <x v="5"/>
    <x v="24"/>
    <d v="2009-01-24T00:00:00"/>
    <s v="24-Jan-2009"/>
  </r>
  <r>
    <n v="57633"/>
    <d v="2011-02-06T00:00:00"/>
    <s v="High"/>
    <s v="06-Feb-2011"/>
    <n v="12"/>
    <n v="351.12"/>
    <n v="0.09"/>
    <s v="Express Air"/>
    <n v="202.63"/>
    <n v="30.93"/>
    <n v="3.92"/>
    <s v="Speros Goranitis"/>
    <s v="British Columbia"/>
    <x v="6"/>
    <s v="Corporate"/>
    <s v="Furniture"/>
    <x v="7"/>
    <x v="47"/>
    <d v="2011-02-07T00:00:00"/>
    <s v="07-Feb-2011"/>
  </r>
  <r>
    <n v="35875"/>
    <d v="2011-06-14T00:00:00"/>
    <s v="High"/>
    <s v="14-Jun-2011"/>
    <n v="31"/>
    <n v="348.92"/>
    <n v="0.06"/>
    <s v="Regular Air"/>
    <n v="28.47"/>
    <n v="10.98"/>
    <n v="3.37"/>
    <s v="Cynthia Delaney"/>
    <s v="British Columbia"/>
    <x v="6"/>
    <s v="Corporate"/>
    <s v="Office Supplies"/>
    <x v="14"/>
    <x v="6"/>
    <d v="2011-06-14T00:00:00"/>
    <s v="14-Jun-2011"/>
  </r>
  <r>
    <n v="38336"/>
    <d v="2012-10-05T00:00:00"/>
    <s v="Critical"/>
    <s v="05-Oct-2012"/>
    <n v="31"/>
    <n v="346.57"/>
    <n v="0"/>
    <s v="Regular Air"/>
    <n v="-116.45"/>
    <n v="10.97"/>
    <n v="6.5"/>
    <s v="Julie Creighton"/>
    <s v="British Columbia"/>
    <x v="6"/>
    <s v="Corporate"/>
    <s v="Technology"/>
    <x v="11"/>
    <x v="28"/>
    <d v="2012-10-06T00:00:00"/>
    <s v="06-Oct-2012"/>
  </r>
  <r>
    <n v="1445"/>
    <d v="2011-01-09T00:00:00"/>
    <s v="Medium"/>
    <s v="09-Jan-2011"/>
    <n v="30"/>
    <n v="339.49"/>
    <n v="0.08"/>
    <s v="Regular Air"/>
    <n v="-74.209999999999994"/>
    <n v="11.97"/>
    <n v="5.81"/>
    <s v="Shahid Shariari"/>
    <s v="British Columbia"/>
    <x v="6"/>
    <s v="Corporate"/>
    <s v="Office Supplies"/>
    <x v="13"/>
    <x v="18"/>
    <d v="2011-01-11T00:00:00"/>
    <s v="11-Jan-2011"/>
  </r>
  <r>
    <n v="23207"/>
    <d v="2010-10-22T00:00:00"/>
    <s v="Critical"/>
    <s v="22-Oct-2010"/>
    <n v="11"/>
    <n v="336.91"/>
    <n v="0.1"/>
    <s v="Regular Air"/>
    <n v="42.5"/>
    <n v="30.98"/>
    <n v="8.74"/>
    <s v="Ralph Kennedy"/>
    <s v="British Columbia"/>
    <x v="6"/>
    <s v="Corporate"/>
    <s v="Office Supplies"/>
    <x v="12"/>
    <x v="27"/>
    <d v="2010-10-23T00:00:00"/>
    <s v="23-Oct-2010"/>
  </r>
  <r>
    <n v="39041"/>
    <d v="2011-10-26T00:00:00"/>
    <s v="Critical"/>
    <s v="26-Oct-2011"/>
    <n v="23"/>
    <n v="336.86"/>
    <n v="0.06"/>
    <s v="Regular Air"/>
    <n v="36.32"/>
    <n v="14.2"/>
    <n v="5.3"/>
    <s v="Adam Hart"/>
    <s v="British Columbia"/>
    <x v="6"/>
    <s v="Corporate"/>
    <s v="Furniture"/>
    <x v="7"/>
    <x v="29"/>
    <d v="2011-10-28T00:00:00"/>
    <s v="28-Oct-2011"/>
  </r>
  <r>
    <n v="59233"/>
    <d v="2010-08-20T00:00:00"/>
    <s v="High"/>
    <s v="20-Aug-2010"/>
    <n v="3"/>
    <n v="336.84"/>
    <n v="0.08"/>
    <s v="Delivery Truck"/>
    <n v="-160.46"/>
    <n v="100.98"/>
    <n v="35.840000000000003"/>
    <s v="Jack Lebron"/>
    <s v="British Columbia"/>
    <x v="6"/>
    <s v="Corporate"/>
    <s v="Furniture"/>
    <x v="8"/>
    <x v="44"/>
    <d v="2010-08-22T00:00:00"/>
    <s v="22-Aug-2010"/>
  </r>
  <r>
    <n v="33732"/>
    <d v="2009-08-28T00:00:00"/>
    <s v="Not Specified"/>
    <s v="28-Aug-2009"/>
    <n v="33"/>
    <n v="332.95"/>
    <n v="0.05"/>
    <s v="Regular Air"/>
    <n v="-28.16"/>
    <n v="9.65"/>
    <n v="6.22"/>
    <s v="Heather Jas"/>
    <s v="British Columbia"/>
    <x v="6"/>
    <s v="Corporate"/>
    <s v="Furniture"/>
    <x v="7"/>
    <x v="20"/>
    <d v="2009-08-29T00:00:00"/>
    <s v="29-Aug-2009"/>
  </r>
  <r>
    <n v="24132"/>
    <d v="2009-07-06T00:00:00"/>
    <s v="Low"/>
    <s v="06-Jul-2009"/>
    <n v="46"/>
    <n v="331.83"/>
    <n v="0.05"/>
    <s v="Regular Air"/>
    <n v="-101.25"/>
    <n v="7.1"/>
    <n v="6.05"/>
    <s v="Justin Knight"/>
    <s v="British Columbia"/>
    <x v="6"/>
    <s v="Corporate"/>
    <s v="Office Supplies"/>
    <x v="1"/>
    <x v="4"/>
    <d v="2009-07-06T00:00:00"/>
    <s v="06-Jul-2009"/>
  </r>
  <r>
    <n v="38661"/>
    <d v="2012-02-12T00:00:00"/>
    <s v="High"/>
    <s v="12-Feb-2012"/>
    <n v="48"/>
    <n v="326.10000000000002"/>
    <n v="0.04"/>
    <s v="Regular Air"/>
    <n v="-118.74"/>
    <n v="6.48"/>
    <n v="6.6"/>
    <s v="Duane Noonan"/>
    <s v="British Columbia"/>
    <x v="6"/>
    <s v="Corporate"/>
    <s v="Office Supplies"/>
    <x v="12"/>
    <x v="7"/>
    <d v="2012-02-13T00:00:00"/>
    <s v="13-Feb-2012"/>
  </r>
  <r>
    <n v="55777"/>
    <d v="2012-11-10T00:00:00"/>
    <s v="Not Specified"/>
    <s v="10-Nov-2012"/>
    <n v="6"/>
    <n v="323.52999999999997"/>
    <n v="0.06"/>
    <s v="Regular Air"/>
    <n v="136.32"/>
    <n v="51.75"/>
    <n v="19.989999999999998"/>
    <s v="Roy Skaria"/>
    <s v="British Columbia"/>
    <x v="6"/>
    <s v="Corporate"/>
    <s v="Furniture"/>
    <x v="7"/>
    <x v="20"/>
    <d v="2012-11-11T00:00:00"/>
    <s v="11-Nov-2012"/>
  </r>
  <r>
    <n v="31874"/>
    <d v="2012-09-15T00:00:00"/>
    <s v="High"/>
    <s v="15-Sep-2012"/>
    <n v="29"/>
    <n v="321.95"/>
    <n v="0.03"/>
    <s v="Express Air"/>
    <n v="20.76"/>
    <n v="10.98"/>
    <n v="3.37"/>
    <s v="Shahid Shariari"/>
    <s v="British Columbia"/>
    <x v="6"/>
    <s v="Corporate"/>
    <s v="Office Supplies"/>
    <x v="14"/>
    <x v="6"/>
    <d v="2012-09-15T00:00:00"/>
    <s v="15-Sep-2012"/>
  </r>
  <r>
    <n v="42342"/>
    <d v="2009-09-04T00:00:00"/>
    <s v="Not Specified"/>
    <s v="04-Sep-2009"/>
    <n v="25"/>
    <n v="318.14"/>
    <n v="0.01"/>
    <s v="Regular Air"/>
    <n v="49.67"/>
    <n v="12.28"/>
    <n v="5.09"/>
    <s v="Bill Eplett"/>
    <s v="British Columbia"/>
    <x v="6"/>
    <s v="Corporate"/>
    <s v="Office Supplies"/>
    <x v="12"/>
    <x v="1"/>
    <d v="2009-09-05T00:00:00"/>
    <s v="05-Sep-2009"/>
  </r>
  <r>
    <n v="10306"/>
    <d v="2010-07-21T00:00:00"/>
    <s v="Low"/>
    <s v="21-Jul-2010"/>
    <n v="20"/>
    <n v="310.31"/>
    <n v="0.02"/>
    <s v="Regular Air"/>
    <n v="51.5"/>
    <n v="14.58"/>
    <n v="7.4"/>
    <s v="Lela Donovan"/>
    <s v="British Columbia"/>
    <x v="6"/>
    <s v="Corporate"/>
    <s v="Furniture"/>
    <x v="7"/>
    <x v="23"/>
    <d v="2010-07-21T00:00:00"/>
    <s v="21-Jul-2010"/>
  </r>
  <r>
    <n v="4642"/>
    <d v="2011-02-26T00:00:00"/>
    <s v="Critical"/>
    <s v="26-Feb-2011"/>
    <n v="21"/>
    <n v="309.62"/>
    <n v="0"/>
    <s v="Express Air"/>
    <n v="-80.2"/>
    <n v="14.03"/>
    <n v="9.3699999999999992"/>
    <s v="Shahid Shariari"/>
    <s v="British Columbia"/>
    <x v="6"/>
    <s v="Corporate"/>
    <s v="Office Supplies"/>
    <x v="4"/>
    <x v="0"/>
    <d v="2011-02-26T00:00:00"/>
    <s v="26-Feb-2011"/>
  </r>
  <r>
    <n v="44261"/>
    <d v="2012-03-23T00:00:00"/>
    <s v="High"/>
    <s v="23-Mar-2012"/>
    <n v="10"/>
    <n v="306.66300000000001"/>
    <n v="7.0000000000000007E-2"/>
    <s v="Regular Air"/>
    <n v="-17.41"/>
    <n v="35.99"/>
    <n v="5.99"/>
    <s v="Juliana Krohn"/>
    <s v="British Columbia"/>
    <x v="6"/>
    <s v="Corporate"/>
    <s v="Technology"/>
    <x v="10"/>
    <x v="1"/>
    <d v="2012-03-26T00:00:00"/>
    <s v="26-Mar-2012"/>
  </r>
  <r>
    <n v="44256"/>
    <d v="2011-11-19T00:00:00"/>
    <s v="Low"/>
    <s v="19-Nov-2011"/>
    <n v="39"/>
    <n v="301.36"/>
    <n v="0.09"/>
    <s v="Regular Air"/>
    <n v="48.45"/>
    <n v="8.01"/>
    <n v="2.87"/>
    <s v="Sally Knutson"/>
    <s v="British Columbia"/>
    <x v="6"/>
    <s v="Corporate"/>
    <s v="Office Supplies"/>
    <x v="12"/>
    <x v="27"/>
    <d v="2011-11-28T00:00:00"/>
    <s v="28-Nov-2011"/>
  </r>
  <r>
    <n v="39783"/>
    <d v="2012-09-20T00:00:00"/>
    <s v="Not Specified"/>
    <s v="20-Sep-2012"/>
    <n v="31"/>
    <n v="295.97000000000003"/>
    <n v="0.02"/>
    <s v="Regular Air"/>
    <n v="5.0199999999999996"/>
    <n v="8.85"/>
    <n v="5.6"/>
    <s v="Sally Knutson"/>
    <s v="British Columbia"/>
    <x v="6"/>
    <s v="Corporate"/>
    <s v="Office Supplies"/>
    <x v="1"/>
    <x v="10"/>
    <d v="2012-09-22T00:00:00"/>
    <s v="22-Sep-2012"/>
  </r>
  <r>
    <n v="24070"/>
    <d v="2011-03-15T00:00:00"/>
    <s v="High"/>
    <s v="15-Mar-2011"/>
    <n v="48"/>
    <n v="294.26"/>
    <n v="0"/>
    <s v="Express Air"/>
    <n v="88.8"/>
    <n v="5.58"/>
    <n v="0.7"/>
    <s v="Sonia Sunley"/>
    <s v="British Columbia"/>
    <x v="6"/>
    <s v="Corporate"/>
    <s v="Office Supplies"/>
    <x v="13"/>
    <x v="18"/>
    <d v="2011-03-16T00:00:00"/>
    <s v="16-Mar-2011"/>
  </r>
  <r>
    <n v="35"/>
    <d v="2011-10-22T00:00:00"/>
    <s v="Not Specified"/>
    <s v="22-Oct-2011"/>
    <n v="30"/>
    <n v="288.56"/>
    <n v="0.03"/>
    <s v="Regular Air"/>
    <n v="60.72"/>
    <n v="9.11"/>
    <n v="2.25"/>
    <s v="Julie Creighton"/>
    <s v="British Columbia"/>
    <x v="6"/>
    <s v="Corporate"/>
    <s v="Office Supplies"/>
    <x v="13"/>
    <x v="24"/>
    <d v="2011-10-23T00:00:00"/>
    <s v="23-Oct-2011"/>
  </r>
  <r>
    <n v="53381"/>
    <d v="2010-09-26T00:00:00"/>
    <s v="Critical"/>
    <s v="26-Sep-2010"/>
    <n v="26"/>
    <n v="287.43"/>
    <n v="0.01"/>
    <s v="Regular Air"/>
    <n v="37.9"/>
    <n v="10.98"/>
    <n v="4.8"/>
    <s v="Juliana Krohn"/>
    <s v="British Columbia"/>
    <x v="6"/>
    <s v="Corporate"/>
    <s v="Office Supplies"/>
    <x v="15"/>
    <x v="10"/>
    <d v="2010-09-27T00:00:00"/>
    <s v="27-Sep-2010"/>
  </r>
  <r>
    <n v="14471"/>
    <d v="2011-05-26T00:00:00"/>
    <s v="Not Specified"/>
    <s v="26-May-2011"/>
    <n v="42"/>
    <n v="286.73"/>
    <n v="0.05"/>
    <s v="Regular Air"/>
    <n v="-141.51"/>
    <n v="6.48"/>
    <n v="7.49"/>
    <s v="Ralph Kennedy"/>
    <s v="British Columbia"/>
    <x v="6"/>
    <s v="Corporate"/>
    <s v="Office Supplies"/>
    <x v="12"/>
    <x v="7"/>
    <d v="2011-05-28T00:00:00"/>
    <s v="28-May-2011"/>
  </r>
  <r>
    <n v="51493"/>
    <d v="2011-07-06T00:00:00"/>
    <s v="Low"/>
    <s v="06-Jul-2011"/>
    <n v="31"/>
    <n v="286.26"/>
    <n v="0.01"/>
    <s v="Regular Air"/>
    <n v="8.34"/>
    <n v="8.56"/>
    <n v="5.16"/>
    <s v="Helen Andreada"/>
    <s v="British Columbia"/>
    <x v="6"/>
    <s v="Corporate"/>
    <s v="Office Supplies"/>
    <x v="12"/>
    <x v="1"/>
    <d v="2011-07-08T00:00:00"/>
    <s v="08-Jul-2011"/>
  </r>
  <r>
    <n v="41574"/>
    <d v="2010-09-20T00:00:00"/>
    <s v="High"/>
    <s v="20-Sep-2010"/>
    <n v="23"/>
    <n v="283.82"/>
    <n v="0.01"/>
    <s v="Regular Air"/>
    <n v="-38.94"/>
    <n v="11.97"/>
    <n v="5.81"/>
    <s v="Brendan Murry"/>
    <s v="British Columbia"/>
    <x v="6"/>
    <s v="Corporate"/>
    <s v="Office Supplies"/>
    <x v="13"/>
    <x v="18"/>
    <d v="2010-09-22T00:00:00"/>
    <s v="22-Sep-2010"/>
  </r>
  <r>
    <n v="322"/>
    <d v="2012-03-18T00:00:00"/>
    <s v="Critical"/>
    <s v="18-Mar-2012"/>
    <n v="46"/>
    <n v="281"/>
    <n v="0.1"/>
    <s v="Regular Air"/>
    <n v="-291.58999999999997"/>
    <n v="6.48"/>
    <n v="10.050000000000001"/>
    <s v="Giulietta Weimer"/>
    <s v="British Columbia"/>
    <x v="6"/>
    <s v="Corporate"/>
    <s v="Office Supplies"/>
    <x v="12"/>
    <x v="7"/>
    <d v="2012-03-20T00:00:00"/>
    <s v="20-Mar-2012"/>
  </r>
  <r>
    <n v="22534"/>
    <d v="2011-07-18T00:00:00"/>
    <s v="Medium"/>
    <s v="18-Jul-2011"/>
    <n v="3"/>
    <n v="279.33"/>
    <n v="0"/>
    <s v="Regular Air"/>
    <n v="-44.18"/>
    <n v="83.93"/>
    <n v="19.989999999999998"/>
    <s v="Kelly Williams"/>
    <s v="British Columbia"/>
    <x v="6"/>
    <s v="Corporate"/>
    <s v="Office Supplies"/>
    <x v="15"/>
    <x v="1"/>
    <d v="2011-07-20T00:00:00"/>
    <s v="20-Jul-2011"/>
  </r>
  <r>
    <n v="21350"/>
    <d v="2011-02-24T00:00:00"/>
    <s v="Medium"/>
    <s v="24-Feb-2011"/>
    <n v="30"/>
    <n v="278.94"/>
    <n v="0.01"/>
    <s v="Regular Air"/>
    <n v="-143.69999999999999"/>
    <n v="9.06"/>
    <n v="9.86"/>
    <s v="Ralph Kennedy"/>
    <s v="British Columbia"/>
    <x v="6"/>
    <s v="Corporate"/>
    <s v="Office Supplies"/>
    <x v="12"/>
    <x v="27"/>
    <d v="2011-02-25T00:00:00"/>
    <s v="25-Feb-2011"/>
  </r>
  <r>
    <n v="2438"/>
    <d v="2010-07-14T00:00:00"/>
    <s v="High"/>
    <s v="14-Jul-2010"/>
    <n v="20"/>
    <n v="278.68"/>
    <n v="0.06"/>
    <s v="Regular Air"/>
    <n v="8.9"/>
    <n v="14.48"/>
    <n v="6.46"/>
    <s v="Andrew Allen"/>
    <s v="British Columbia"/>
    <x v="6"/>
    <s v="Corporate"/>
    <s v="Office Supplies"/>
    <x v="1"/>
    <x v="1"/>
    <d v="2010-07-17T00:00:00"/>
    <s v="17-Jul-2010"/>
  </r>
  <r>
    <n v="57760"/>
    <d v="2011-07-12T00:00:00"/>
    <s v="Not Specified"/>
    <s v="12-Jul-2011"/>
    <n v="38"/>
    <n v="275.11"/>
    <n v="0.06"/>
    <s v="Regular Air"/>
    <n v="17.149999999999999"/>
    <n v="7.59"/>
    <n v="4"/>
    <s v="Rick Huthwaite"/>
    <s v="British Columbia"/>
    <x v="6"/>
    <s v="Corporate"/>
    <s v="Furniture"/>
    <x v="7"/>
    <x v="22"/>
    <d v="2011-07-14T00:00:00"/>
    <s v="14-Jul-2011"/>
  </r>
  <r>
    <n v="4261"/>
    <d v="2012-10-02T00:00:00"/>
    <s v="Critical"/>
    <s v="02-Oct-2012"/>
    <n v="48"/>
    <n v="274.38"/>
    <n v="0.04"/>
    <s v="Regular Air"/>
    <n v="-94.82"/>
    <n v="5.78"/>
    <n v="5.37"/>
    <s v="Lela Donovan"/>
    <s v="British Columbia"/>
    <x v="6"/>
    <s v="Corporate"/>
    <s v="Office Supplies"/>
    <x v="12"/>
    <x v="10"/>
    <d v="2012-10-04T00:00:00"/>
    <s v="04-Oct-2012"/>
  </r>
  <r>
    <n v="19044"/>
    <d v="2012-04-11T00:00:00"/>
    <s v="Low"/>
    <s v="11-Apr-2012"/>
    <n v="29"/>
    <n v="271.33"/>
    <n v="7.0000000000000007E-2"/>
    <s v="Regular Air"/>
    <n v="-191.09"/>
    <n v="9.7100000000000009"/>
    <n v="9.4499999999999993"/>
    <s v="Rob Dowd"/>
    <s v="British Columbia"/>
    <x v="6"/>
    <s v="Corporate"/>
    <s v="Office Supplies"/>
    <x v="4"/>
    <x v="18"/>
    <d v="2012-04-18T00:00:00"/>
    <s v="18-Apr-2012"/>
  </r>
  <r>
    <n v="20389"/>
    <d v="2009-08-11T00:00:00"/>
    <s v="High"/>
    <s v="11-Aug-2009"/>
    <n v="24"/>
    <n v="270.39"/>
    <n v="0.01"/>
    <s v="Regular Air"/>
    <n v="-30.42"/>
    <n v="10.52"/>
    <n v="7.94"/>
    <s v="Liz Price"/>
    <s v="British Columbia"/>
    <x v="6"/>
    <s v="Corporate"/>
    <s v="Furniture"/>
    <x v="7"/>
    <x v="24"/>
    <d v="2009-08-13T00:00:00"/>
    <s v="13-Aug-2009"/>
  </r>
  <r>
    <n v="45539"/>
    <d v="2009-08-02T00:00:00"/>
    <s v="Not Specified"/>
    <s v="02-Aug-2009"/>
    <n v="15"/>
    <n v="269.2"/>
    <n v="0.02"/>
    <s v="Express Air"/>
    <n v="69.61"/>
    <n v="16.48"/>
    <n v="1.99"/>
    <s v="Grant Thornton"/>
    <s v="British Columbia"/>
    <x v="6"/>
    <s v="Corporate"/>
    <s v="Technology"/>
    <x v="11"/>
    <x v="22"/>
    <d v="2009-08-04T00:00:00"/>
    <s v="04-Aug-2009"/>
  </r>
  <r>
    <n v="33570"/>
    <d v="2012-12-16T00:00:00"/>
    <s v="Not Specified"/>
    <s v="16-Dec-2012"/>
    <n v="46"/>
    <n v="265.88"/>
    <n v="0.05"/>
    <s v="Regular Air"/>
    <n v="-90.9"/>
    <n v="5.74"/>
    <n v="5.01"/>
    <s v="Ken Heidel"/>
    <s v="British Columbia"/>
    <x v="6"/>
    <s v="Corporate"/>
    <s v="Office Supplies"/>
    <x v="1"/>
    <x v="4"/>
    <d v="2012-12-18T00:00:00"/>
    <s v="18-Dec-2012"/>
  </r>
  <r>
    <n v="50403"/>
    <d v="2012-05-12T00:00:00"/>
    <s v="Not Specified"/>
    <s v="12-May-2012"/>
    <n v="38"/>
    <n v="264.92"/>
    <n v="0.05"/>
    <s v="Regular Air"/>
    <n v="-97.06"/>
    <n v="7.1"/>
    <n v="6.05"/>
    <s v="Katherine Ducich"/>
    <s v="British Columbia"/>
    <x v="6"/>
    <s v="Corporate"/>
    <s v="Office Supplies"/>
    <x v="1"/>
    <x v="4"/>
    <d v="2012-05-14T00:00:00"/>
    <s v="14-May-2012"/>
  </r>
  <r>
    <n v="36805"/>
    <d v="2010-12-14T00:00:00"/>
    <s v="Medium"/>
    <s v="14-Dec-2010"/>
    <n v="7"/>
    <n v="263.8"/>
    <n v="0"/>
    <s v="Regular Air"/>
    <n v="165.33"/>
    <n v="34.229999999999997"/>
    <n v="5.0199999999999996"/>
    <s v="Shahid Shariari"/>
    <s v="British Columbia"/>
    <x v="6"/>
    <s v="Corporate"/>
    <s v="Furniture"/>
    <x v="7"/>
    <x v="20"/>
    <d v="2010-12-16T00:00:00"/>
    <s v="16-Dec-2010"/>
  </r>
  <r>
    <n v="59781"/>
    <d v="2012-12-12T00:00:00"/>
    <s v="Not Specified"/>
    <s v="12-Dec-2012"/>
    <n v="43"/>
    <n v="262.13"/>
    <n v="0"/>
    <s v="Express Air"/>
    <n v="-60.91"/>
    <n v="5.58"/>
    <n v="5.3"/>
    <s v="Julia Barnett"/>
    <s v="British Columbia"/>
    <x v="6"/>
    <s v="Corporate"/>
    <s v="Office Supplies"/>
    <x v="15"/>
    <x v="2"/>
    <d v="2012-12-13T00:00:00"/>
    <s v="13-Dec-2012"/>
  </r>
  <r>
    <n v="54119"/>
    <d v="2010-05-22T00:00:00"/>
    <s v="Medium"/>
    <s v="22-May-2010"/>
    <n v="45"/>
    <n v="261"/>
    <n v="0.04"/>
    <s v="Express Air"/>
    <n v="-43.45"/>
    <n v="5.81"/>
    <n v="3.37"/>
    <s v="Monica Federle"/>
    <s v="British Columbia"/>
    <x v="6"/>
    <s v="Corporate"/>
    <s v="Office Supplies"/>
    <x v="16"/>
    <x v="41"/>
    <d v="2010-05-23T00:00:00"/>
    <s v="23-May-2010"/>
  </r>
  <r>
    <n v="17831"/>
    <d v="2012-10-25T00:00:00"/>
    <s v="Critical"/>
    <s v="25-Oct-2012"/>
    <n v="38"/>
    <n v="260.41000000000003"/>
    <n v="0"/>
    <s v="Express Air"/>
    <n v="-45.75"/>
    <n v="5.98"/>
    <n v="5.35"/>
    <s v="Ricardo Emerson"/>
    <s v="British Columbia"/>
    <x v="6"/>
    <s v="Corporate"/>
    <s v="Office Supplies"/>
    <x v="12"/>
    <x v="27"/>
    <d v="2012-10-28T00:00:00"/>
    <s v="28-Oct-2012"/>
  </r>
  <r>
    <n v="4195"/>
    <d v="2010-05-28T00:00:00"/>
    <s v="Not Specified"/>
    <s v="28-May-2010"/>
    <n v="30"/>
    <n v="255.74"/>
    <n v="7.0000000000000007E-2"/>
    <s v="Regular Air"/>
    <n v="37.090000000000003"/>
    <n v="8.5"/>
    <n v="1.99"/>
    <s v="Art Miller"/>
    <s v="British Columbia"/>
    <x v="6"/>
    <s v="Corporate"/>
    <s v="Technology"/>
    <x v="11"/>
    <x v="19"/>
    <d v="2010-05-30T00:00:00"/>
    <s v="30-May-2010"/>
  </r>
  <r>
    <n v="39655"/>
    <d v="2012-03-23T00:00:00"/>
    <s v="High"/>
    <s v="23-Mar-2012"/>
    <n v="35"/>
    <n v="253.15"/>
    <n v="0.03"/>
    <s v="Regular Air"/>
    <n v="-72.430000000000007"/>
    <n v="7.28"/>
    <n v="3.52"/>
    <s v="Roy Skaria"/>
    <s v="British Columbia"/>
    <x v="6"/>
    <s v="Corporate"/>
    <s v="Technology"/>
    <x v="11"/>
    <x v="48"/>
    <d v="2012-03-23T00:00:00"/>
    <s v="23-Mar-2012"/>
  </r>
  <r>
    <n v="11782"/>
    <d v="2012-07-28T00:00:00"/>
    <s v="Low"/>
    <s v="28-Jul-2012"/>
    <n v="46"/>
    <n v="247.21"/>
    <n v="0.02"/>
    <s v="Regular Air"/>
    <n v="-63.72"/>
    <n v="4.9800000000000004"/>
    <n v="4.75"/>
    <s v="Marina Lichtenstein"/>
    <s v="British Columbia"/>
    <x v="6"/>
    <s v="Corporate"/>
    <s v="Office Supplies"/>
    <x v="12"/>
    <x v="10"/>
    <d v="2012-08-02T00:00:00"/>
    <s v="02-Aug-2012"/>
  </r>
  <r>
    <n v="10470"/>
    <d v="2012-05-04T00:00:00"/>
    <s v="Critical"/>
    <s v="04-May-2012"/>
    <n v="35"/>
    <n v="246.98"/>
    <n v="0.1"/>
    <s v="Regular Air"/>
    <n v="-94.78"/>
    <n v="7.38"/>
    <n v="5.21"/>
    <s v="Khloe Miller"/>
    <s v="British Columbia"/>
    <x v="6"/>
    <s v="Corporate"/>
    <s v="Furniture"/>
    <x v="7"/>
    <x v="0"/>
    <d v="2012-05-09T00:00:00"/>
    <s v="09-May-2012"/>
  </r>
  <r>
    <n v="56130"/>
    <d v="2011-11-29T00:00:00"/>
    <s v="Medium"/>
    <s v="29-Nov-2011"/>
    <n v="13"/>
    <n v="246.06"/>
    <n v="0.08"/>
    <s v="Regular Air"/>
    <n v="52.33"/>
    <n v="18.7"/>
    <n v="8.99"/>
    <s v="David Bremer"/>
    <s v="British Columbia"/>
    <x v="6"/>
    <s v="Corporate"/>
    <s v="Furniture"/>
    <x v="7"/>
    <x v="26"/>
    <d v="2011-12-01T00:00:00"/>
    <s v="01-Dec-2011"/>
  </r>
  <r>
    <n v="28898"/>
    <d v="2011-05-28T00:00:00"/>
    <s v="Low"/>
    <s v="28-May-2011"/>
    <n v="44"/>
    <n v="246"/>
    <n v="0.1"/>
    <s v="Regular Air"/>
    <n v="-207.36"/>
    <n v="5.78"/>
    <n v="7.96"/>
    <s v="Mark Cousins"/>
    <s v="British Columbia"/>
    <x v="6"/>
    <s v="Corporate"/>
    <s v="Office Supplies"/>
    <x v="12"/>
    <x v="10"/>
    <d v="2011-05-28T00:00:00"/>
    <s v="28-May-2011"/>
  </r>
  <r>
    <n v="44450"/>
    <d v="2010-10-09T00:00:00"/>
    <s v="Critical"/>
    <s v="09-Oct-2010"/>
    <n v="14"/>
    <n v="243.23"/>
    <n v="7.0000000000000007E-2"/>
    <s v="Regular Air"/>
    <n v="35.33"/>
    <n v="17.48"/>
    <n v="1.99"/>
    <s v="Sean Wendt"/>
    <s v="British Columbia"/>
    <x v="6"/>
    <s v="Corporate"/>
    <s v="Technology"/>
    <x v="11"/>
    <x v="45"/>
    <d v="2010-10-10T00:00:00"/>
    <s v="10-Oct-2010"/>
  </r>
  <r>
    <n v="17831"/>
    <d v="2012-10-25T00:00:00"/>
    <s v="Critical"/>
    <s v="25-Oct-2012"/>
    <n v="34"/>
    <n v="239.3"/>
    <n v="0.06"/>
    <s v="Regular Air"/>
    <n v="41.31"/>
    <n v="6.98"/>
    <n v="2.83"/>
    <s v="Ricardo Emerson"/>
    <s v="British Columbia"/>
    <x v="6"/>
    <s v="Corporate"/>
    <s v="Furniture"/>
    <x v="7"/>
    <x v="7"/>
    <d v="2012-10-26T00:00:00"/>
    <s v="26-Oct-2012"/>
  </r>
  <r>
    <n v="38565"/>
    <d v="2009-03-25T00:00:00"/>
    <s v="Critical"/>
    <s v="25-Mar-2009"/>
    <n v="20"/>
    <n v="234.09"/>
    <n v="0.01"/>
    <s v="Express Air"/>
    <n v="-11.69"/>
    <n v="10.64"/>
    <n v="5.16"/>
    <s v="Justin Knight"/>
    <s v="British Columbia"/>
    <x v="6"/>
    <s v="Corporate"/>
    <s v="Furniture"/>
    <x v="7"/>
    <x v="6"/>
    <d v="2009-03-27T00:00:00"/>
    <s v="27-Mar-2009"/>
  </r>
  <r>
    <n v="53216"/>
    <d v="2012-12-04T00:00:00"/>
    <s v="High"/>
    <s v="04-Dec-2012"/>
    <n v="36"/>
    <n v="228.01"/>
    <n v="0.06"/>
    <s v="Regular Air"/>
    <n v="-185.54"/>
    <n v="6.48"/>
    <n v="8.73"/>
    <s v="Roy Skaria"/>
    <s v="British Columbia"/>
    <x v="6"/>
    <s v="Corporate"/>
    <s v="Office Supplies"/>
    <x v="12"/>
    <x v="7"/>
    <d v="2012-12-07T00:00:00"/>
    <s v="07-Dec-2012"/>
  </r>
  <r>
    <n v="18471"/>
    <d v="2009-02-19T00:00:00"/>
    <s v="Not Specified"/>
    <s v="19-Feb-2009"/>
    <n v="37"/>
    <n v="226.65"/>
    <n v="0"/>
    <s v="Regular Air"/>
    <n v="46.41"/>
    <n v="5.98"/>
    <n v="0.96"/>
    <s v="Justin Knight"/>
    <s v="British Columbia"/>
    <x v="6"/>
    <s v="Corporate"/>
    <s v="Office Supplies"/>
    <x v="13"/>
    <x v="18"/>
    <d v="2009-02-20T00:00:00"/>
    <s v="20-Feb-2009"/>
  </r>
  <r>
    <n v="40608"/>
    <d v="2012-08-19T00:00:00"/>
    <s v="Not Specified"/>
    <s v="19-Aug-2012"/>
    <n v="39"/>
    <n v="223.79"/>
    <n v="0.01"/>
    <s v="Regular Air"/>
    <n v="-89.88"/>
    <n v="5.28"/>
    <n v="5.66"/>
    <s v="Bill Eplett"/>
    <s v="British Columbia"/>
    <x v="6"/>
    <s v="Corporate"/>
    <s v="Office Supplies"/>
    <x v="12"/>
    <x v="27"/>
    <d v="2012-08-20T00:00:00"/>
    <s v="20-Aug-2012"/>
  </r>
  <r>
    <n v="59750"/>
    <d v="2010-07-09T00:00:00"/>
    <s v="Low"/>
    <s v="09-Jul-2010"/>
    <n v="34"/>
    <n v="223.59"/>
    <n v="0.04"/>
    <s v="Regular Air"/>
    <n v="-66.05"/>
    <n v="6.48"/>
    <n v="5.74"/>
    <s v="Jim Sink"/>
    <s v="British Columbia"/>
    <x v="6"/>
    <s v="Corporate"/>
    <s v="Office Supplies"/>
    <x v="12"/>
    <x v="7"/>
    <d v="2010-07-13T00:00:00"/>
    <s v="13-Jul-2010"/>
  </r>
  <r>
    <n v="40485"/>
    <d v="2009-12-27T00:00:00"/>
    <s v="Not Specified"/>
    <s v="27-Dec-2009"/>
    <n v="36"/>
    <n v="222.25"/>
    <n v="0.05"/>
    <s v="Regular Air"/>
    <n v="-63.77"/>
    <n v="5.98"/>
    <n v="5.46"/>
    <s v="David Bremer"/>
    <s v="British Columbia"/>
    <x v="6"/>
    <s v="Corporate"/>
    <s v="Office Supplies"/>
    <x v="12"/>
    <x v="10"/>
    <d v="2009-12-27T00:00:00"/>
    <s v="27-Dec-2009"/>
  </r>
  <r>
    <n v="29185"/>
    <d v="2010-01-20T00:00:00"/>
    <s v="High"/>
    <s v="20-Jan-2010"/>
    <n v="5"/>
    <n v="217.85"/>
    <n v="0.02"/>
    <s v="Express Air"/>
    <n v="-25.31"/>
    <n v="40.99"/>
    <n v="17.48"/>
    <s v="Rob Dowd"/>
    <s v="British Columbia"/>
    <x v="6"/>
    <s v="Corporate"/>
    <s v="Office Supplies"/>
    <x v="12"/>
    <x v="10"/>
    <d v="2010-01-22T00:00:00"/>
    <s v="22-Jan-2010"/>
  </r>
  <r>
    <n v="53189"/>
    <d v="2011-08-23T00:00:00"/>
    <s v="Critical"/>
    <s v="23-Aug-2011"/>
    <n v="29"/>
    <n v="214.19"/>
    <n v="0"/>
    <s v="Express Air"/>
    <n v="-40.56"/>
    <n v="6.48"/>
    <n v="5.94"/>
    <s v="Duane Noonan"/>
    <s v="British Columbia"/>
    <x v="6"/>
    <s v="Corporate"/>
    <s v="Office Supplies"/>
    <x v="12"/>
    <x v="7"/>
    <d v="2011-08-23T00:00:00"/>
    <s v="23-Aug-2011"/>
  </r>
  <r>
    <n v="39527"/>
    <d v="2011-04-17T00:00:00"/>
    <s v="Low"/>
    <s v="17-Apr-2011"/>
    <n v="29"/>
    <n v="213.35"/>
    <n v="0.01"/>
    <s v="Regular Air"/>
    <n v="63.78"/>
    <n v="6.88"/>
    <n v="2"/>
    <s v="Nathan Mautz"/>
    <s v="British Columbia"/>
    <x v="6"/>
    <s v="Corporate"/>
    <s v="Office Supplies"/>
    <x v="12"/>
    <x v="4"/>
    <d v="2011-04-26T00:00:00"/>
    <s v="26-Apr-2011"/>
  </r>
  <r>
    <n v="41831"/>
    <d v="2012-07-21T00:00:00"/>
    <s v="Not Specified"/>
    <s v="21-Jul-2012"/>
    <n v="38"/>
    <n v="209.61"/>
    <n v="0.05"/>
    <s v="Regular Air"/>
    <n v="-96.29"/>
    <n v="5.28"/>
    <n v="5.66"/>
    <s v="Muhammed Lee"/>
    <s v="British Columbia"/>
    <x v="6"/>
    <s v="Corporate"/>
    <s v="Office Supplies"/>
    <x v="12"/>
    <x v="27"/>
    <d v="2012-07-22T00:00:00"/>
    <s v="22-Jul-2012"/>
  </r>
  <r>
    <n v="2595"/>
    <d v="2011-12-13T00:00:00"/>
    <s v="Not Specified"/>
    <s v="13-Dec-2011"/>
    <n v="29"/>
    <n v="208.47"/>
    <n v="0.01"/>
    <s v="Express Air"/>
    <n v="-125.6"/>
    <n v="6.48"/>
    <n v="8.74"/>
    <s v="Art Miller"/>
    <s v="British Columbia"/>
    <x v="6"/>
    <s v="Corporate"/>
    <s v="Office Supplies"/>
    <x v="12"/>
    <x v="10"/>
    <d v="2011-12-15T00:00:00"/>
    <s v="15-Dec-2011"/>
  </r>
  <r>
    <n v="28225"/>
    <d v="2009-01-22T00:00:00"/>
    <s v="Critical"/>
    <s v="22-Jan-2009"/>
    <n v="9"/>
    <n v="206.04"/>
    <n v="0"/>
    <s v="Regular Air"/>
    <n v="-49.81"/>
    <n v="20.28"/>
    <n v="14.39"/>
    <s v="Khloe Miller"/>
    <s v="British Columbia"/>
    <x v="6"/>
    <s v="Corporate"/>
    <s v="Furniture"/>
    <x v="7"/>
    <x v="26"/>
    <d v="2009-01-22T00:00:00"/>
    <s v="22-Jan-2009"/>
  </r>
  <r>
    <n v="46151"/>
    <d v="2009-11-08T00:00:00"/>
    <s v="Critical"/>
    <s v="08-Nov-2009"/>
    <n v="23"/>
    <n v="203.91"/>
    <n v="0.02"/>
    <s v="Regular Air"/>
    <n v="-35.44"/>
    <n v="8.6"/>
    <n v="6.19"/>
    <s v="Tony Molinari"/>
    <s v="British Columbia"/>
    <x v="6"/>
    <s v="Corporate"/>
    <s v="Office Supplies"/>
    <x v="1"/>
    <x v="1"/>
    <d v="2009-11-10T00:00:00"/>
    <s v="10-Nov-2009"/>
  </r>
  <r>
    <n v="20389"/>
    <d v="2009-08-11T00:00:00"/>
    <s v="High"/>
    <s v="11-Aug-2009"/>
    <n v="30"/>
    <n v="201.35"/>
    <n v="0.02"/>
    <s v="Express Air"/>
    <n v="-107.37"/>
    <n v="5.98"/>
    <n v="7.5"/>
    <s v="Liz Price"/>
    <s v="British Columbia"/>
    <x v="6"/>
    <s v="Corporate"/>
    <s v="Office Supplies"/>
    <x v="12"/>
    <x v="27"/>
    <d v="2009-08-13T00:00:00"/>
    <s v="13-Aug-2009"/>
  </r>
  <r>
    <n v="36901"/>
    <d v="2012-09-13T00:00:00"/>
    <s v="Critical"/>
    <s v="13-Sep-2012"/>
    <n v="30"/>
    <n v="201.09"/>
    <n v="0.08"/>
    <s v="Regular Air"/>
    <n v="-56.22"/>
    <n v="6.68"/>
    <n v="5.66"/>
    <s v="Dana Kaydos"/>
    <s v="British Columbia"/>
    <x v="6"/>
    <s v="Corporate"/>
    <s v="Office Supplies"/>
    <x v="12"/>
    <x v="7"/>
    <d v="2012-09-14T00:00:00"/>
    <s v="14-Sep-2012"/>
  </r>
  <r>
    <n v="43814"/>
    <d v="2011-01-09T00:00:00"/>
    <s v="Medium"/>
    <s v="09-Jan-2011"/>
    <n v="47"/>
    <n v="199.48"/>
    <n v="0.03"/>
    <s v="Regular Air"/>
    <n v="13.8"/>
    <n v="4.2"/>
    <n v="2.2599999999999998"/>
    <s v="Grant Thornton"/>
    <s v="British Columbia"/>
    <x v="6"/>
    <s v="Corporate"/>
    <s v="Office Supplies"/>
    <x v="12"/>
    <x v="10"/>
    <d v="2011-01-10T00:00:00"/>
    <s v="10-Jan-2011"/>
  </r>
  <r>
    <n v="54307"/>
    <d v="2012-01-08T00:00:00"/>
    <s v="High"/>
    <s v="08-Jan-2012"/>
    <n v="41"/>
    <n v="198.29"/>
    <n v="0.08"/>
    <s v="Regular Air"/>
    <n v="-134.41"/>
    <n v="4.91"/>
    <n v="5.68"/>
    <s v="Lauren Leatherbury"/>
    <s v="British Columbia"/>
    <x v="6"/>
    <s v="Corporate"/>
    <s v="Office Supplies"/>
    <x v="1"/>
    <x v="10"/>
    <d v="2012-01-09T00:00:00"/>
    <s v="09-Jan-2012"/>
  </r>
  <r>
    <n v="43814"/>
    <d v="2011-01-09T00:00:00"/>
    <s v="Medium"/>
    <s v="09-Jan-2011"/>
    <n v="40"/>
    <n v="197.1"/>
    <n v="0.09"/>
    <s v="Regular Air"/>
    <n v="-12.88"/>
    <n v="5.28"/>
    <n v="2.99"/>
    <s v="Grant Thornton"/>
    <s v="British Columbia"/>
    <x v="6"/>
    <s v="Corporate"/>
    <s v="Office Supplies"/>
    <x v="1"/>
    <x v="7"/>
    <d v="2011-01-10T00:00:00"/>
    <s v="10-Jan-2011"/>
  </r>
  <r>
    <n v="29985"/>
    <d v="2012-07-11T00:00:00"/>
    <s v="Critical"/>
    <s v="11-Jul-2012"/>
    <n v="22"/>
    <n v="196.75"/>
    <n v="0.03"/>
    <s v="Express Air"/>
    <n v="0.13"/>
    <n v="7.96"/>
    <n v="4.95"/>
    <s v="Khloe Miller"/>
    <s v="British Columbia"/>
    <x v="6"/>
    <s v="Corporate"/>
    <s v="Furniture"/>
    <x v="7"/>
    <x v="25"/>
    <d v="2012-07-12T00:00:00"/>
    <s v="12-Jul-2012"/>
  </r>
  <r>
    <n v="4261"/>
    <d v="2012-10-02T00:00:00"/>
    <s v="Critical"/>
    <s v="02-Oct-2012"/>
    <n v="33"/>
    <n v="195.98"/>
    <n v="0.08"/>
    <s v="Regular Air"/>
    <n v="-71.47"/>
    <n v="5.98"/>
    <n v="5.35"/>
    <s v="Lela Donovan"/>
    <s v="British Columbia"/>
    <x v="6"/>
    <s v="Corporate"/>
    <s v="Office Supplies"/>
    <x v="12"/>
    <x v="27"/>
    <d v="2012-10-04T00:00:00"/>
    <s v="04-Oct-2012"/>
  </r>
  <r>
    <n v="20960"/>
    <d v="2011-11-18T00:00:00"/>
    <s v="Low"/>
    <s v="18-Nov-2011"/>
    <n v="19"/>
    <n v="195.96"/>
    <n v="0.1"/>
    <s v="Regular Air"/>
    <n v="-104.82"/>
    <n v="10.97"/>
    <n v="6.5"/>
    <s v="Giulietta Weimer"/>
    <s v="British Columbia"/>
    <x v="6"/>
    <s v="Corporate"/>
    <s v="Technology"/>
    <x v="11"/>
    <x v="28"/>
    <d v="2011-11-23T00:00:00"/>
    <s v="23-Nov-2011"/>
  </r>
  <r>
    <n v="21024"/>
    <d v="2010-12-28T00:00:00"/>
    <s v="Medium"/>
    <s v="28-Dec-2010"/>
    <n v="34"/>
    <n v="195.49"/>
    <n v="0.05"/>
    <s v="Regular Air"/>
    <n v="33.799999999999997"/>
    <n v="5.84"/>
    <n v="1.2"/>
    <s v="Stewart Carmichael"/>
    <s v="British Columbia"/>
    <x v="6"/>
    <s v="Corporate"/>
    <s v="Office Supplies"/>
    <x v="13"/>
    <x v="20"/>
    <d v="2010-12-30T00:00:00"/>
    <s v="30-Dec-2010"/>
  </r>
  <r>
    <n v="10144"/>
    <d v="2011-01-02T00:00:00"/>
    <s v="Critical"/>
    <s v="02-Jan-2011"/>
    <n v="1"/>
    <n v="192.49"/>
    <n v="0.02"/>
    <s v="Delivery Truck"/>
    <n v="-98.3"/>
    <n v="160.97999999999999"/>
    <n v="30"/>
    <s v="Sonia Sunley"/>
    <s v="British Columbia"/>
    <x v="6"/>
    <s v="Corporate"/>
    <s v="Furniture"/>
    <x v="2"/>
    <x v="44"/>
    <d v="2011-01-04T00:00:00"/>
    <s v="04-Jan-2011"/>
  </r>
  <r>
    <n v="51648"/>
    <d v="2012-01-01T00:00:00"/>
    <s v="Low"/>
    <s v="01-Jan-2012"/>
    <n v="50"/>
    <n v="187.88"/>
    <n v="0.08"/>
    <s v="Regular Air"/>
    <n v="-38.229999999999997"/>
    <n v="3.98"/>
    <n v="2.97"/>
    <s v="Roy Skaria"/>
    <s v="British Columbia"/>
    <x v="6"/>
    <s v="Corporate"/>
    <s v="Office Supplies"/>
    <x v="12"/>
    <x v="2"/>
    <d v="2012-01-06T00:00:00"/>
    <s v="06-Jan-2012"/>
  </r>
  <r>
    <n v="41888"/>
    <d v="2009-02-28T00:00:00"/>
    <s v="Low"/>
    <s v="28-Feb-2009"/>
    <n v="23"/>
    <n v="187.8"/>
    <n v="0.08"/>
    <s v="Express Air"/>
    <n v="-41.83"/>
    <n v="8.32"/>
    <n v="2.38"/>
    <s v="Victoria Pisteka"/>
    <s v="British Columbia"/>
    <x v="6"/>
    <s v="Corporate"/>
    <s v="Technology"/>
    <x v="11"/>
    <x v="37"/>
    <d v="2009-03-04T00:00:00"/>
    <s v="04-Mar-2009"/>
  </r>
  <r>
    <n v="33600"/>
    <d v="2010-10-06T00:00:00"/>
    <s v="Low"/>
    <s v="06-Oct-2010"/>
    <n v="42"/>
    <n v="187.28"/>
    <n v="0.06"/>
    <s v="Regular Air"/>
    <n v="-94.36"/>
    <n v="4.28"/>
    <n v="4.79"/>
    <s v="Sonia Sunley"/>
    <s v="British Columbia"/>
    <x v="6"/>
    <s v="Corporate"/>
    <s v="Office Supplies"/>
    <x v="12"/>
    <x v="27"/>
    <d v="2010-10-08T00:00:00"/>
    <s v="08-Oct-2010"/>
  </r>
  <r>
    <n v="13158"/>
    <d v="2012-11-20T00:00:00"/>
    <s v="Critical"/>
    <s v="20-Nov-2012"/>
    <n v="26"/>
    <n v="187.16"/>
    <n v="0.01"/>
    <s v="Regular Air"/>
    <n v="29.33"/>
    <n v="6.75"/>
    <n v="2.99"/>
    <s v="Kelly Williams"/>
    <s v="British Columbia"/>
    <x v="6"/>
    <s v="Corporate"/>
    <s v="Office Supplies"/>
    <x v="1"/>
    <x v="2"/>
    <d v="2012-11-22T00:00:00"/>
    <s v="22-Nov-2012"/>
  </r>
  <r>
    <n v="18471"/>
    <d v="2009-02-19T00:00:00"/>
    <s v="Not Specified"/>
    <s v="19-Feb-2009"/>
    <n v="29"/>
    <n v="185.61"/>
    <n v="0.02"/>
    <s v="Regular Air"/>
    <n v="-47.12"/>
    <n v="5.98"/>
    <n v="5.46"/>
    <s v="Justin Knight"/>
    <s v="British Columbia"/>
    <x v="6"/>
    <s v="Corporate"/>
    <s v="Office Supplies"/>
    <x v="12"/>
    <x v="10"/>
    <d v="2009-02-20T00:00:00"/>
    <s v="20-Feb-2009"/>
  </r>
  <r>
    <n v="11332"/>
    <d v="2009-11-16T00:00:00"/>
    <s v="Low"/>
    <s v="16-Nov-2009"/>
    <n v="6"/>
    <n v="184.33099999999999"/>
    <n v="7.0000000000000007E-2"/>
    <s v="Regular Air"/>
    <n v="-89.2"/>
    <n v="35.99"/>
    <n v="5.99"/>
    <s v="Liz Price"/>
    <s v="British Columbia"/>
    <x v="6"/>
    <s v="Corporate"/>
    <s v="Technology"/>
    <x v="10"/>
    <x v="1"/>
    <d v="2009-11-20T00:00:00"/>
    <s v="20-Nov-2009"/>
  </r>
  <r>
    <n v="53572"/>
    <d v="2010-05-07T00:00:00"/>
    <s v="Medium"/>
    <s v="07-May-2010"/>
    <n v="17"/>
    <n v="184.09"/>
    <n v="7.0000000000000007E-2"/>
    <s v="Regular Air"/>
    <n v="4.79"/>
    <n v="11.09"/>
    <n v="5.25"/>
    <s v="Marina Lichtenstein"/>
    <s v="British Columbia"/>
    <x v="6"/>
    <s v="Corporate"/>
    <s v="Office Supplies"/>
    <x v="15"/>
    <x v="10"/>
    <d v="2010-05-08T00:00:00"/>
    <s v="08-May-2010"/>
  </r>
  <r>
    <n v="40164"/>
    <d v="2010-04-10T00:00:00"/>
    <s v="Not Specified"/>
    <s v="10-Apr-2010"/>
    <n v="8"/>
    <n v="184.07"/>
    <n v="0.04"/>
    <s v="Regular Air"/>
    <n v="75.63"/>
    <n v="22.98"/>
    <n v="7.58"/>
    <s v="Chuck Clark"/>
    <s v="British Columbia"/>
    <x v="6"/>
    <s v="Corporate"/>
    <s v="Furniture"/>
    <x v="7"/>
    <x v="51"/>
    <d v="2010-04-12T00:00:00"/>
    <s v="12-Apr-2010"/>
  </r>
  <r>
    <n v="7427"/>
    <d v="2012-12-15T00:00:00"/>
    <s v="Not Specified"/>
    <s v="15-Dec-2012"/>
    <n v="9"/>
    <n v="182.26"/>
    <n v="0.01"/>
    <s v="Regular Air"/>
    <n v="60.61"/>
    <n v="18.940000000000001"/>
    <n v="1.49"/>
    <s v="Ricardo Emerson"/>
    <s v="British Columbia"/>
    <x v="6"/>
    <s v="Corporate"/>
    <s v="Office Supplies"/>
    <x v="1"/>
    <x v="2"/>
    <d v="2012-12-16T00:00:00"/>
    <s v="16-Dec-2012"/>
  </r>
  <r>
    <n v="30149"/>
    <d v="2010-12-12T00:00:00"/>
    <s v="Medium"/>
    <s v="12-Dec-2010"/>
    <n v="5"/>
    <n v="173.62"/>
    <n v="0.09"/>
    <s v="Delivery Truck"/>
    <n v="-88.64"/>
    <n v="33.94"/>
    <n v="19.190000000000001"/>
    <s v="Mark Cousins"/>
    <s v="British Columbia"/>
    <x v="6"/>
    <s v="Corporate"/>
    <s v="Furniture"/>
    <x v="2"/>
    <x v="15"/>
    <d v="2010-12-14T00:00:00"/>
    <s v="14-Dec-2010"/>
  </r>
  <r>
    <n v="59781"/>
    <d v="2012-12-12T00:00:00"/>
    <s v="Not Specified"/>
    <s v="12-Dec-2012"/>
    <n v="24"/>
    <n v="173.12"/>
    <n v="0.1"/>
    <s v="Regular Air"/>
    <n v="-166.41"/>
    <n v="7.28"/>
    <n v="11.15"/>
    <s v="Julia Barnett"/>
    <s v="British Columbia"/>
    <x v="6"/>
    <s v="Corporate"/>
    <s v="Office Supplies"/>
    <x v="12"/>
    <x v="7"/>
    <d v="2012-12-13T00:00:00"/>
    <s v="13-Dec-2012"/>
  </r>
  <r>
    <n v="47879"/>
    <d v="2012-01-11T00:00:00"/>
    <s v="Critical"/>
    <s v="11-Jan-2012"/>
    <n v="19"/>
    <n v="172.54"/>
    <n v="0.08"/>
    <s v="Regular Air"/>
    <n v="44.23"/>
    <n v="9.11"/>
    <n v="2.15"/>
    <s v="Tamara Willingham"/>
    <s v="British Columbia"/>
    <x v="6"/>
    <s v="Corporate"/>
    <s v="Office Supplies"/>
    <x v="12"/>
    <x v="27"/>
    <d v="2012-01-12T00:00:00"/>
    <s v="12-Jan-2012"/>
  </r>
  <r>
    <n v="37315"/>
    <d v="2012-06-05T00:00:00"/>
    <s v="Low"/>
    <s v="05-Jun-2012"/>
    <n v="43"/>
    <n v="170.81"/>
    <n v="0.1"/>
    <s v="Regular Air"/>
    <n v="-133.68"/>
    <n v="4.28"/>
    <n v="5.17"/>
    <s v="Luke Weiss"/>
    <s v="British Columbia"/>
    <x v="6"/>
    <s v="Corporate"/>
    <s v="Office Supplies"/>
    <x v="12"/>
    <x v="27"/>
    <d v="2012-06-12T00:00:00"/>
    <s v="12-Jun-2012"/>
  </r>
  <r>
    <n v="24070"/>
    <d v="2011-03-15T00:00:00"/>
    <s v="High"/>
    <s v="15-Mar-2011"/>
    <n v="36"/>
    <n v="170.42"/>
    <n v="0.1"/>
    <s v="Regular Air"/>
    <n v="-98.31"/>
    <n v="4.91"/>
    <n v="4.97"/>
    <s v="Sonia Sunley"/>
    <s v="British Columbia"/>
    <x v="6"/>
    <s v="Corporate"/>
    <s v="Office Supplies"/>
    <x v="1"/>
    <x v="1"/>
    <d v="2011-03-16T00:00:00"/>
    <s v="16-Mar-2011"/>
  </r>
  <r>
    <n v="38661"/>
    <d v="2012-02-12T00:00:00"/>
    <s v="High"/>
    <s v="12-Feb-2012"/>
    <n v="6"/>
    <n v="170.374"/>
    <n v="0.09"/>
    <s v="Regular Air"/>
    <n v="-67.13"/>
    <n v="35.99"/>
    <n v="0.99"/>
    <s v="Duane Noonan"/>
    <s v="British Columbia"/>
    <x v="6"/>
    <s v="Corporate"/>
    <s v="Technology"/>
    <x v="10"/>
    <x v="2"/>
    <d v="2012-02-15T00:00:00"/>
    <s v="15-Feb-2012"/>
  </r>
  <r>
    <n v="21856"/>
    <d v="2012-04-05T00:00:00"/>
    <s v="Not Specified"/>
    <s v="05-Apr-2012"/>
    <n v="47"/>
    <n v="168.55"/>
    <n v="0.05"/>
    <s v="Regular Air"/>
    <n v="71.77"/>
    <n v="3.69"/>
    <n v="0.5"/>
    <s v="Sonia Sunley"/>
    <s v="British Columbia"/>
    <x v="6"/>
    <s v="Corporate"/>
    <s v="Office Supplies"/>
    <x v="9"/>
    <x v="1"/>
    <d v="2012-04-07T00:00:00"/>
    <s v="07-Apr-2012"/>
  </r>
  <r>
    <n v="57248"/>
    <d v="2009-10-15T00:00:00"/>
    <s v="Critical"/>
    <s v="15-Oct-2009"/>
    <n v="34"/>
    <n v="167.5"/>
    <n v="0.04"/>
    <s v="Regular Air"/>
    <n v="-84.42"/>
    <n v="4.9800000000000004"/>
    <n v="4.95"/>
    <s v="Damala Kotsonis"/>
    <s v="British Columbia"/>
    <x v="6"/>
    <s v="Corporate"/>
    <s v="Office Supplies"/>
    <x v="1"/>
    <x v="7"/>
    <d v="2009-10-17T00:00:00"/>
    <s v="17-Oct-2009"/>
  </r>
  <r>
    <n v="41824"/>
    <d v="2010-07-04T00:00:00"/>
    <s v="Not Specified"/>
    <s v="04-Jul-2010"/>
    <n v="8"/>
    <n v="157.51"/>
    <n v="0.01"/>
    <s v="Regular Air"/>
    <n v="46.48"/>
    <n v="18.940000000000001"/>
    <n v="1.49"/>
    <s v="Art Miller"/>
    <s v="British Columbia"/>
    <x v="6"/>
    <s v="Corporate"/>
    <s v="Office Supplies"/>
    <x v="1"/>
    <x v="2"/>
    <d v="2010-07-05T00:00:00"/>
    <s v="05-Jul-2010"/>
  </r>
  <r>
    <n v="41413"/>
    <d v="2011-11-16T00:00:00"/>
    <s v="Low"/>
    <s v="16-Nov-2011"/>
    <n v="23"/>
    <n v="156.5"/>
    <n v="0.01"/>
    <s v="Regular Air"/>
    <n v="-49.6"/>
    <n v="6.48"/>
    <n v="6"/>
    <s v="Art Miller"/>
    <s v="British Columbia"/>
    <x v="6"/>
    <s v="Corporate"/>
    <s v="Office Supplies"/>
    <x v="12"/>
    <x v="7"/>
    <d v="2011-11-20T00:00:00"/>
    <s v="20-Nov-2011"/>
  </r>
  <r>
    <n v="18247"/>
    <d v="2009-11-05T00:00:00"/>
    <s v="Not Specified"/>
    <s v="05-Nov-2009"/>
    <n v="20"/>
    <n v="155.80000000000001"/>
    <n v="0"/>
    <s v="Regular Air"/>
    <n v="27.22"/>
    <n v="7.59"/>
    <n v="4"/>
    <s v="Rob Haberlin"/>
    <s v="British Columbia"/>
    <x v="6"/>
    <s v="Corporate"/>
    <s v="Furniture"/>
    <x v="7"/>
    <x v="22"/>
    <d v="2009-11-06T00:00:00"/>
    <s v="06-Nov-2009"/>
  </r>
  <r>
    <n v="35011"/>
    <d v="2012-12-10T00:00:00"/>
    <s v="Not Specified"/>
    <s v="10-Dec-2012"/>
    <n v="14"/>
    <n v="154.44999999999999"/>
    <n v="0.09"/>
    <s v="Regular Air"/>
    <n v="-2.31"/>
    <n v="10.98"/>
    <n v="3.37"/>
    <s v="Luke Weiss"/>
    <s v="British Columbia"/>
    <x v="6"/>
    <s v="Corporate"/>
    <s v="Office Supplies"/>
    <x v="14"/>
    <x v="6"/>
    <d v="2012-12-12T00:00:00"/>
    <s v="12-Dec-2012"/>
  </r>
  <r>
    <n v="24576"/>
    <d v="2012-12-11T00:00:00"/>
    <s v="Not Specified"/>
    <s v="11-Dec-2012"/>
    <n v="10"/>
    <n v="152.84"/>
    <n v="0.05"/>
    <s v="Regular Air"/>
    <n v="38.020000000000003"/>
    <n v="14.58"/>
    <n v="7.4"/>
    <s v="Luke Weiss"/>
    <s v="British Columbia"/>
    <x v="6"/>
    <s v="Corporate"/>
    <s v="Furniture"/>
    <x v="7"/>
    <x v="23"/>
    <d v="2012-12-13T00:00:00"/>
    <s v="13-Dec-2012"/>
  </r>
  <r>
    <n v="35968"/>
    <d v="2012-03-03T00:00:00"/>
    <s v="Not Specified"/>
    <s v="03-Mar-2012"/>
    <n v="21"/>
    <n v="141.19999999999999"/>
    <n v="0.05"/>
    <s v="Regular Air"/>
    <n v="-74.44"/>
    <n v="6.23"/>
    <n v="6.97"/>
    <s v="Barry Weirich"/>
    <s v="British Columbia"/>
    <x v="6"/>
    <s v="Corporate"/>
    <s v="Office Supplies"/>
    <x v="1"/>
    <x v="10"/>
    <d v="2012-03-05T00:00:00"/>
    <s v="05-Mar-2012"/>
  </r>
  <r>
    <n v="34980"/>
    <d v="2010-08-02T00:00:00"/>
    <s v="Not Specified"/>
    <s v="02-Aug-2010"/>
    <n v="7"/>
    <n v="140.77000000000001"/>
    <n v="0.01"/>
    <s v="Regular Air"/>
    <n v="100.77"/>
    <n v="18.649999999999999"/>
    <n v="3.77"/>
    <s v="Victoria Pisteka"/>
    <s v="British Columbia"/>
    <x v="6"/>
    <s v="Corporate"/>
    <s v="Furniture"/>
    <x v="7"/>
    <x v="4"/>
    <d v="2010-08-04T00:00:00"/>
    <s v="04-Aug-2010"/>
  </r>
  <r>
    <n v="52580"/>
    <d v="2012-08-28T00:00:00"/>
    <s v="High"/>
    <s v="28-Aug-2012"/>
    <n v="23"/>
    <n v="139.66"/>
    <n v="0.02"/>
    <s v="Regular Air"/>
    <n v="46.69"/>
    <n v="5.68"/>
    <n v="1.39"/>
    <s v="Katherine Ducich"/>
    <s v="British Columbia"/>
    <x v="6"/>
    <s v="Corporate"/>
    <s v="Office Supplies"/>
    <x v="15"/>
    <x v="1"/>
    <d v="2012-08-30T00:00:00"/>
    <s v="30-Aug-2012"/>
  </r>
  <r>
    <n v="27396"/>
    <d v="2010-12-08T00:00:00"/>
    <s v="Critical"/>
    <s v="08-Dec-2010"/>
    <n v="14"/>
    <n v="138.31"/>
    <n v="7.0000000000000007E-2"/>
    <s v="Regular Air"/>
    <n v="-31.16"/>
    <n v="9.77"/>
    <n v="6.02"/>
    <s v="Sean Wendt"/>
    <s v="British Columbia"/>
    <x v="6"/>
    <s v="Corporate"/>
    <s v="Furniture"/>
    <x v="7"/>
    <x v="23"/>
    <d v="2010-12-10T00:00:00"/>
    <s v="10-Dec-2010"/>
  </r>
  <r>
    <n v="40801"/>
    <d v="2012-07-01T00:00:00"/>
    <s v="Not Specified"/>
    <s v="01-Jul-2012"/>
    <n v="20"/>
    <n v="129.16"/>
    <n v="7.0000000000000007E-2"/>
    <s v="Regular Air"/>
    <n v="-56.15"/>
    <n v="6.48"/>
    <n v="6.22"/>
    <s v="Sarah Bern"/>
    <s v="British Columbia"/>
    <x v="6"/>
    <s v="Corporate"/>
    <s v="Office Supplies"/>
    <x v="12"/>
    <x v="7"/>
    <d v="2012-07-01T00:00:00"/>
    <s v="01-Jul-2012"/>
  </r>
  <r>
    <n v="11392"/>
    <d v="2009-09-05T00:00:00"/>
    <s v="Low"/>
    <s v="05-Sep-2009"/>
    <n v="28"/>
    <n v="128.69"/>
    <n v="0.04"/>
    <s v="Regular Air"/>
    <n v="28.29"/>
    <n v="4.55"/>
    <n v="1.49"/>
    <s v="Sarah Bern"/>
    <s v="British Columbia"/>
    <x v="6"/>
    <s v="Corporate"/>
    <s v="Office Supplies"/>
    <x v="1"/>
    <x v="2"/>
    <d v="2009-09-07T00:00:00"/>
    <s v="07-Sep-2009"/>
  </r>
  <r>
    <n v="54119"/>
    <d v="2010-05-22T00:00:00"/>
    <s v="Medium"/>
    <s v="22-May-2010"/>
    <n v="4"/>
    <n v="127.56"/>
    <n v="0.05"/>
    <s v="Regular Air"/>
    <n v="-41.75"/>
    <n v="29.74"/>
    <n v="6.64"/>
    <s v="Monica Federle"/>
    <s v="British Columbia"/>
    <x v="6"/>
    <s v="Corporate"/>
    <s v="Office Supplies"/>
    <x v="4"/>
    <x v="3"/>
    <d v="2010-05-25T00:00:00"/>
    <s v="25-May-2010"/>
  </r>
  <r>
    <n v="44836"/>
    <d v="2009-09-11T00:00:00"/>
    <s v="Medium"/>
    <s v="11-Sep-2009"/>
    <n v="21"/>
    <n v="125.79"/>
    <n v="0.02"/>
    <s v="Regular Air"/>
    <n v="28.53"/>
    <n v="5.98"/>
    <n v="1.49"/>
    <s v="Tamara Willingham"/>
    <s v="British Columbia"/>
    <x v="6"/>
    <s v="Corporate"/>
    <s v="Office Supplies"/>
    <x v="1"/>
    <x v="4"/>
    <d v="2009-09-12T00:00:00"/>
    <s v="12-Sep-2009"/>
  </r>
  <r>
    <n v="36803"/>
    <d v="2012-08-04T00:00:00"/>
    <s v="Not Specified"/>
    <s v="04-Aug-2012"/>
    <n v="42"/>
    <n v="121.65"/>
    <n v="0.05"/>
    <s v="Regular Air"/>
    <n v="30.76"/>
    <n v="2.88"/>
    <n v="0.99"/>
    <s v="Ralph Kennedy"/>
    <s v="British Columbia"/>
    <x v="6"/>
    <s v="Corporate"/>
    <s v="Office Supplies"/>
    <x v="9"/>
    <x v="10"/>
    <d v="2012-08-06T00:00:00"/>
    <s v="06-Aug-2012"/>
  </r>
  <r>
    <n v="4067"/>
    <d v="2012-10-06T00:00:00"/>
    <s v="High"/>
    <s v="06-Oct-2012"/>
    <n v="16"/>
    <n v="118.38"/>
    <n v="0.04"/>
    <s v="Regular Air"/>
    <n v="-42.46"/>
    <n v="7.1"/>
    <n v="6.05"/>
    <s v="Shahid Shariari"/>
    <s v="British Columbia"/>
    <x v="6"/>
    <s v="Corporate"/>
    <s v="Office Supplies"/>
    <x v="1"/>
    <x v="4"/>
    <d v="2012-10-08T00:00:00"/>
    <s v="08-Oct-2012"/>
  </r>
  <r>
    <n v="11074"/>
    <d v="2011-06-09T00:00:00"/>
    <s v="High"/>
    <s v="09-Jun-2011"/>
    <n v="21"/>
    <n v="114.53"/>
    <n v="7.0000000000000007E-2"/>
    <s v="Regular Air"/>
    <n v="-39.229999999999997"/>
    <n v="5.68"/>
    <n v="3.6"/>
    <s v="Cynthia Delaney"/>
    <s v="British Columbia"/>
    <x v="6"/>
    <s v="Corporate"/>
    <s v="Office Supplies"/>
    <x v="14"/>
    <x v="0"/>
    <d v="2011-06-11T00:00:00"/>
    <s v="11-Jun-2011"/>
  </r>
  <r>
    <n v="44256"/>
    <d v="2011-11-19T00:00:00"/>
    <s v="Low"/>
    <s v="19-Nov-2011"/>
    <n v="17"/>
    <n v="114.28"/>
    <n v="0.08"/>
    <s v="Regular Air"/>
    <n v="-38.72"/>
    <n v="6.48"/>
    <n v="5.84"/>
    <s v="Sally Knutson"/>
    <s v="British Columbia"/>
    <x v="6"/>
    <s v="Corporate"/>
    <s v="Office Supplies"/>
    <x v="12"/>
    <x v="7"/>
    <d v="2011-11-24T00:00:00"/>
    <s v="24-Nov-2011"/>
  </r>
  <r>
    <n v="14276"/>
    <d v="2009-06-18T00:00:00"/>
    <s v="Medium"/>
    <s v="18-Jun-2009"/>
    <n v="11"/>
    <n v="110.79"/>
    <n v="0.1"/>
    <s v="Regular Air"/>
    <n v="-11.13"/>
    <n v="10.48"/>
    <n v="2.89"/>
    <s v="Lela Donovan"/>
    <s v="British Columbia"/>
    <x v="6"/>
    <s v="Corporate"/>
    <s v="Office Supplies"/>
    <x v="13"/>
    <x v="18"/>
    <d v="2009-06-19T00:00:00"/>
    <s v="19-Jun-2009"/>
  </r>
  <r>
    <n v="25635"/>
    <d v="2012-05-29T00:00:00"/>
    <s v="Critical"/>
    <s v="29-May-2012"/>
    <n v="22"/>
    <n v="110.42"/>
    <n v="0.09"/>
    <s v="Regular Air"/>
    <n v="-36.6"/>
    <n v="5.08"/>
    <n v="3.63"/>
    <s v="Sally Knutson"/>
    <s v="British Columbia"/>
    <x v="6"/>
    <s v="Corporate"/>
    <s v="Furniture"/>
    <x v="7"/>
    <x v="51"/>
    <d v="2012-05-30T00:00:00"/>
    <s v="30-May-2012"/>
  </r>
  <r>
    <n v="20448"/>
    <d v="2011-08-02T00:00:00"/>
    <s v="Critical"/>
    <s v="02-Aug-2011"/>
    <n v="23"/>
    <n v="104.82"/>
    <n v="0.02"/>
    <s v="Express Air"/>
    <n v="6.84"/>
    <n v="3.69"/>
    <n v="2.5"/>
    <s v="Luke Weiss"/>
    <s v="British Columbia"/>
    <x v="6"/>
    <s v="Corporate"/>
    <s v="Office Supplies"/>
    <x v="15"/>
    <x v="4"/>
    <d v="2011-08-03T00:00:00"/>
    <s v="03-Aug-2011"/>
  </r>
  <r>
    <n v="36803"/>
    <d v="2012-08-04T00:00:00"/>
    <s v="Not Specified"/>
    <s v="04-Aug-2012"/>
    <n v="2"/>
    <n v="103.105"/>
    <n v="0.09"/>
    <s v="Regular Air"/>
    <n v="-316.32"/>
    <n v="65.989999999999995"/>
    <n v="2.5"/>
    <s v="Ralph Kennedy"/>
    <s v="British Columbia"/>
    <x v="6"/>
    <s v="Corporate"/>
    <s v="Technology"/>
    <x v="10"/>
    <x v="0"/>
    <d v="2012-08-06T00:00:00"/>
    <s v="06-Aug-2012"/>
  </r>
  <r>
    <n v="47750"/>
    <d v="2010-06-15T00:00:00"/>
    <s v="Low"/>
    <s v="15-Jun-2010"/>
    <n v="37"/>
    <n v="102.46"/>
    <n v="0.08"/>
    <s v="Regular Air"/>
    <n v="36.64"/>
    <n v="2.88"/>
    <n v="0.5"/>
    <s v="Sally Knutson"/>
    <s v="British Columbia"/>
    <x v="6"/>
    <s v="Corporate"/>
    <s v="Office Supplies"/>
    <x v="9"/>
    <x v="4"/>
    <d v="2010-06-20T00:00:00"/>
    <s v="20-Jun-2010"/>
  </r>
  <r>
    <n v="57760"/>
    <d v="2011-07-12T00:00:00"/>
    <s v="Not Specified"/>
    <s v="12-Jul-2011"/>
    <n v="34"/>
    <n v="102.34"/>
    <n v="0.01"/>
    <s v="Regular Air"/>
    <n v="-30.39"/>
    <n v="2.98"/>
    <n v="2.0299999999999998"/>
    <s v="Rick Huthwaite"/>
    <s v="British Columbia"/>
    <x v="6"/>
    <s v="Corporate"/>
    <s v="Office Supplies"/>
    <x v="13"/>
    <x v="6"/>
    <d v="2011-07-14T00:00:00"/>
    <s v="14-Jul-2011"/>
  </r>
  <r>
    <n v="16768"/>
    <d v="2009-07-25T00:00:00"/>
    <s v="High"/>
    <s v="25-Jul-2009"/>
    <n v="9"/>
    <n v="101.47"/>
    <n v="0.03"/>
    <s v="Regular Air"/>
    <n v="-18.64"/>
    <n v="10.89"/>
    <n v="4.5"/>
    <s v="Andrew Allen"/>
    <s v="British Columbia"/>
    <x v="6"/>
    <s v="Corporate"/>
    <s v="Office Supplies"/>
    <x v="5"/>
    <x v="14"/>
    <d v="2009-07-26T00:00:00"/>
    <s v="26-Jul-2009"/>
  </r>
  <r>
    <n v="10692"/>
    <d v="2009-07-26T00:00:00"/>
    <s v="Low"/>
    <s v="26-Jul-2009"/>
    <n v="26"/>
    <n v="100.41"/>
    <n v="0.04"/>
    <s v="Regular Air"/>
    <n v="-69.91"/>
    <n v="3.57"/>
    <n v="4.17"/>
    <s v="Rob Haberlin"/>
    <s v="British Columbia"/>
    <x v="6"/>
    <s v="Corporate"/>
    <s v="Office Supplies"/>
    <x v="13"/>
    <x v="14"/>
    <d v="2009-07-28T00:00:00"/>
    <s v="28-Jul-2009"/>
  </r>
  <r>
    <n v="47201"/>
    <d v="2009-12-28T00:00:00"/>
    <s v="Critical"/>
    <s v="28-Dec-2009"/>
    <n v="18"/>
    <n v="99.55"/>
    <n v="0.03"/>
    <s v="Express Air"/>
    <n v="-60.9"/>
    <n v="4.9800000000000004"/>
    <n v="4.62"/>
    <s v="Tim Taslimi"/>
    <s v="British Columbia"/>
    <x v="6"/>
    <s v="Corporate"/>
    <s v="Technology"/>
    <x v="11"/>
    <x v="28"/>
    <d v="2009-12-29T00:00:00"/>
    <s v="29-Dec-2009"/>
  </r>
  <r>
    <n v="57511"/>
    <d v="2009-10-06T00:00:00"/>
    <s v="Critical"/>
    <s v="06-Oct-2009"/>
    <n v="32"/>
    <n v="98.46"/>
    <n v="0.01"/>
    <s v="Regular Air"/>
    <n v="41.54"/>
    <n v="2.89"/>
    <n v="0.5"/>
    <s v="Duane Noonan"/>
    <s v="British Columbia"/>
    <x v="6"/>
    <s v="Corporate"/>
    <s v="Office Supplies"/>
    <x v="9"/>
    <x v="1"/>
    <d v="2009-10-07T00:00:00"/>
    <s v="07-Oct-2009"/>
  </r>
  <r>
    <n v="19972"/>
    <d v="2012-06-16T00:00:00"/>
    <s v="Critical"/>
    <s v="16-Jun-2012"/>
    <n v="6"/>
    <n v="97.86"/>
    <n v="0.04"/>
    <s v="Regular Air"/>
    <n v="-21.09"/>
    <n v="14.98"/>
    <n v="8.99"/>
    <s v="Liz Price"/>
    <s v="British Columbia"/>
    <x v="6"/>
    <s v="Corporate"/>
    <s v="Furniture"/>
    <x v="7"/>
    <x v="4"/>
    <d v="2012-06-18T00:00:00"/>
    <s v="18-Jun-2012"/>
  </r>
  <r>
    <n v="41824"/>
    <d v="2010-07-04T00:00:00"/>
    <s v="Not Specified"/>
    <s v="04-Jul-2010"/>
    <n v="33"/>
    <n v="97.78"/>
    <n v="0.09"/>
    <s v="Regular Air"/>
    <n v="-31.22"/>
    <n v="2.98"/>
    <n v="2.0299999999999998"/>
    <s v="Art Miller"/>
    <s v="British Columbia"/>
    <x v="6"/>
    <s v="Corporate"/>
    <s v="Office Supplies"/>
    <x v="13"/>
    <x v="6"/>
    <d v="2010-07-06T00:00:00"/>
    <s v="06-Jul-2010"/>
  </r>
  <r>
    <n v="39783"/>
    <d v="2012-09-20T00:00:00"/>
    <s v="Not Specified"/>
    <s v="20-Sep-2012"/>
    <n v="29"/>
    <n v="94.5"/>
    <n v="0.02"/>
    <s v="Regular Air"/>
    <n v="39.9"/>
    <n v="3.15"/>
    <n v="0.5"/>
    <s v="Sally Knutson"/>
    <s v="British Columbia"/>
    <x v="6"/>
    <s v="Corporate"/>
    <s v="Office Supplies"/>
    <x v="9"/>
    <x v="7"/>
    <d v="2012-09-21T00:00:00"/>
    <s v="21-Sep-2012"/>
  </r>
  <r>
    <n v="41440"/>
    <d v="2009-09-22T00:00:00"/>
    <s v="High"/>
    <s v="22-Sep-2009"/>
    <n v="20"/>
    <n v="92.94"/>
    <n v="0.09"/>
    <s v="Regular Air"/>
    <n v="37.770000000000003"/>
    <n v="4.91"/>
    <n v="0.5"/>
    <s v="Alejandro Savely"/>
    <s v="British Columbia"/>
    <x v="6"/>
    <s v="Corporate"/>
    <s v="Office Supplies"/>
    <x v="9"/>
    <x v="10"/>
    <d v="2009-09-23T00:00:00"/>
    <s v="23-Sep-2009"/>
  </r>
  <r>
    <n v="38336"/>
    <d v="2012-10-05T00:00:00"/>
    <s v="Critical"/>
    <s v="05-Oct-2012"/>
    <n v="14"/>
    <n v="91.75"/>
    <n v="7.0000000000000007E-2"/>
    <s v="Regular Air"/>
    <n v="2.82"/>
    <n v="6.75"/>
    <n v="2.99"/>
    <s v="Julie Creighton"/>
    <s v="British Columbia"/>
    <x v="6"/>
    <s v="Corporate"/>
    <s v="Office Supplies"/>
    <x v="1"/>
    <x v="2"/>
    <d v="2012-10-06T00:00:00"/>
    <s v="06-Oct-2012"/>
  </r>
  <r>
    <n v="26374"/>
    <d v="2009-11-05T00:00:00"/>
    <s v="Not Specified"/>
    <s v="05-Nov-2009"/>
    <n v="5"/>
    <n v="90.941500000000005"/>
    <n v="0.05"/>
    <s v="Regular Air"/>
    <n v="-109.42"/>
    <n v="20.99"/>
    <n v="3.3"/>
    <s v="Art Miller"/>
    <s v="British Columbia"/>
    <x v="6"/>
    <s v="Corporate"/>
    <s v="Technology"/>
    <x v="10"/>
    <x v="43"/>
    <d v="2009-11-06T00:00:00"/>
    <s v="06-Nov-2009"/>
  </r>
  <r>
    <n v="45539"/>
    <d v="2009-08-02T00:00:00"/>
    <s v="Not Specified"/>
    <s v="02-Aug-2009"/>
    <n v="27"/>
    <n v="87.33"/>
    <n v="0.08"/>
    <s v="Regular Air"/>
    <n v="13.82"/>
    <n v="3.38"/>
    <n v="0.85"/>
    <s v="Grant Thornton"/>
    <s v="British Columbia"/>
    <x v="6"/>
    <s v="Corporate"/>
    <s v="Office Supplies"/>
    <x v="13"/>
    <x v="23"/>
    <d v="2009-08-04T00:00:00"/>
    <s v="04-Aug-2009"/>
  </r>
  <r>
    <n v="39783"/>
    <d v="2012-09-20T00:00:00"/>
    <s v="Not Specified"/>
    <s v="20-Sep-2012"/>
    <n v="19"/>
    <n v="82.43"/>
    <n v="0.04"/>
    <s v="Regular Air"/>
    <n v="-94.76"/>
    <n v="4.0599999999999996"/>
    <n v="6.89"/>
    <s v="Sally Knutson"/>
    <s v="British Columbia"/>
    <x v="6"/>
    <s v="Corporate"/>
    <s v="Office Supplies"/>
    <x v="5"/>
    <x v="18"/>
    <d v="2012-09-22T00:00:00"/>
    <s v="22-Sep-2012"/>
  </r>
  <r>
    <n v="47683"/>
    <d v="2010-09-01T00:00:00"/>
    <s v="Low"/>
    <s v="01-Sep-2010"/>
    <n v="38"/>
    <n v="81.97"/>
    <n v="0.05"/>
    <s v="Regular Air"/>
    <n v="-148.80000000000001"/>
    <n v="1.98"/>
    <n v="4.7699999999999996"/>
    <s v="Harold Dahlen"/>
    <s v="British Columbia"/>
    <x v="6"/>
    <s v="Corporate"/>
    <s v="Office Supplies"/>
    <x v="1"/>
    <x v="27"/>
    <d v="2010-09-08T00:00:00"/>
    <s v="08-Sep-2010"/>
  </r>
  <r>
    <n v="32611"/>
    <d v="2009-08-27T00:00:00"/>
    <s v="Medium"/>
    <s v="27-Aug-2009"/>
    <n v="15"/>
    <n v="81.66"/>
    <n v="0.05"/>
    <s v="Regular Air"/>
    <n v="-31.99"/>
    <n v="4.9800000000000004"/>
    <n v="5.0199999999999996"/>
    <s v="Neil Knudson"/>
    <s v="British Columbia"/>
    <x v="6"/>
    <s v="Corporate"/>
    <s v="Office Supplies"/>
    <x v="12"/>
    <x v="1"/>
    <d v="2009-08-27T00:00:00"/>
    <s v="27-Aug-2009"/>
  </r>
  <r>
    <n v="44099"/>
    <d v="2012-03-12T00:00:00"/>
    <s v="Medium"/>
    <s v="12-Mar-2012"/>
    <n v="19"/>
    <n v="80.81"/>
    <n v="0.1"/>
    <s v="Regular Air"/>
    <n v="-67.459999999999994"/>
    <n v="4.24"/>
    <n v="5.41"/>
    <s v="Alan Schoenberger"/>
    <s v="British Columbia"/>
    <x v="6"/>
    <s v="Corporate"/>
    <s v="Office Supplies"/>
    <x v="1"/>
    <x v="2"/>
    <d v="2012-03-14T00:00:00"/>
    <s v="14-Mar-2012"/>
  </r>
  <r>
    <n v="47522"/>
    <d v="2012-10-23T00:00:00"/>
    <s v="High"/>
    <s v="23-Oct-2012"/>
    <n v="5"/>
    <n v="80.56"/>
    <n v="0.03"/>
    <s v="Regular Air"/>
    <n v="12.5"/>
    <n v="15.67"/>
    <n v="1.39"/>
    <s v="Juliana Krohn"/>
    <s v="British Columbia"/>
    <x v="6"/>
    <s v="Corporate"/>
    <s v="Office Supplies"/>
    <x v="15"/>
    <x v="1"/>
    <d v="2012-10-24T00:00:00"/>
    <s v="24-Oct-2012"/>
  </r>
  <r>
    <n v="56640"/>
    <d v="2011-08-25T00:00:00"/>
    <s v="High"/>
    <s v="25-Aug-2011"/>
    <n v="11"/>
    <n v="80.260000000000005"/>
    <n v="0.06"/>
    <s v="Regular Air"/>
    <n v="-22.55"/>
    <n v="6.68"/>
    <n v="5.66"/>
    <s v="Anthony O'Donnell"/>
    <s v="British Columbia"/>
    <x v="6"/>
    <s v="Corporate"/>
    <s v="Office Supplies"/>
    <x v="12"/>
    <x v="7"/>
    <d v="2011-08-26T00:00:00"/>
    <s v="26-Aug-2011"/>
  </r>
  <r>
    <n v="5028"/>
    <d v="2012-04-16T00:00:00"/>
    <s v="High"/>
    <s v="16-Apr-2012"/>
    <n v="10"/>
    <n v="79.680000000000007"/>
    <n v="0.06"/>
    <s v="Regular Air"/>
    <n v="18.239999999999998"/>
    <n v="7.7"/>
    <n v="3.68"/>
    <s v="Art Miller"/>
    <s v="British Columbia"/>
    <x v="6"/>
    <s v="Corporate"/>
    <s v="Furniture"/>
    <x v="7"/>
    <x v="24"/>
    <d v="2012-04-18T00:00:00"/>
    <s v="18-Apr-2012"/>
  </r>
  <r>
    <n v="10048"/>
    <d v="2009-05-15T00:00:00"/>
    <s v="Not Specified"/>
    <s v="15-May-2009"/>
    <n v="21"/>
    <n v="78.569999999999993"/>
    <n v="0.02"/>
    <s v="Regular Air"/>
    <n v="-20.65"/>
    <n v="3.68"/>
    <n v="1.32"/>
    <s v="Sonia Sunley"/>
    <s v="British Columbia"/>
    <x v="6"/>
    <s v="Corporate"/>
    <s v="Office Supplies"/>
    <x v="14"/>
    <x v="34"/>
    <d v="2009-05-17T00:00:00"/>
    <s v="17-May-2009"/>
  </r>
  <r>
    <n v="21856"/>
    <d v="2012-04-05T00:00:00"/>
    <s v="Not Specified"/>
    <s v="05-Apr-2012"/>
    <n v="26"/>
    <n v="77.03"/>
    <n v="0.08"/>
    <s v="Regular Air"/>
    <n v="-47.75"/>
    <n v="3.14"/>
    <n v="1.92"/>
    <s v="Sonia Sunley"/>
    <s v="British Columbia"/>
    <x v="6"/>
    <s v="Corporate"/>
    <s v="Office Supplies"/>
    <x v="14"/>
    <x v="30"/>
    <d v="2012-04-05T00:00:00"/>
    <s v="05-Apr-2012"/>
  </r>
  <r>
    <n v="26851"/>
    <d v="2011-07-24T00:00:00"/>
    <s v="High"/>
    <s v="24-Jul-2011"/>
    <n v="44"/>
    <n v="73.64"/>
    <n v="7.0000000000000007E-2"/>
    <s v="Regular Air"/>
    <n v="-58.87"/>
    <n v="1.7"/>
    <n v="1.99"/>
    <s v="Heather Jas"/>
    <s v="British Columbia"/>
    <x v="6"/>
    <s v="Corporate"/>
    <s v="Technology"/>
    <x v="11"/>
    <x v="51"/>
    <d v="2011-07-26T00:00:00"/>
    <s v="26-Jul-2011"/>
  </r>
  <r>
    <n v="18179"/>
    <d v="2009-08-01T00:00:00"/>
    <s v="Not Specified"/>
    <s v="01-Aug-2009"/>
    <n v="24"/>
    <n v="73.37"/>
    <n v="0.04"/>
    <s v="Regular Air"/>
    <n v="16.100000000000001"/>
    <n v="3.08"/>
    <n v="0.99"/>
    <s v="Liz Price"/>
    <s v="British Columbia"/>
    <x v="6"/>
    <s v="Corporate"/>
    <s v="Office Supplies"/>
    <x v="9"/>
    <x v="7"/>
    <d v="2009-08-02T00:00:00"/>
    <s v="02-Aug-2009"/>
  </r>
  <r>
    <n v="38625"/>
    <d v="2010-11-17T00:00:00"/>
    <s v="Not Specified"/>
    <s v="17-Nov-2010"/>
    <n v="12"/>
    <n v="72.819999999999993"/>
    <n v="0.02"/>
    <s v="Regular Air"/>
    <n v="5.03"/>
    <n v="5.98"/>
    <n v="2.5"/>
    <s v="Chad Sievert"/>
    <s v="British Columbia"/>
    <x v="6"/>
    <s v="Corporate"/>
    <s v="Office Supplies"/>
    <x v="15"/>
    <x v="10"/>
    <d v="2010-11-19T00:00:00"/>
    <s v="19-Nov-2010"/>
  </r>
  <r>
    <n v="35364"/>
    <d v="2009-12-12T00:00:00"/>
    <s v="Critical"/>
    <s v="12-Dec-2009"/>
    <n v="16"/>
    <n v="72.08"/>
    <n v="0.04"/>
    <s v="Regular Air"/>
    <n v="-54.75"/>
    <n v="4.28"/>
    <n v="5.68"/>
    <s v="Lisa DeCherney"/>
    <s v="British Columbia"/>
    <x v="6"/>
    <s v="Corporate"/>
    <s v="Office Supplies"/>
    <x v="12"/>
    <x v="27"/>
    <d v="2009-12-14T00:00:00"/>
    <s v="14-Dec-2009"/>
  </r>
  <r>
    <n v="48353"/>
    <d v="2012-12-15T00:00:00"/>
    <s v="Not Specified"/>
    <s v="15-Dec-2012"/>
    <n v="18"/>
    <n v="71.22"/>
    <n v="0.04"/>
    <s v="Regular Air"/>
    <n v="20.43"/>
    <n v="3.85"/>
    <n v="0.7"/>
    <s v="Jeremy Pistek"/>
    <s v="British Columbia"/>
    <x v="6"/>
    <s v="Corporate"/>
    <s v="Office Supplies"/>
    <x v="13"/>
    <x v="47"/>
    <d v="2012-12-17T00:00:00"/>
    <s v="17-Dec-2012"/>
  </r>
  <r>
    <n v="38272"/>
    <d v="2011-11-15T00:00:00"/>
    <s v="Critical"/>
    <s v="15-Nov-2011"/>
    <n v="39"/>
    <n v="71.040000000000006"/>
    <n v="7.0000000000000007E-2"/>
    <s v="Regular Air"/>
    <n v="-20.65"/>
    <n v="1.88"/>
    <n v="1.49"/>
    <s v="Sarah Foster"/>
    <s v="British Columbia"/>
    <x v="6"/>
    <s v="Corporate"/>
    <s v="Office Supplies"/>
    <x v="1"/>
    <x v="7"/>
    <d v="2011-11-17T00:00:00"/>
    <s v="17-Nov-2011"/>
  </r>
  <r>
    <n v="58855"/>
    <d v="2010-10-31T00:00:00"/>
    <s v="Medium"/>
    <s v="31-Oct-2010"/>
    <n v="38"/>
    <n v="69.260000000000005"/>
    <n v="7.0000000000000007E-2"/>
    <s v="Regular Air"/>
    <n v="-113.86"/>
    <n v="1.74"/>
    <n v="4.08"/>
    <s v="Jeremy Pistek"/>
    <s v="British Columbia"/>
    <x v="6"/>
    <s v="Corporate"/>
    <s v="Furniture"/>
    <x v="7"/>
    <x v="17"/>
    <d v="2010-10-31T00:00:00"/>
    <s v="31-Oct-2010"/>
  </r>
  <r>
    <n v="14240"/>
    <d v="2012-02-17T00:00:00"/>
    <s v="High"/>
    <s v="17-Feb-2012"/>
    <n v="24"/>
    <n v="68.88"/>
    <n v="0"/>
    <s v="Regular Air"/>
    <n v="1.31"/>
    <n v="2.78"/>
    <n v="1.49"/>
    <s v="Ralph Kennedy"/>
    <s v="British Columbia"/>
    <x v="6"/>
    <s v="Corporate"/>
    <s v="Office Supplies"/>
    <x v="1"/>
    <x v="4"/>
    <d v="2012-02-18T00:00:00"/>
    <s v="18-Feb-2012"/>
  </r>
  <r>
    <n v="36359"/>
    <d v="2011-11-23T00:00:00"/>
    <s v="High"/>
    <s v="23-Nov-2011"/>
    <n v="2"/>
    <n v="68.66"/>
    <n v="0.06"/>
    <s v="Regular Air"/>
    <n v="-29.6"/>
    <n v="30.98"/>
    <n v="5.76"/>
    <s v="Ken Heidel"/>
    <s v="British Columbia"/>
    <x v="6"/>
    <s v="Corporate"/>
    <s v="Office Supplies"/>
    <x v="12"/>
    <x v="27"/>
    <d v="2011-11-24T00:00:00"/>
    <s v="24-Nov-2011"/>
  </r>
  <r>
    <n v="1221"/>
    <d v="2012-04-18T00:00:00"/>
    <s v="Not Specified"/>
    <s v="18-Apr-2012"/>
    <n v="16"/>
    <n v="68.45"/>
    <n v="0.08"/>
    <s v="Regular Air"/>
    <n v="-57.88"/>
    <n v="4.24"/>
    <n v="5.41"/>
    <s v="Lela Donovan"/>
    <s v="British Columbia"/>
    <x v="6"/>
    <s v="Corporate"/>
    <s v="Office Supplies"/>
    <x v="1"/>
    <x v="2"/>
    <d v="2012-04-20T00:00:00"/>
    <s v="20-Apr-2012"/>
  </r>
  <r>
    <n v="45763"/>
    <d v="2010-07-07T00:00:00"/>
    <s v="High"/>
    <s v="07-Jul-2010"/>
    <n v="25"/>
    <n v="67.45"/>
    <n v="0.05"/>
    <s v="Regular Air"/>
    <n v="24.28"/>
    <n v="2.61"/>
    <n v="0.5"/>
    <s v="Lisa DeCherney"/>
    <s v="British Columbia"/>
    <x v="6"/>
    <s v="Corporate"/>
    <s v="Office Supplies"/>
    <x v="9"/>
    <x v="4"/>
    <d v="2010-07-08T00:00:00"/>
    <s v="08-Jul-2010"/>
  </r>
  <r>
    <n v="6144"/>
    <d v="2009-06-21T00:00:00"/>
    <s v="Critical"/>
    <s v="21-Jun-2009"/>
    <n v="24"/>
    <n v="67.349999999999994"/>
    <n v="7.0000000000000007E-2"/>
    <s v="Regular Air"/>
    <n v="22.63"/>
    <n v="2.88"/>
    <n v="0.5"/>
    <s v="Ralph Kennedy"/>
    <s v="British Columbia"/>
    <x v="6"/>
    <s v="Corporate"/>
    <s v="Office Supplies"/>
    <x v="9"/>
    <x v="4"/>
    <d v="2009-06-24T00:00:00"/>
    <s v="24-Jun-2009"/>
  </r>
  <r>
    <n v="32513"/>
    <d v="2012-02-02T00:00:00"/>
    <s v="Low"/>
    <s v="02-Feb-2012"/>
    <n v="40"/>
    <n v="66.55"/>
    <n v="0.01"/>
    <s v="Regular Air"/>
    <n v="-15.13"/>
    <n v="1.6"/>
    <n v="1.29"/>
    <s v="Andrew Allen"/>
    <s v="British Columbia"/>
    <x v="6"/>
    <s v="Corporate"/>
    <s v="Office Supplies"/>
    <x v="13"/>
    <x v="22"/>
    <d v="2012-02-07T00:00:00"/>
    <s v="07-Feb-2012"/>
  </r>
  <r>
    <n v="13380"/>
    <d v="2009-07-15T00:00:00"/>
    <s v="Critical"/>
    <s v="15-Jul-2009"/>
    <n v="24"/>
    <n v="66.12"/>
    <n v="0.09"/>
    <s v="Regular Air"/>
    <n v="4.8499999999999996"/>
    <n v="2.88"/>
    <n v="0.7"/>
    <s v="Rob Dowd"/>
    <s v="British Columbia"/>
    <x v="6"/>
    <s v="Corporate"/>
    <s v="Office Supplies"/>
    <x v="13"/>
    <x v="0"/>
    <d v="2009-07-15T00:00:00"/>
    <s v="15-Jul-2009"/>
  </r>
  <r>
    <n v="55777"/>
    <d v="2012-11-10T00:00:00"/>
    <s v="Not Specified"/>
    <s v="10-Nov-2012"/>
    <n v="1"/>
    <n v="65.747500000000002"/>
    <n v="0.1"/>
    <s v="Express Air"/>
    <n v="-252.48"/>
    <n v="65.989999999999995"/>
    <n v="3.99"/>
    <s v="Roy Skaria"/>
    <s v="British Columbia"/>
    <x v="6"/>
    <s v="Corporate"/>
    <s v="Technology"/>
    <x v="10"/>
    <x v="14"/>
    <d v="2012-11-12T00:00:00"/>
    <s v="12-Nov-2012"/>
  </r>
  <r>
    <n v="4642"/>
    <d v="2011-02-26T00:00:00"/>
    <s v="Critical"/>
    <s v="26-Feb-2011"/>
    <n v="9"/>
    <n v="65.61"/>
    <n v="0.08"/>
    <s v="Regular Air"/>
    <n v="-39.74"/>
    <n v="7.28"/>
    <n v="3.52"/>
    <s v="Shahid Shariari"/>
    <s v="British Columbia"/>
    <x v="6"/>
    <s v="Corporate"/>
    <s v="Technology"/>
    <x v="11"/>
    <x v="48"/>
    <d v="2011-02-27T00:00:00"/>
    <s v="27-Feb-2011"/>
  </r>
  <r>
    <n v="43974"/>
    <d v="2009-09-16T00:00:00"/>
    <s v="Not Specified"/>
    <s v="16-Sep-2009"/>
    <n v="8"/>
    <n v="64.23"/>
    <n v="0.03"/>
    <s v="Regular Air"/>
    <n v="15.83"/>
    <n v="7.64"/>
    <n v="1.39"/>
    <s v="Harold Dahlen"/>
    <s v="British Columbia"/>
    <x v="6"/>
    <s v="Corporate"/>
    <s v="Office Supplies"/>
    <x v="15"/>
    <x v="10"/>
    <d v="2009-09-17T00:00:00"/>
    <s v="17-Sep-2009"/>
  </r>
  <r>
    <n v="42338"/>
    <d v="2009-11-02T00:00:00"/>
    <s v="Not Specified"/>
    <s v="02-Nov-2009"/>
    <n v="14"/>
    <n v="63.91"/>
    <n v="0.04"/>
    <s v="Regular Air"/>
    <n v="-44.47"/>
    <n v="4.1399999999999997"/>
    <n v="6.6"/>
    <s v="Adam Hart"/>
    <s v="British Columbia"/>
    <x v="6"/>
    <s v="Corporate"/>
    <s v="Furniture"/>
    <x v="7"/>
    <x v="19"/>
    <d v="2009-11-04T00:00:00"/>
    <s v="04-Nov-2009"/>
  </r>
  <r>
    <n v="24132"/>
    <d v="2009-07-06T00:00:00"/>
    <s v="Low"/>
    <s v="06-Jul-2009"/>
    <n v="3"/>
    <n v="63.84"/>
    <n v="0.02"/>
    <s v="Regular Air"/>
    <n v="-47.97"/>
    <n v="15.51"/>
    <n v="17.78"/>
    <s v="Justin Knight"/>
    <s v="British Columbia"/>
    <x v="6"/>
    <s v="Corporate"/>
    <s v="Office Supplies"/>
    <x v="4"/>
    <x v="14"/>
    <d v="2009-07-13T00:00:00"/>
    <s v="13-Jul-2009"/>
  </r>
  <r>
    <n v="45158"/>
    <d v="2010-04-10T00:00:00"/>
    <s v="Low"/>
    <s v="10-Apr-2010"/>
    <n v="15"/>
    <n v="63.84"/>
    <n v="0.03"/>
    <s v="Express Air"/>
    <n v="23.52"/>
    <n v="3.78"/>
    <n v="0.71"/>
    <s v="Juliana Krohn"/>
    <s v="British Columbia"/>
    <x v="6"/>
    <s v="Corporate"/>
    <s v="Office Supplies"/>
    <x v="16"/>
    <x v="4"/>
    <d v="2010-04-15T00:00:00"/>
    <s v="15-Apr-2010"/>
  </r>
  <r>
    <n v="39649"/>
    <d v="2009-10-19T00:00:00"/>
    <s v="High"/>
    <s v="19-Oct-2009"/>
    <n v="9"/>
    <n v="63"/>
    <n v="0.01"/>
    <s v="Regular Air"/>
    <n v="-17.48"/>
    <n v="5.98"/>
    <n v="5.46"/>
    <s v="Karen Carlisle"/>
    <s v="British Columbia"/>
    <x v="6"/>
    <s v="Corporate"/>
    <s v="Office Supplies"/>
    <x v="12"/>
    <x v="10"/>
    <d v="2009-10-21T00:00:00"/>
    <s v="21-Oct-2009"/>
  </r>
  <r>
    <n v="55431"/>
    <d v="2012-06-08T00:00:00"/>
    <s v="Not Specified"/>
    <s v="08-Jun-2012"/>
    <n v="39"/>
    <n v="61.94"/>
    <n v="0.1"/>
    <s v="Regular Air"/>
    <n v="-17.78"/>
    <n v="1.6"/>
    <n v="1.29"/>
    <s v="Kean Thornton"/>
    <s v="British Columbia"/>
    <x v="6"/>
    <s v="Corporate"/>
    <s v="Office Supplies"/>
    <x v="13"/>
    <x v="22"/>
    <d v="2012-06-09T00:00:00"/>
    <s v="09-Jun-2012"/>
  </r>
  <r>
    <n v="41569"/>
    <d v="2010-07-21T00:00:00"/>
    <s v="Critical"/>
    <s v="21-Jul-2010"/>
    <n v="16"/>
    <n v="60.76"/>
    <n v="0.03"/>
    <s v="Regular Air"/>
    <n v="5.25"/>
    <n v="3.7"/>
    <n v="1.61"/>
    <s v="Khloe Miller"/>
    <s v="British Columbia"/>
    <x v="6"/>
    <s v="Corporate"/>
    <s v="Furniture"/>
    <x v="7"/>
    <x v="47"/>
    <d v="2010-07-23T00:00:00"/>
    <s v="23-Jul-2010"/>
  </r>
  <r>
    <n v="33604"/>
    <d v="2011-08-18T00:00:00"/>
    <s v="High"/>
    <s v="18-Aug-2011"/>
    <n v="10"/>
    <n v="59.62"/>
    <n v="0.04"/>
    <s v="Regular Air"/>
    <n v="-56.3"/>
    <n v="5.4"/>
    <n v="7.78"/>
    <s v="Yana Sorensen"/>
    <s v="British Columbia"/>
    <x v="6"/>
    <s v="Corporate"/>
    <s v="Office Supplies"/>
    <x v="1"/>
    <x v="7"/>
    <d v="2011-08-20T00:00:00"/>
    <s v="20-Aug-2011"/>
  </r>
  <r>
    <n v="6434"/>
    <d v="2009-06-07T00:00:00"/>
    <s v="High"/>
    <s v="07-Jun-2009"/>
    <n v="13"/>
    <n v="59.58"/>
    <n v="7.0000000000000007E-2"/>
    <s v="Regular Air"/>
    <n v="14.49"/>
    <n v="4.76"/>
    <n v="0.88"/>
    <s v="Rob Haberlin"/>
    <s v="British Columbia"/>
    <x v="6"/>
    <s v="Corporate"/>
    <s v="Office Supplies"/>
    <x v="12"/>
    <x v="4"/>
    <d v="2009-06-07T00:00:00"/>
    <s v="07-Jun-2009"/>
  </r>
  <r>
    <n v="40420"/>
    <d v="2011-01-10T00:00:00"/>
    <s v="High"/>
    <s v="10-Jan-2011"/>
    <n v="22"/>
    <n v="59.08"/>
    <n v="0.1"/>
    <s v="Regular Air"/>
    <n v="-2.61"/>
    <n v="2.88"/>
    <n v="1.49"/>
    <s v="Jeremy Pistek"/>
    <s v="British Columbia"/>
    <x v="6"/>
    <s v="Corporate"/>
    <s v="Office Supplies"/>
    <x v="1"/>
    <x v="10"/>
    <d v="2011-01-12T00:00:00"/>
    <s v="12-Jan-2011"/>
  </r>
  <r>
    <n v="33702"/>
    <d v="2012-09-02T00:00:00"/>
    <s v="Not Specified"/>
    <s v="02-Sep-2012"/>
    <n v="14"/>
    <n v="56.26"/>
    <n v="0"/>
    <s v="Express Air"/>
    <n v="28.11"/>
    <n v="2.89"/>
    <n v="0.5"/>
    <s v="Adam Hart"/>
    <s v="British Columbia"/>
    <x v="6"/>
    <s v="Corporate"/>
    <s v="Office Supplies"/>
    <x v="9"/>
    <x v="1"/>
    <d v="2012-09-03T00:00:00"/>
    <s v="03-Sep-2012"/>
  </r>
  <r>
    <n v="41152"/>
    <d v="2011-09-03T00:00:00"/>
    <s v="High"/>
    <s v="03-Sep-2011"/>
    <n v="29"/>
    <n v="53.99"/>
    <n v="0.1"/>
    <s v="Regular Air"/>
    <n v="-15.12"/>
    <n v="1.88"/>
    <n v="1.49"/>
    <s v="Bobby Trafton"/>
    <s v="British Columbia"/>
    <x v="6"/>
    <s v="Corporate"/>
    <s v="Office Supplies"/>
    <x v="1"/>
    <x v="7"/>
    <d v="2011-09-05T00:00:00"/>
    <s v="05-Sep-2011"/>
  </r>
  <r>
    <n v="34852"/>
    <d v="2012-09-05T00:00:00"/>
    <s v="Low"/>
    <s v="05-Sep-2012"/>
    <n v="26"/>
    <n v="53.93"/>
    <n v="0.04"/>
    <s v="Regular Air"/>
    <n v="-10.95"/>
    <n v="2.08"/>
    <n v="1.49"/>
    <s v="Rob Dowd"/>
    <s v="British Columbia"/>
    <x v="6"/>
    <s v="Corporate"/>
    <s v="Office Supplies"/>
    <x v="1"/>
    <x v="1"/>
    <d v="2012-09-09T00:00:00"/>
    <s v="09-Sep-2012"/>
  </r>
  <r>
    <n v="32901"/>
    <d v="2011-01-10T00:00:00"/>
    <s v="Critical"/>
    <s v="10-Jan-2011"/>
    <n v="13"/>
    <n v="49.74"/>
    <n v="0"/>
    <s v="Regular Air"/>
    <n v="17.7"/>
    <n v="3.75"/>
    <n v="0.5"/>
    <s v="Neil Knudson"/>
    <s v="British Columbia"/>
    <x v="6"/>
    <s v="Corporate"/>
    <s v="Office Supplies"/>
    <x v="9"/>
    <x v="7"/>
    <d v="2011-01-11T00:00:00"/>
    <s v="11-Jan-2011"/>
  </r>
  <r>
    <n v="24132"/>
    <d v="2009-07-06T00:00:00"/>
    <s v="Low"/>
    <s v="06-Jul-2009"/>
    <n v="12"/>
    <n v="47.79"/>
    <n v="0.04"/>
    <s v="Regular Air"/>
    <n v="-57.75"/>
    <n v="3.52"/>
    <n v="6.83"/>
    <s v="Justin Knight"/>
    <s v="British Columbia"/>
    <x v="6"/>
    <s v="Corporate"/>
    <s v="Office Supplies"/>
    <x v="1"/>
    <x v="1"/>
    <d v="2009-07-15T00:00:00"/>
    <s v="15-Jul-2009"/>
  </r>
  <r>
    <n v="48709"/>
    <d v="2011-08-28T00:00:00"/>
    <s v="High"/>
    <s v="28-Aug-2011"/>
    <n v="17"/>
    <n v="47.12"/>
    <n v="0.01"/>
    <s v="Regular Air"/>
    <n v="-47.01"/>
    <n v="2.52"/>
    <n v="4.28"/>
    <s v="Helen Andreada"/>
    <s v="British Columbia"/>
    <x v="6"/>
    <s v="Corporate"/>
    <s v="Office Supplies"/>
    <x v="13"/>
    <x v="47"/>
    <d v="2011-08-30T00:00:00"/>
    <s v="30-Aug-2011"/>
  </r>
  <r>
    <n v="36867"/>
    <d v="2009-09-05T00:00:00"/>
    <s v="High"/>
    <s v="05-Sep-2009"/>
    <n v="16"/>
    <n v="45.57"/>
    <n v="0.09"/>
    <s v="Regular Air"/>
    <n v="2.81"/>
    <n v="2.88"/>
    <n v="0.7"/>
    <s v="Speros Goranitis"/>
    <s v="British Columbia"/>
    <x v="6"/>
    <s v="Corporate"/>
    <s v="Office Supplies"/>
    <x v="13"/>
    <x v="0"/>
    <d v="2009-09-07T00:00:00"/>
    <s v="07-Sep-2009"/>
  </r>
  <r>
    <n v="42148"/>
    <d v="2011-10-20T00:00:00"/>
    <s v="Critical"/>
    <s v="20-Oct-2011"/>
    <n v="11"/>
    <n v="45.31"/>
    <n v="7.0000000000000007E-2"/>
    <s v="Regular Air"/>
    <n v="-10.64"/>
    <n v="3.98"/>
    <n v="2.97"/>
    <s v="Jeremy Pistek"/>
    <s v="British Columbia"/>
    <x v="6"/>
    <s v="Corporate"/>
    <s v="Office Supplies"/>
    <x v="12"/>
    <x v="2"/>
    <d v="2011-10-23T00:00:00"/>
    <s v="23-Oct-2011"/>
  </r>
  <r>
    <n v="42563"/>
    <d v="2010-08-12T00:00:00"/>
    <s v="Medium"/>
    <s v="12-Aug-2010"/>
    <n v="7"/>
    <n v="44.25"/>
    <n v="7.0000000000000007E-2"/>
    <s v="Express Air"/>
    <n v="-14.36"/>
    <n v="4.24"/>
    <n v="5.41"/>
    <s v="Jeremy Pistek"/>
    <s v="British Columbia"/>
    <x v="6"/>
    <s v="Corporate"/>
    <s v="Office Supplies"/>
    <x v="1"/>
    <x v="2"/>
    <d v="2010-08-12T00:00:00"/>
    <s v="12-Aug-2010"/>
  </r>
  <r>
    <n v="49510"/>
    <d v="2012-03-20T00:00:00"/>
    <s v="Critical"/>
    <s v="20-Mar-2012"/>
    <n v="16"/>
    <n v="44.1"/>
    <n v="0.04"/>
    <s v="Regular Air"/>
    <n v="-6.22"/>
    <n v="2.58"/>
    <n v="1.3"/>
    <s v="Luke Weiss"/>
    <s v="British Columbia"/>
    <x v="6"/>
    <s v="Corporate"/>
    <s v="Office Supplies"/>
    <x v="13"/>
    <x v="14"/>
    <d v="2012-03-21T00:00:00"/>
    <s v="21-Mar-2012"/>
  </r>
  <r>
    <n v="14375"/>
    <d v="2010-01-31T00:00:00"/>
    <s v="Medium"/>
    <s v="31-Jan-2010"/>
    <n v="7"/>
    <n v="44.05"/>
    <n v="7.0000000000000007E-2"/>
    <s v="Regular Air"/>
    <n v="-21.77"/>
    <n v="5.78"/>
    <n v="5.67"/>
    <s v="Rick Duston"/>
    <s v="British Columbia"/>
    <x v="6"/>
    <s v="Corporate"/>
    <s v="Office Supplies"/>
    <x v="12"/>
    <x v="10"/>
    <d v="2010-02-01T00:00:00"/>
    <s v="01-Feb-2010"/>
  </r>
  <r>
    <n v="20676"/>
    <d v="2012-11-22T00:00:00"/>
    <s v="Low"/>
    <s v="22-Nov-2012"/>
    <n v="22"/>
    <n v="43.97"/>
    <n v="0.04"/>
    <s v="Regular Air"/>
    <n v="-9.0500000000000007"/>
    <n v="1.88"/>
    <n v="1.49"/>
    <s v="Shahid Shariari"/>
    <s v="British Columbia"/>
    <x v="6"/>
    <s v="Corporate"/>
    <s v="Office Supplies"/>
    <x v="1"/>
    <x v="7"/>
    <d v="2012-11-26T00:00:00"/>
    <s v="26-Nov-2012"/>
  </r>
  <r>
    <n v="1314"/>
    <d v="2009-05-12T00:00:00"/>
    <s v="Medium"/>
    <s v="12-May-2009"/>
    <n v="4"/>
    <n v="42.58"/>
    <n v="0"/>
    <s v="Regular Air"/>
    <n v="-7.61"/>
    <n v="9.27"/>
    <n v="4.3899999999999997"/>
    <s v="Justin Knight"/>
    <s v="British Columbia"/>
    <x v="6"/>
    <s v="Corporate"/>
    <s v="Office Supplies"/>
    <x v="12"/>
    <x v="1"/>
    <d v="2009-05-14T00:00:00"/>
    <s v="14-May-2009"/>
  </r>
  <r>
    <n v="56130"/>
    <d v="2011-11-29T00:00:00"/>
    <s v="Medium"/>
    <s v="29-Nov-2011"/>
    <n v="25"/>
    <n v="41.87"/>
    <n v="0.05"/>
    <s v="Regular Air"/>
    <n v="-25.52"/>
    <n v="1.68"/>
    <n v="1.57"/>
    <s v="David Bremer"/>
    <s v="British Columbia"/>
    <x v="6"/>
    <s v="Corporate"/>
    <s v="Office Supplies"/>
    <x v="13"/>
    <x v="14"/>
    <d v="2011-12-01T00:00:00"/>
    <s v="01-Dec-2011"/>
  </r>
  <r>
    <n v="51489"/>
    <d v="2012-03-03T00:00:00"/>
    <s v="Critical"/>
    <s v="03-Mar-2012"/>
    <n v="22"/>
    <n v="38.880000000000003"/>
    <n v="0.09"/>
    <s v="Regular Air"/>
    <n v="-18.57"/>
    <n v="1.81"/>
    <n v="1.56"/>
    <s v="Berenike Kampe"/>
    <s v="British Columbia"/>
    <x v="6"/>
    <s v="Corporate"/>
    <s v="Office Supplies"/>
    <x v="16"/>
    <x v="19"/>
    <d v="2012-03-03T00:00:00"/>
    <s v="03-Mar-2012"/>
  </r>
  <r>
    <n v="46407"/>
    <d v="2009-03-26T00:00:00"/>
    <s v="Not Specified"/>
    <s v="26-Mar-2009"/>
    <n v="7"/>
    <n v="38.369999999999997"/>
    <n v="0.1"/>
    <s v="Regular Air"/>
    <n v="-29"/>
    <n v="5.18"/>
    <n v="5.74"/>
    <s v="Rick Huthwaite"/>
    <s v="British Columbia"/>
    <x v="6"/>
    <s v="Corporate"/>
    <s v="Office Supplies"/>
    <x v="1"/>
    <x v="10"/>
    <d v="2009-03-28T00:00:00"/>
    <s v="28-Mar-2009"/>
  </r>
  <r>
    <n v="24580"/>
    <d v="2012-06-23T00:00:00"/>
    <s v="High"/>
    <s v="23-Jun-2012"/>
    <n v="14"/>
    <n v="36.409999999999997"/>
    <n v="0.01"/>
    <s v="Regular Air"/>
    <n v="-31.45"/>
    <n v="2.23"/>
    <n v="4.57"/>
    <s v="Mark Cousins"/>
    <s v="British Columbia"/>
    <x v="6"/>
    <s v="Corporate"/>
    <s v="Furniture"/>
    <x v="7"/>
    <x v="25"/>
    <d v="2012-06-25T00:00:00"/>
    <s v="25-Jun-2012"/>
  </r>
  <r>
    <n v="45409"/>
    <d v="2010-04-12T00:00:00"/>
    <s v="Critical"/>
    <s v="12-Apr-2010"/>
    <n v="10"/>
    <n v="36.26"/>
    <n v="0.08"/>
    <s v="Regular Air"/>
    <n v="-28.37"/>
    <n v="3.28"/>
    <n v="3.97"/>
    <s v="Damala Kotsonis"/>
    <s v="British Columbia"/>
    <x v="6"/>
    <s v="Corporate"/>
    <s v="Office Supplies"/>
    <x v="13"/>
    <x v="0"/>
    <d v="2010-04-13T00:00:00"/>
    <s v="13-Apr-2010"/>
  </r>
  <r>
    <n v="21892"/>
    <d v="2010-07-04T00:00:00"/>
    <s v="High"/>
    <s v="04-Jul-2010"/>
    <n v="6"/>
    <n v="34.880000000000003"/>
    <n v="0.06"/>
    <s v="Regular Air"/>
    <n v="-18.34"/>
    <n v="4.91"/>
    <n v="4.97"/>
    <s v="Justin Knight"/>
    <s v="British Columbia"/>
    <x v="6"/>
    <s v="Corporate"/>
    <s v="Office Supplies"/>
    <x v="1"/>
    <x v="1"/>
    <d v="2010-07-06T00:00:00"/>
    <s v="06-Jul-2010"/>
  </r>
  <r>
    <n v="32611"/>
    <d v="2009-08-27T00:00:00"/>
    <s v="Medium"/>
    <s v="27-Aug-2009"/>
    <n v="16"/>
    <n v="33.76"/>
    <n v="0.04"/>
    <s v="Regular Air"/>
    <n v="-7.15"/>
    <n v="2.08"/>
    <n v="1.49"/>
    <s v="Neil Knudson"/>
    <s v="British Columbia"/>
    <x v="6"/>
    <s v="Corporate"/>
    <s v="Office Supplies"/>
    <x v="1"/>
    <x v="10"/>
    <d v="2009-08-29T00:00:00"/>
    <s v="29-Aug-2009"/>
  </r>
  <r>
    <n v="58759"/>
    <d v="2009-01-21T00:00:00"/>
    <s v="Low"/>
    <s v="21-Jan-2009"/>
    <n v="4"/>
    <n v="33.44"/>
    <n v="0.1"/>
    <s v="Regular Air"/>
    <n v="-6.88"/>
    <n v="8.01"/>
    <n v="2.87"/>
    <s v="Andrew Allen"/>
    <s v="British Columbia"/>
    <x v="6"/>
    <s v="Corporate"/>
    <s v="Office Supplies"/>
    <x v="12"/>
    <x v="27"/>
    <d v="2009-01-28T00:00:00"/>
    <s v="28-Jan-2009"/>
  </r>
  <r>
    <n v="22657"/>
    <d v="2011-10-29T00:00:00"/>
    <s v="High"/>
    <s v="29-Oct-2011"/>
    <n v="8"/>
    <n v="32.92"/>
    <n v="0.05"/>
    <s v="Regular Air"/>
    <n v="-7.73"/>
    <n v="3.95"/>
    <n v="2"/>
    <s v="Ralph Kennedy"/>
    <s v="British Columbia"/>
    <x v="6"/>
    <s v="Corporate"/>
    <s v="Office Supplies"/>
    <x v="16"/>
    <x v="17"/>
    <d v="2011-10-30T00:00:00"/>
    <s v="30-Oct-2011"/>
  </r>
  <r>
    <n v="51489"/>
    <d v="2012-03-03T00:00:00"/>
    <s v="Critical"/>
    <s v="03-Mar-2012"/>
    <n v="5"/>
    <n v="32.69"/>
    <n v="0"/>
    <s v="Regular Air"/>
    <n v="-24.43"/>
    <n v="4.9800000000000004"/>
    <n v="7.54"/>
    <s v="Berenike Kampe"/>
    <s v="British Columbia"/>
    <x v="6"/>
    <s v="Corporate"/>
    <s v="Office Supplies"/>
    <x v="12"/>
    <x v="1"/>
    <d v="2012-03-05T00:00:00"/>
    <s v="05-Mar-2012"/>
  </r>
  <r>
    <n v="26372"/>
    <d v="2009-07-12T00:00:00"/>
    <s v="Low"/>
    <s v="12-Jul-2009"/>
    <n v="1"/>
    <n v="31.96"/>
    <n v="0.01"/>
    <s v="Regular Air"/>
    <n v="-74.64"/>
    <n v="29.89"/>
    <n v="1.99"/>
    <s v="Ralph Kennedy"/>
    <s v="British Columbia"/>
    <x v="6"/>
    <s v="Corporate"/>
    <s v="Technology"/>
    <x v="11"/>
    <x v="31"/>
    <d v="2009-07-16T00:00:00"/>
    <s v="16-Jul-2009"/>
  </r>
  <r>
    <n v="24132"/>
    <d v="2009-07-06T00:00:00"/>
    <s v="Low"/>
    <s v="06-Jul-2009"/>
    <n v="4"/>
    <n v="31.01"/>
    <n v="0.03"/>
    <s v="Regular Air"/>
    <n v="-4.49"/>
    <n v="6.75"/>
    <n v="2.99"/>
    <s v="Justin Knight"/>
    <s v="British Columbia"/>
    <x v="6"/>
    <s v="Corporate"/>
    <s v="Office Supplies"/>
    <x v="1"/>
    <x v="2"/>
    <d v="2009-07-11T00:00:00"/>
    <s v="11-Jul-2009"/>
  </r>
  <r>
    <n v="28480"/>
    <d v="2009-03-15T00:00:00"/>
    <s v="Medium"/>
    <s v="15-Mar-2009"/>
    <n v="17"/>
    <n v="30.62"/>
    <n v="0.01"/>
    <s v="Regular Air"/>
    <n v="-1.56"/>
    <n v="1.76"/>
    <n v="0.7"/>
    <s v="Mike Kennedy"/>
    <s v="British Columbia"/>
    <x v="6"/>
    <s v="Corporate"/>
    <s v="Office Supplies"/>
    <x v="13"/>
    <x v="0"/>
    <d v="2009-03-16T00:00:00"/>
    <s v="16-Mar-2009"/>
  </r>
  <r>
    <n v="46880"/>
    <d v="2010-07-03T00:00:00"/>
    <s v="Critical"/>
    <s v="03-Jul-2010"/>
    <n v="1"/>
    <n v="29.99"/>
    <n v="7.0000000000000007E-2"/>
    <s v="Regular Air"/>
    <n v="-8.8800000000000008"/>
    <n v="21.98"/>
    <n v="8.32"/>
    <s v="Karen Carlisle"/>
    <s v="British Columbia"/>
    <x v="6"/>
    <s v="Corporate"/>
    <s v="Office Supplies"/>
    <x v="12"/>
    <x v="4"/>
    <d v="2010-07-05T00:00:00"/>
    <s v="05-Jul-2010"/>
  </r>
  <r>
    <n v="6309"/>
    <d v="2010-06-09T00:00:00"/>
    <s v="Medium"/>
    <s v="09-Jun-2010"/>
    <n v="10"/>
    <n v="29.79"/>
    <n v="0.01"/>
    <s v="Regular Air"/>
    <n v="3.76"/>
    <n v="2.88"/>
    <n v="0.99"/>
    <s v="Art Miller"/>
    <s v="British Columbia"/>
    <x v="6"/>
    <s v="Corporate"/>
    <s v="Office Supplies"/>
    <x v="9"/>
    <x v="10"/>
    <d v="2010-06-10T00:00:00"/>
    <s v="10-Jun-2010"/>
  </r>
  <r>
    <n v="56640"/>
    <d v="2011-08-25T00:00:00"/>
    <s v="High"/>
    <s v="25-Aug-2011"/>
    <n v="2"/>
    <n v="29.31"/>
    <n v="0"/>
    <s v="Regular Air"/>
    <n v="-12.78"/>
    <n v="11.48"/>
    <n v="5.43"/>
    <s v="Anthony O'Donnell"/>
    <s v="British Columbia"/>
    <x v="6"/>
    <s v="Corporate"/>
    <s v="Office Supplies"/>
    <x v="12"/>
    <x v="10"/>
    <d v="2011-08-26T00:00:00"/>
    <s v="26-Aug-2011"/>
  </r>
  <r>
    <n v="40259"/>
    <d v="2010-10-12T00:00:00"/>
    <s v="Medium"/>
    <s v="12-Oct-2010"/>
    <n v="4"/>
    <n v="29.05"/>
    <n v="0.08"/>
    <s v="Express Air"/>
    <n v="-20.9"/>
    <n v="4.9800000000000004"/>
    <n v="4.32"/>
    <s v="Theone Pippenger"/>
    <s v="British Columbia"/>
    <x v="6"/>
    <s v="Corporate"/>
    <s v="Technology"/>
    <x v="11"/>
    <x v="28"/>
    <d v="2010-10-13T00:00:00"/>
    <s v="13-Oct-2010"/>
  </r>
  <r>
    <n v="47367"/>
    <d v="2011-04-16T00:00:00"/>
    <s v="Medium"/>
    <s v="16-Apr-2011"/>
    <n v="7"/>
    <n v="27.99"/>
    <n v="0.06"/>
    <s v="Regular Air"/>
    <n v="-0.17"/>
    <n v="3.8"/>
    <n v="1.49"/>
    <s v="Rob Haberlin"/>
    <s v="British Columbia"/>
    <x v="6"/>
    <s v="Corporate"/>
    <s v="Office Supplies"/>
    <x v="1"/>
    <x v="1"/>
    <d v="2011-04-16T00:00:00"/>
    <s v="16-Apr-2011"/>
  </r>
  <r>
    <n v="2595"/>
    <d v="2011-12-13T00:00:00"/>
    <s v="Not Specified"/>
    <s v="13-Dec-2011"/>
    <n v="4"/>
    <n v="25.17"/>
    <n v="0.09"/>
    <s v="Regular Air"/>
    <n v="5.88"/>
    <n v="5.47"/>
    <n v="5.26"/>
    <s v="Art Miller"/>
    <s v="British Columbia"/>
    <x v="6"/>
    <s v="Corporate"/>
    <s v="Furniture"/>
    <x v="7"/>
    <x v="22"/>
    <d v="2011-12-15T00:00:00"/>
    <s v="15-Dec-2011"/>
  </r>
  <r>
    <n v="2530"/>
    <d v="2009-03-20T00:00:00"/>
    <s v="Medium"/>
    <s v="20-Mar-2009"/>
    <n v="9"/>
    <n v="23.46"/>
    <n v="0.06"/>
    <s v="Regular Air"/>
    <n v="4.58"/>
    <n v="2.61"/>
    <n v="0.5"/>
    <s v="Rob Haberlin"/>
    <s v="British Columbia"/>
    <x v="6"/>
    <s v="Corporate"/>
    <s v="Office Supplies"/>
    <x v="9"/>
    <x v="4"/>
    <d v="2009-03-22T00:00:00"/>
    <s v="22-Mar-2009"/>
  </r>
  <r>
    <n v="48388"/>
    <d v="2009-08-09T00:00:00"/>
    <s v="High"/>
    <s v="09-Aug-2009"/>
    <n v="3"/>
    <n v="21.64"/>
    <n v="0.08"/>
    <s v="Regular Air"/>
    <n v="-13.33"/>
    <n v="5.74"/>
    <n v="5.01"/>
    <s v="Marina Lichtenstein"/>
    <s v="British Columbia"/>
    <x v="6"/>
    <s v="Corporate"/>
    <s v="Office Supplies"/>
    <x v="1"/>
    <x v="4"/>
    <d v="2009-08-11T00:00:00"/>
    <s v="11-Aug-2009"/>
  </r>
  <r>
    <n v="47367"/>
    <d v="2011-04-16T00:00:00"/>
    <s v="Medium"/>
    <s v="16-Apr-2011"/>
    <n v="6"/>
    <n v="21.07"/>
    <n v="0.08"/>
    <s v="Regular Air"/>
    <n v="2.2799999999999998"/>
    <n v="3.69"/>
    <n v="0.5"/>
    <s v="Rob Haberlin"/>
    <s v="British Columbia"/>
    <x v="6"/>
    <s v="Corporate"/>
    <s v="Office Supplies"/>
    <x v="9"/>
    <x v="1"/>
    <d v="2011-04-17T00:00:00"/>
    <s v="17-Apr-2011"/>
  </r>
  <r>
    <n v="36803"/>
    <d v="2012-08-04T00:00:00"/>
    <s v="Not Specified"/>
    <s v="04-Aug-2012"/>
    <n v="2"/>
    <n v="19.02"/>
    <n v="0.05"/>
    <s v="Express Air"/>
    <n v="10.73"/>
    <n v="2.08"/>
    <n v="5.33"/>
    <s v="Ralph Kennedy"/>
    <s v="British Columbia"/>
    <x v="6"/>
    <s v="Corporate"/>
    <s v="Furniture"/>
    <x v="7"/>
    <x v="21"/>
    <d v="2012-08-06T00:00:00"/>
    <s v="06-Aug-2012"/>
  </r>
  <r>
    <n v="12199"/>
    <d v="2011-12-14T00:00:00"/>
    <s v="Low"/>
    <s v="14-Dec-2011"/>
    <n v="2"/>
    <n v="19"/>
    <n v="0.01"/>
    <s v="Regular Air"/>
    <n v="-10.73"/>
    <n v="6.54"/>
    <n v="5.27"/>
    <s v="Justin Knight"/>
    <s v="British Columbia"/>
    <x v="6"/>
    <s v="Corporate"/>
    <s v="Office Supplies"/>
    <x v="1"/>
    <x v="10"/>
    <d v="2011-12-19T00:00:00"/>
    <s v="19-Dec-2011"/>
  </r>
  <r>
    <n v="30149"/>
    <d v="2010-12-12T00:00:00"/>
    <s v="Medium"/>
    <s v="12-Dec-2010"/>
    <n v="8"/>
    <n v="16.47"/>
    <n v="0.1"/>
    <s v="Regular Air"/>
    <n v="-6.82"/>
    <n v="2.08"/>
    <n v="1.49"/>
    <s v="Mark Cousins"/>
    <s v="British Columbia"/>
    <x v="6"/>
    <s v="Corporate"/>
    <s v="Office Supplies"/>
    <x v="1"/>
    <x v="1"/>
    <d v="2010-12-13T00:00:00"/>
    <s v="13-Dec-2010"/>
  </r>
  <r>
    <n v="1221"/>
    <d v="2012-04-18T00:00:00"/>
    <s v="Not Specified"/>
    <s v="18-Apr-2012"/>
    <n v="1"/>
    <n v="14.68"/>
    <n v="0.06"/>
    <s v="Regular Air"/>
    <n v="-13.78"/>
    <n v="8.6"/>
    <n v="6.19"/>
    <s v="Lela Donovan"/>
    <s v="British Columbia"/>
    <x v="6"/>
    <s v="Corporate"/>
    <s v="Office Supplies"/>
    <x v="1"/>
    <x v="1"/>
    <d v="2012-04-18T00:00:00"/>
    <s v="18-Apr-2012"/>
  </r>
  <r>
    <n v="16230"/>
    <d v="2010-02-27T00:00:00"/>
    <s v="Low"/>
    <s v="27-Feb-2010"/>
    <n v="2"/>
    <n v="13.3"/>
    <n v="0.09"/>
    <s v="Regular Air"/>
    <n v="-7.86"/>
    <n v="7.31"/>
    <n v="0.49"/>
    <s v="Sonia Sunley"/>
    <s v="British Columbia"/>
    <x v="6"/>
    <s v="Corporate"/>
    <s v="Office Supplies"/>
    <x v="9"/>
    <x v="1"/>
    <d v="2010-03-01T00:00:00"/>
    <s v="01-Mar-2010"/>
  </r>
  <r>
    <n v="23011"/>
    <d v="2010-06-15T00:00:00"/>
    <s v="Low"/>
    <s v="15-Jun-2010"/>
    <n v="1"/>
    <n v="12.2"/>
    <n v="0.01"/>
    <s v="Regular Air"/>
    <n v="-33.93"/>
    <n v="10.01"/>
    <n v="1.99"/>
    <s v="Kelly Williams"/>
    <s v="British Columbia"/>
    <x v="6"/>
    <s v="Corporate"/>
    <s v="Technology"/>
    <x v="11"/>
    <x v="25"/>
    <d v="2010-06-22T00:00:00"/>
    <s v="22-Jun-2010"/>
  </r>
  <r>
    <n v="18471"/>
    <d v="2009-02-19T00:00:00"/>
    <s v="Not Specified"/>
    <s v="19-Feb-2009"/>
    <n v="4"/>
    <n v="10.96"/>
    <n v="0.02"/>
    <s v="Regular Air"/>
    <n v="-8.02"/>
    <n v="2.08"/>
    <n v="2.56"/>
    <s v="Justin Knight"/>
    <s v="British Columbia"/>
    <x v="6"/>
    <s v="Corporate"/>
    <s v="Office Supplies"/>
    <x v="14"/>
    <x v="20"/>
    <d v="2009-02-20T00:00:00"/>
    <s v="20-Feb-2009"/>
  </r>
  <r>
    <n v="39586"/>
    <d v="2011-05-19T00:00:00"/>
    <s v="Not Specified"/>
    <s v="19-May-2011"/>
    <n v="1"/>
    <n v="10.48"/>
    <n v="0.04"/>
    <s v="Regular Air"/>
    <n v="-5.44"/>
    <n v="3.52"/>
    <n v="6.83"/>
    <s v="Lauren Leatherbury"/>
    <s v="British Columbia"/>
    <x v="6"/>
    <s v="Corporate"/>
    <s v="Office Supplies"/>
    <x v="1"/>
    <x v="1"/>
    <d v="2011-05-21T00:00:00"/>
    <s v="21-May-2011"/>
  </r>
  <r>
    <n v="44098"/>
    <d v="2010-01-27T00:00:00"/>
    <s v="Low"/>
    <s v="27-Jan-2010"/>
    <n v="1"/>
    <n v="5.0599999999999996"/>
    <n v="0.01"/>
    <s v="Regular Air"/>
    <n v="-2.64"/>
    <n v="3.14"/>
    <n v="1.92"/>
    <s v="John Grady"/>
    <s v="British Columbia"/>
    <x v="6"/>
    <s v="Corporate"/>
    <s v="Office Supplies"/>
    <x v="14"/>
    <x v="30"/>
    <d v="2010-01-31T00:00:00"/>
    <s v="31-Jan-2010"/>
  </r>
  <r>
    <n v="52196"/>
    <d v="2010-01-30T00:00:00"/>
    <s v="Not Specified"/>
    <s v="30-Jan-2010"/>
    <n v="1"/>
    <n v="3.85"/>
    <n v="0.08"/>
    <s v="Regular Air"/>
    <n v="-1.36"/>
    <n v="3.08"/>
    <n v="0.99"/>
    <s v="Adam Hart"/>
    <s v="British Columbia"/>
    <x v="6"/>
    <s v="Corporate"/>
    <s v="Office Supplies"/>
    <x v="9"/>
    <x v="7"/>
    <d v="2010-01-31T00:00:00"/>
    <s v="31-Jan-2010"/>
  </r>
  <r>
    <n v="49925"/>
    <d v="2010-01-22T00:00:00"/>
    <s v="High"/>
    <s v="22-Jan-2010"/>
    <n v="1"/>
    <n v="3.41"/>
    <n v="0.06"/>
    <s v="Regular Air"/>
    <n v="-1.78"/>
    <n v="2.88"/>
    <n v="0.7"/>
    <s v="Adam Hart"/>
    <s v="British Columbia"/>
    <x v="6"/>
    <s v="Corporate"/>
    <s v="Office Supplies"/>
    <x v="13"/>
    <x v="0"/>
    <d v="2010-01-23T00:00:00"/>
    <s v="23-Jan-2010"/>
  </r>
  <r>
    <n v="6374"/>
    <d v="2011-08-07T00:00:00"/>
    <s v="Critical"/>
    <s v="07-Aug-2011"/>
    <n v="1"/>
    <n v="2.2400000000000002"/>
    <n v="0.01"/>
    <s v="Regular Air"/>
    <n v="-1.97"/>
    <n v="1.48"/>
    <n v="0.7"/>
    <s v="Ricardo Emerson"/>
    <s v="British Columbia"/>
    <x v="6"/>
    <s v="Corporate"/>
    <s v="Office Supplies"/>
    <x v="16"/>
    <x v="7"/>
    <d v="2011-08-09T00:00:00"/>
    <s v="09-Aug-2011"/>
  </r>
  <r>
    <n v="16481"/>
    <d v="2011-02-18T00:00:00"/>
    <s v="Low"/>
    <s v="18-Feb-2011"/>
    <n v="47"/>
    <n v="20265.22"/>
    <n v="0.08"/>
    <s v="Delivery Truck"/>
    <n v="6168.64"/>
    <n v="442.14"/>
    <n v="14.7"/>
    <s v="Paul Van Hugh"/>
    <s v="Yukon"/>
    <x v="7"/>
    <s v="Corporate"/>
    <s v="Technology"/>
    <x v="0"/>
    <x v="0"/>
    <d v="2011-02-23T00:00:00"/>
    <s v="23-Feb-2011"/>
  </r>
  <r>
    <n v="4870"/>
    <d v="2009-08-05T00:00:00"/>
    <s v="Medium"/>
    <s v="05-Aug-2009"/>
    <n v="44"/>
    <n v="17248.09"/>
    <n v="0.08"/>
    <s v="Delivery Truck"/>
    <n v="2048.63"/>
    <n v="400.98"/>
    <n v="42.52"/>
    <s v="Luke Foster"/>
    <s v="Yukon"/>
    <x v="7"/>
    <s v="Corporate"/>
    <s v="Furniture"/>
    <x v="3"/>
    <x v="35"/>
    <d v="2009-08-06T00:00:00"/>
    <s v="06-Aug-2009"/>
  </r>
  <r>
    <n v="23751"/>
    <d v="2009-03-18T00:00:00"/>
    <s v="Medium"/>
    <s v="18-Mar-2009"/>
    <n v="44"/>
    <n v="10364.36"/>
    <n v="0.01"/>
    <s v="Delivery Truck"/>
    <n v="1049.03"/>
    <n v="220.98"/>
    <n v="64.66"/>
    <s v="Ricardo Block"/>
    <s v="Yukon"/>
    <x v="7"/>
    <s v="Corporate"/>
    <s v="Furniture"/>
    <x v="8"/>
    <x v="44"/>
    <d v="2009-03-19T00:00:00"/>
    <s v="19-Mar-2009"/>
  </r>
  <r>
    <n v="10563"/>
    <d v="2010-09-29T00:00:00"/>
    <s v="Critical"/>
    <s v="29-Sep-2010"/>
    <n v="38"/>
    <n v="10223.19"/>
    <n v="0.08"/>
    <s v="Regular Air"/>
    <n v="2723.31"/>
    <n v="289.52999999999997"/>
    <n v="19.989999999999998"/>
    <s v="Julia Barnett"/>
    <s v="Yukon"/>
    <x v="7"/>
    <s v="Corporate"/>
    <s v="Office Supplies"/>
    <x v="5"/>
    <x v="0"/>
    <d v="2010-09-30T00:00:00"/>
    <s v="30-Sep-2010"/>
  </r>
  <r>
    <n v="22912"/>
    <d v="2010-10-16T00:00:00"/>
    <s v="Low"/>
    <s v="16-Oct-2010"/>
    <n v="33"/>
    <n v="10168.23"/>
    <n v="0.03"/>
    <s v="Express Air"/>
    <n v="4141.8"/>
    <n v="304.99"/>
    <n v="19.989999999999998"/>
    <s v="Juliana Krohn"/>
    <s v="Yukon"/>
    <x v="7"/>
    <s v="Corporate"/>
    <s v="Office Supplies"/>
    <x v="1"/>
    <x v="27"/>
    <d v="2010-10-20T00:00:00"/>
    <s v="20-Oct-2010"/>
  </r>
  <r>
    <n v="15654"/>
    <d v="2009-10-02T00:00:00"/>
    <s v="Not Specified"/>
    <s v="02-Oct-2009"/>
    <n v="4"/>
    <n v="9396.41"/>
    <n v="0.02"/>
    <s v="Delivery Truck"/>
    <n v="-4991.42"/>
    <n v="2550.14"/>
    <n v="29.7"/>
    <s v="Duane Noonan"/>
    <s v="Yukon"/>
    <x v="7"/>
    <s v="Corporate"/>
    <s v="Technology"/>
    <x v="0"/>
    <x v="6"/>
    <d v="2009-10-04T00:00:00"/>
    <s v="04-Oct-2009"/>
  </r>
  <r>
    <n v="19840"/>
    <d v="2010-05-24T00:00:00"/>
    <s v="Critical"/>
    <s v="24-May-2010"/>
    <n v="25"/>
    <n v="8270.57"/>
    <n v="0.08"/>
    <s v="Delivery Truck"/>
    <n v="2851.46"/>
    <n v="400.97"/>
    <n v="48.26"/>
    <s v="Dianna Vittorini"/>
    <s v="Yukon"/>
    <x v="7"/>
    <s v="Corporate"/>
    <s v="Technology"/>
    <x v="0"/>
    <x v="10"/>
    <d v="2010-05-27T00:00:00"/>
    <s v="27-May-2010"/>
  </r>
  <r>
    <n v="15654"/>
    <d v="2009-10-02T00:00:00"/>
    <s v="Not Specified"/>
    <s v="02-Oct-2009"/>
    <n v="27"/>
    <n v="7937.59"/>
    <n v="0.03"/>
    <s v="Delivery Truck"/>
    <n v="1383.24"/>
    <n v="300.98"/>
    <n v="54.92"/>
    <s v="Duane Noonan"/>
    <s v="Yukon"/>
    <x v="7"/>
    <s v="Corporate"/>
    <s v="Furniture"/>
    <x v="8"/>
    <x v="20"/>
    <d v="2009-10-04T00:00:00"/>
    <s v="04-Oct-2009"/>
  </r>
  <r>
    <n v="26306"/>
    <d v="2012-10-30T00:00:00"/>
    <s v="Low"/>
    <s v="30-Oct-2012"/>
    <n v="39"/>
    <n v="7725.66"/>
    <n v="0.05"/>
    <s v="Delivery Truck"/>
    <n v="-737.41"/>
    <n v="200.98"/>
    <n v="55.96"/>
    <s v="Brendan Murry"/>
    <s v="Yukon"/>
    <x v="7"/>
    <s v="Corporate"/>
    <s v="Furniture"/>
    <x v="8"/>
    <x v="16"/>
    <d v="2012-11-03T00:00:00"/>
    <s v="03-Nov-2012"/>
  </r>
  <r>
    <n v="16642"/>
    <d v="2011-03-02T00:00:00"/>
    <s v="Not Specified"/>
    <s v="02-Mar-2011"/>
    <n v="46"/>
    <n v="7640.2250000000004"/>
    <n v="7.0000000000000007E-2"/>
    <s v="Regular Air"/>
    <n v="2027.68"/>
    <n v="205.99"/>
    <n v="2.5"/>
    <s v="Adam Hart"/>
    <s v="Yukon"/>
    <x v="7"/>
    <s v="Corporate"/>
    <s v="Technology"/>
    <x v="10"/>
    <x v="14"/>
    <d v="2011-03-04T00:00:00"/>
    <s v="04-Mar-2011"/>
  </r>
  <r>
    <n v="11680"/>
    <d v="2009-09-04T00:00:00"/>
    <s v="Medium"/>
    <s v="04-Sep-2009"/>
    <n v="50"/>
    <n v="7312.0315000000001"/>
    <n v="0.06"/>
    <s v="Regular Air"/>
    <n v="2031.51"/>
    <n v="175.99"/>
    <n v="8.99"/>
    <s v="Aleksandra Gannaway"/>
    <s v="Yukon"/>
    <x v="7"/>
    <s v="Corporate"/>
    <s v="Technology"/>
    <x v="10"/>
    <x v="6"/>
    <d v="2009-09-06T00:00:00"/>
    <s v="06-Sep-2009"/>
  </r>
  <r>
    <n v="19430"/>
    <d v="2010-11-13T00:00:00"/>
    <s v="Critical"/>
    <s v="13-Nov-2010"/>
    <n v="39"/>
    <n v="6742.49"/>
    <n v="0.03"/>
    <s v="Regular Air"/>
    <n v="-502.05"/>
    <n v="167.27"/>
    <n v="35"/>
    <s v="Helen Andreada"/>
    <s v="Yukon"/>
    <x v="7"/>
    <s v="Corporate"/>
    <s v="Office Supplies"/>
    <x v="4"/>
    <x v="42"/>
    <d v="2010-11-15T00:00:00"/>
    <s v="15-Nov-2010"/>
  </r>
  <r>
    <n v="22913"/>
    <d v="2010-06-25T00:00:00"/>
    <s v="Critical"/>
    <s v="25-Jun-2010"/>
    <n v="24"/>
    <n v="6568.0240000000003"/>
    <n v="0.06"/>
    <s v="Delivery Truck"/>
    <n v="1715.9"/>
    <n v="348.21"/>
    <n v="40.19"/>
    <s v="Giulietta Dortch"/>
    <s v="Yukon"/>
    <x v="7"/>
    <s v="Corporate"/>
    <s v="Furniture"/>
    <x v="3"/>
    <x v="44"/>
    <d v="2010-06-28T00:00:00"/>
    <s v="28-Jun-2010"/>
  </r>
  <r>
    <n v="18918"/>
    <d v="2012-10-27T00:00:00"/>
    <s v="Not Specified"/>
    <s v="27-Oct-2012"/>
    <n v="7"/>
    <n v="6362.94"/>
    <n v="0.1"/>
    <s v="Regular Air"/>
    <n v="-221.78"/>
    <n v="999.99"/>
    <n v="13.99"/>
    <s v="Quincy Jones"/>
    <s v="Yukon"/>
    <x v="7"/>
    <s v="Corporate"/>
    <s v="Technology"/>
    <x v="0"/>
    <x v="10"/>
    <d v="2012-10-28T00:00:00"/>
    <s v="28-Oct-2012"/>
  </r>
  <r>
    <n v="2978"/>
    <d v="2011-05-02T00:00:00"/>
    <s v="Critical"/>
    <s v="02-May-2011"/>
    <n v="34"/>
    <n v="6264.1854999999996"/>
    <n v="0.01"/>
    <s v="Regular Air"/>
    <n v="1312.04"/>
    <n v="205.99"/>
    <n v="19.989999999999998"/>
    <s v="Alan Schoenberger"/>
    <s v="Yukon"/>
    <x v="7"/>
    <s v="Corporate"/>
    <s v="Technology"/>
    <x v="10"/>
    <x v="18"/>
    <d v="2011-05-03T00:00:00"/>
    <s v="03-May-2011"/>
  </r>
  <r>
    <n v="39111"/>
    <d v="2011-07-25T00:00:00"/>
    <s v="Medium"/>
    <s v="25-Jul-2011"/>
    <n v="20"/>
    <n v="6004.35"/>
    <n v="0.05"/>
    <s v="Regular Air"/>
    <n v="1767.56"/>
    <n v="300.97000000000003"/>
    <n v="7.18"/>
    <s v="Cindy Stewart"/>
    <s v="Yukon"/>
    <x v="7"/>
    <s v="Corporate"/>
    <s v="Technology"/>
    <x v="11"/>
    <x v="23"/>
    <d v="2011-07-27T00:00:00"/>
    <s v="27-Jul-2011"/>
  </r>
  <r>
    <n v="2978"/>
    <d v="2011-05-02T00:00:00"/>
    <s v="Critical"/>
    <s v="02-May-2011"/>
    <n v="36"/>
    <n v="5410.95"/>
    <n v="0.09"/>
    <s v="Regular Air"/>
    <n v="2077.91"/>
    <n v="162.93"/>
    <n v="19.989999999999998"/>
    <s v="Alan Schoenberger"/>
    <s v="Yukon"/>
    <x v="7"/>
    <s v="Corporate"/>
    <s v="Office Supplies"/>
    <x v="15"/>
    <x v="4"/>
    <d v="2011-05-04T00:00:00"/>
    <s v="04-May-2011"/>
  </r>
  <r>
    <n v="22466"/>
    <d v="2012-03-28T00:00:00"/>
    <s v="Low"/>
    <s v="28-Mar-2012"/>
    <n v="31"/>
    <n v="5404.18"/>
    <n v="7.0000000000000007E-2"/>
    <s v="Delivery Truck"/>
    <n v="241.06"/>
    <n v="180.98"/>
    <n v="30"/>
    <s v="Tamara Willingham"/>
    <s v="Yukon"/>
    <x v="7"/>
    <s v="Corporate"/>
    <s v="Furniture"/>
    <x v="2"/>
    <x v="39"/>
    <d v="2012-04-04T00:00:00"/>
    <s v="04-Apr-2012"/>
  </r>
  <r>
    <n v="23297"/>
    <d v="2012-07-02T00:00:00"/>
    <s v="Critical"/>
    <s v="02-Jul-2012"/>
    <n v="34"/>
    <n v="5208.78"/>
    <n v="0.05"/>
    <s v="Regular Air"/>
    <n v="1547.78"/>
    <n v="155.06"/>
    <n v="7.07"/>
    <s v="Adam Hart"/>
    <s v="Yukon"/>
    <x v="7"/>
    <s v="Corporate"/>
    <s v="Office Supplies"/>
    <x v="4"/>
    <x v="14"/>
    <d v="2012-07-04T00:00:00"/>
    <s v="04-Jul-2012"/>
  </r>
  <r>
    <n v="14434"/>
    <d v="2011-02-15T00:00:00"/>
    <s v="Not Specified"/>
    <s v="15-Feb-2011"/>
    <n v="39"/>
    <n v="4733.88"/>
    <n v="0.02"/>
    <s v="Delivery Truck"/>
    <n v="239.41"/>
    <n v="119.99"/>
    <n v="56.14"/>
    <s v="Tim Taslimi"/>
    <s v="Yukon"/>
    <x v="7"/>
    <s v="Corporate"/>
    <s v="Technology"/>
    <x v="0"/>
    <x v="4"/>
    <d v="2011-02-17T00:00:00"/>
    <s v="17-Feb-2011"/>
  </r>
  <r>
    <n v="17093"/>
    <d v="2012-02-11T00:00:00"/>
    <s v="Not Specified"/>
    <s v="11-Feb-2012"/>
    <n v="50"/>
    <n v="4550.0600000000004"/>
    <n v="0.1"/>
    <s v="Delivery Truck"/>
    <n v="-1335.32"/>
    <n v="95.98"/>
    <n v="58.2"/>
    <s v="Janet Martin"/>
    <s v="Yukon"/>
    <x v="7"/>
    <s v="Corporate"/>
    <s v="Furniture"/>
    <x v="2"/>
    <x v="15"/>
    <d v="2012-02-13T00:00:00"/>
    <s v="13-Feb-2012"/>
  </r>
  <r>
    <n v="30848"/>
    <d v="2011-05-01T00:00:00"/>
    <s v="Medium"/>
    <s v="01-May-2011"/>
    <n v="13"/>
    <n v="4324.29"/>
    <n v="0.09"/>
    <s v="Delivery Truck"/>
    <n v="298.83"/>
    <n v="348.21"/>
    <n v="40.19"/>
    <s v="Speros Goranitis"/>
    <s v="Yukon"/>
    <x v="7"/>
    <s v="Corporate"/>
    <s v="Furniture"/>
    <x v="3"/>
    <x v="44"/>
    <d v="2011-05-03T00:00:00"/>
    <s v="03-May-2011"/>
  </r>
  <r>
    <n v="4931"/>
    <d v="2009-11-16T00:00:00"/>
    <s v="Critical"/>
    <s v="16-Nov-2009"/>
    <n v="45"/>
    <n v="4282.7250000000004"/>
    <n v="0.03"/>
    <s v="Regular Air"/>
    <n v="1371.74"/>
    <n v="110.99"/>
    <n v="2.5"/>
    <s v="Giulietta Dortch"/>
    <s v="Yukon"/>
    <x v="7"/>
    <s v="Corporate"/>
    <s v="Technology"/>
    <x v="10"/>
    <x v="6"/>
    <d v="2009-11-18T00:00:00"/>
    <s v="18-Nov-2009"/>
  </r>
  <r>
    <n v="59072"/>
    <d v="2009-05-25T00:00:00"/>
    <s v="Not Specified"/>
    <s v="25-May-2009"/>
    <n v="38"/>
    <n v="4191.5625"/>
    <n v="0"/>
    <s v="Regular Air"/>
    <n v="1286.53"/>
    <n v="125.99"/>
    <n v="2.5"/>
    <s v="Dianna Vittorini"/>
    <s v="Yukon"/>
    <x v="7"/>
    <s v="Corporate"/>
    <s v="Technology"/>
    <x v="10"/>
    <x v="15"/>
    <d v="2009-05-27T00:00:00"/>
    <s v="27-May-2009"/>
  </r>
  <r>
    <n v="34151"/>
    <d v="2011-09-09T00:00:00"/>
    <s v="Not Specified"/>
    <s v="09-Sep-2011"/>
    <n v="26"/>
    <n v="4097.1445000000003"/>
    <n v="0.1"/>
    <s v="Regular Air"/>
    <n v="501.54"/>
    <n v="205.99"/>
    <n v="8.99"/>
    <s v="Craig Yedwab"/>
    <s v="Yukon"/>
    <x v="7"/>
    <s v="Corporate"/>
    <s v="Technology"/>
    <x v="10"/>
    <x v="0"/>
    <d v="2011-09-10T00:00:00"/>
    <s v="10-Sep-2011"/>
  </r>
  <r>
    <n v="13570"/>
    <d v="2012-12-02T00:00:00"/>
    <s v="Not Specified"/>
    <s v="02-Dec-2012"/>
    <n v="42"/>
    <n v="4077.7559999999999"/>
    <n v="0.04"/>
    <s v="Regular Air"/>
    <n v="1086.96"/>
    <n v="110.99"/>
    <n v="8.99"/>
    <s v="Grant Thornton"/>
    <s v="Yukon"/>
    <x v="7"/>
    <s v="Corporate"/>
    <s v="Technology"/>
    <x v="10"/>
    <x v="6"/>
    <d v="2012-12-02T00:00:00"/>
    <s v="02-Dec-2012"/>
  </r>
  <r>
    <n v="25378"/>
    <d v="2011-12-18T00:00:00"/>
    <s v="Not Specified"/>
    <s v="18-Dec-2011"/>
    <n v="48"/>
    <n v="3713.0124999999998"/>
    <n v="0.09"/>
    <s v="Regular Air"/>
    <n v="803.6"/>
    <n v="95.99"/>
    <n v="7.69"/>
    <s v="Tim Taslimi"/>
    <s v="Yukon"/>
    <x v="7"/>
    <s v="Corporate"/>
    <s v="Technology"/>
    <x v="10"/>
    <x v="6"/>
    <d v="2011-12-20T00:00:00"/>
    <s v="20-Dec-2011"/>
  </r>
  <r>
    <n v="9092"/>
    <d v="2009-07-24T00:00:00"/>
    <s v="Not Specified"/>
    <s v="24-Jul-2009"/>
    <n v="33"/>
    <n v="3644.24"/>
    <n v="0"/>
    <s v="Express Air"/>
    <n v="-457.73"/>
    <n v="101.41"/>
    <n v="35"/>
    <s v="Jeremy Pistek"/>
    <s v="Yukon"/>
    <x v="7"/>
    <s v="Corporate"/>
    <s v="Office Supplies"/>
    <x v="4"/>
    <x v="5"/>
    <d v="2009-07-25T00:00:00"/>
    <s v="25-Jul-2009"/>
  </r>
  <r>
    <n v="7812"/>
    <d v="2011-04-20T00:00:00"/>
    <s v="Low"/>
    <s v="20-Apr-2011"/>
    <n v="12"/>
    <n v="3635.63"/>
    <n v="0.09"/>
    <s v="Delivery Truck"/>
    <n v="104.48"/>
    <n v="320.64"/>
    <n v="29.2"/>
    <s v="Karl Brown"/>
    <s v="Yukon"/>
    <x v="7"/>
    <s v="Corporate"/>
    <s v="Furniture"/>
    <x v="3"/>
    <x v="32"/>
    <d v="2011-04-22T00:00:00"/>
    <s v="22-Apr-2011"/>
  </r>
  <r>
    <n v="9251"/>
    <d v="2010-08-29T00:00:00"/>
    <s v="Medium"/>
    <s v="29-Aug-2010"/>
    <n v="38"/>
    <n v="3632.6"/>
    <n v="0"/>
    <s v="Delivery Truck"/>
    <n v="-400.33"/>
    <n v="89.99"/>
    <n v="42"/>
    <s v="Giulietta Dortch"/>
    <s v="Yukon"/>
    <x v="7"/>
    <s v="Corporate"/>
    <s v="Furniture"/>
    <x v="2"/>
    <x v="32"/>
    <d v="2010-08-31T00:00:00"/>
    <s v="31-Aug-2010"/>
  </r>
  <r>
    <n v="11748"/>
    <d v="2009-06-03T00:00:00"/>
    <s v="Not Specified"/>
    <s v="03-Jun-2009"/>
    <n v="23"/>
    <n v="3503.12"/>
    <n v="0.01"/>
    <s v="Delivery Truck"/>
    <n v="-168.14"/>
    <n v="145.97999999999999"/>
    <n v="46.2"/>
    <s v="Tamara Willingham"/>
    <s v="Yukon"/>
    <x v="7"/>
    <s v="Corporate"/>
    <s v="Furniture"/>
    <x v="3"/>
    <x v="39"/>
    <d v="2009-06-03T00:00:00"/>
    <s v="03-Jun-2009"/>
  </r>
  <r>
    <n v="11714"/>
    <d v="2009-08-04T00:00:00"/>
    <s v="Critical"/>
    <s v="04-Aug-2009"/>
    <n v="1"/>
    <n v="3501.79"/>
    <n v="0.01"/>
    <s v="Delivery Truck"/>
    <n v="-7838.33"/>
    <n v="3502.14"/>
    <n v="8.73"/>
    <s v="Tamara Willingham"/>
    <s v="Yukon"/>
    <x v="7"/>
    <s v="Corporate"/>
    <s v="Technology"/>
    <x v="0"/>
    <x v="6"/>
    <d v="2009-08-05T00:00:00"/>
    <s v="05-Aug-2009"/>
  </r>
  <r>
    <n v="14851"/>
    <d v="2012-05-11T00:00:00"/>
    <s v="Not Specified"/>
    <s v="11-May-2012"/>
    <n v="6"/>
    <n v="3378.18"/>
    <n v="0.08"/>
    <s v="Regular Air"/>
    <n v="-1352.68"/>
    <n v="599.99"/>
    <n v="24.49"/>
    <s v="Juliana Krohn"/>
    <s v="Yukon"/>
    <x v="7"/>
    <s v="Corporate"/>
    <s v="Technology"/>
    <x v="6"/>
    <x v="47"/>
    <d v="2012-05-12T00:00:00"/>
    <s v="12-May-2012"/>
  </r>
  <r>
    <n v="22497"/>
    <d v="2012-04-28T00:00:00"/>
    <s v="Medium"/>
    <s v="28-Apr-2012"/>
    <n v="37"/>
    <n v="3259.25"/>
    <n v="0.04"/>
    <s v="Delivery Truck"/>
    <n v="580.33000000000004"/>
    <n v="90.97"/>
    <n v="28"/>
    <s v="Brendan Murry"/>
    <s v="Yukon"/>
    <x v="7"/>
    <s v="Corporate"/>
    <s v="Technology"/>
    <x v="0"/>
    <x v="1"/>
    <d v="2012-04-29T00:00:00"/>
    <s v="29-Apr-2012"/>
  </r>
  <r>
    <n v="11174"/>
    <d v="2009-04-09T00:00:00"/>
    <s v="Medium"/>
    <s v="09-Apr-2009"/>
    <n v="30"/>
    <n v="3197.0030000000002"/>
    <n v="7.0000000000000007E-2"/>
    <s v="Regular Air"/>
    <n v="603.46"/>
    <n v="125.99"/>
    <n v="7.69"/>
    <s v="Evan Henry"/>
    <s v="Yukon"/>
    <x v="7"/>
    <s v="Corporate"/>
    <s v="Technology"/>
    <x v="10"/>
    <x v="14"/>
    <d v="2009-04-10T00:00:00"/>
    <s v="10-Apr-2009"/>
  </r>
  <r>
    <n v="16481"/>
    <d v="2011-02-18T00:00:00"/>
    <s v="Low"/>
    <s v="18-Feb-2011"/>
    <n v="50"/>
    <n v="3089.06"/>
    <n v="0"/>
    <s v="Regular Air"/>
    <n v="719.26"/>
    <n v="56.96"/>
    <n v="13.22"/>
    <s v="Paul Van Hugh"/>
    <s v="Yukon"/>
    <x v="7"/>
    <s v="Corporate"/>
    <s v="Office Supplies"/>
    <x v="5"/>
    <x v="0"/>
    <d v="2011-02-23T00:00:00"/>
    <s v="23-Feb-2011"/>
  </r>
  <r>
    <n v="12486"/>
    <d v="2011-02-20T00:00:00"/>
    <s v="High"/>
    <s v="20-Feb-2011"/>
    <n v="31"/>
    <n v="3081.33"/>
    <n v="0.08"/>
    <s v="Delivery Truck"/>
    <n v="-1341.11"/>
    <n v="100.98"/>
    <n v="57.38"/>
    <s v="Dave Kipp"/>
    <s v="Yukon"/>
    <x v="7"/>
    <s v="Corporate"/>
    <s v="Furniture"/>
    <x v="8"/>
    <x v="8"/>
    <d v="2011-02-21T00:00:00"/>
    <s v="21-Feb-2011"/>
  </r>
  <r>
    <n v="21541"/>
    <d v="2009-10-08T00:00:00"/>
    <s v="Not Specified"/>
    <s v="08-Oct-2009"/>
    <n v="43"/>
    <n v="3044.7"/>
    <n v="0.04"/>
    <s v="Delivery Truck"/>
    <n v="-78.36"/>
    <n v="70.98"/>
    <n v="26.74"/>
    <s v="Quincy Jones"/>
    <s v="Yukon"/>
    <x v="7"/>
    <s v="Corporate"/>
    <s v="Furniture"/>
    <x v="8"/>
    <x v="18"/>
    <d v="2009-10-10T00:00:00"/>
    <s v="10-Oct-2009"/>
  </r>
  <r>
    <n v="23361"/>
    <d v="2010-07-03T00:00:00"/>
    <s v="Critical"/>
    <s v="03-Jul-2010"/>
    <n v="36"/>
    <n v="2861.66"/>
    <n v="0.04"/>
    <s v="Regular Air"/>
    <n v="-921.68"/>
    <n v="80.98"/>
    <n v="35"/>
    <s v="Benjamin Patterson"/>
    <s v="Yukon"/>
    <x v="7"/>
    <s v="Corporate"/>
    <s v="Office Supplies"/>
    <x v="4"/>
    <x v="43"/>
    <d v="2010-07-04T00:00:00"/>
    <s v="04-Jul-2010"/>
  </r>
  <r>
    <n v="31590"/>
    <d v="2010-06-05T00:00:00"/>
    <s v="Critical"/>
    <s v="05-Jun-2010"/>
    <n v="27"/>
    <n v="2854.76"/>
    <n v="0.06"/>
    <s v="Regular Air"/>
    <n v="61.13"/>
    <n v="111.03"/>
    <n v="8.64"/>
    <s v="Luke Foster"/>
    <s v="Yukon"/>
    <x v="7"/>
    <s v="Corporate"/>
    <s v="Office Supplies"/>
    <x v="4"/>
    <x v="8"/>
    <d v="2010-06-07T00:00:00"/>
    <s v="07-Jun-2010"/>
  </r>
  <r>
    <n v="18466"/>
    <d v="2012-05-21T00:00:00"/>
    <s v="Low"/>
    <s v="21-May-2012"/>
    <n v="24"/>
    <n v="2694.01"/>
    <n v="0.08"/>
    <s v="Express Air"/>
    <n v="994.31"/>
    <n v="120.97"/>
    <n v="7.11"/>
    <s v="Deanra Eno"/>
    <s v="Yukon"/>
    <x v="7"/>
    <s v="Corporate"/>
    <s v="Technology"/>
    <x v="0"/>
    <x v="10"/>
    <d v="2012-05-21T00:00:00"/>
    <s v="21-May-2012"/>
  </r>
  <r>
    <n v="23427"/>
    <d v="2011-08-08T00:00:00"/>
    <s v="Low"/>
    <s v="08-Aug-2011"/>
    <n v="22"/>
    <n v="2684.98"/>
    <n v="0.03"/>
    <s v="Regular Air"/>
    <n v="1115.1400000000001"/>
    <n v="120.98"/>
    <n v="9.07"/>
    <s v="Cindy Chapman"/>
    <s v="Yukon"/>
    <x v="7"/>
    <s v="Corporate"/>
    <s v="Office Supplies"/>
    <x v="1"/>
    <x v="2"/>
    <d v="2011-08-17T00:00:00"/>
    <s v="17-Aug-2011"/>
  </r>
  <r>
    <n v="10245"/>
    <d v="2011-02-13T00:00:00"/>
    <s v="Medium"/>
    <s v="13-Feb-2011"/>
    <n v="27"/>
    <n v="2645.88"/>
    <n v="0.06"/>
    <s v="Delivery Truck"/>
    <n v="-1231.98"/>
    <n v="100.98"/>
    <n v="57.38"/>
    <s v="Astrea Jones"/>
    <s v="Yukon"/>
    <x v="7"/>
    <s v="Corporate"/>
    <s v="Furniture"/>
    <x v="8"/>
    <x v="8"/>
    <d v="2011-02-14T00:00:00"/>
    <s v="14-Feb-2011"/>
  </r>
  <r>
    <n v="4230"/>
    <d v="2012-03-03T00:00:00"/>
    <s v="Critical"/>
    <s v="03-Mar-2012"/>
    <n v="46"/>
    <n v="2508.3159999999998"/>
    <n v="7.0000000000000007E-2"/>
    <s v="Express Air"/>
    <n v="456.81"/>
    <n v="65.989999999999995"/>
    <n v="8.99"/>
    <s v="Tamara Willingham"/>
    <s v="Yukon"/>
    <x v="7"/>
    <s v="Corporate"/>
    <s v="Technology"/>
    <x v="10"/>
    <x v="0"/>
    <d v="2012-03-05T00:00:00"/>
    <s v="05-Mar-2012"/>
  </r>
  <r>
    <n v="12706"/>
    <d v="2009-11-20T00:00:00"/>
    <s v="Critical"/>
    <s v="20-Nov-2009"/>
    <n v="46"/>
    <n v="2494.69"/>
    <n v="0.09"/>
    <s v="Delivery Truck"/>
    <n v="-937.06"/>
    <n v="58.14"/>
    <n v="36.61"/>
    <s v="Dave Kipp"/>
    <s v="Yukon"/>
    <x v="7"/>
    <s v="Corporate"/>
    <s v="Furniture"/>
    <x v="8"/>
    <x v="9"/>
    <d v="2009-11-21T00:00:00"/>
    <s v="21-Nov-2009"/>
  </r>
  <r>
    <n v="52002"/>
    <d v="2009-06-04T00:00:00"/>
    <s v="High"/>
    <s v="04-Jun-2009"/>
    <n v="11"/>
    <n v="2489.85"/>
    <n v="0.06"/>
    <s v="Delivery Truck"/>
    <n v="-566.5"/>
    <n v="218.75"/>
    <n v="69.64"/>
    <s v="Cindy Stewart"/>
    <s v="Yukon"/>
    <x v="7"/>
    <s v="Corporate"/>
    <s v="Furniture"/>
    <x v="3"/>
    <x v="36"/>
    <d v="2009-06-05T00:00:00"/>
    <s v="05-Jun-2009"/>
  </r>
  <r>
    <n v="10277"/>
    <d v="2009-04-07T00:00:00"/>
    <s v="Medium"/>
    <s v="07-Apr-2009"/>
    <n v="36"/>
    <n v="2144.924"/>
    <n v="0"/>
    <s v="Regular Air"/>
    <n v="542.25"/>
    <n v="65.989999999999995"/>
    <n v="5.26"/>
    <s v="Grant Thornton"/>
    <s v="Yukon"/>
    <x v="7"/>
    <s v="Corporate"/>
    <s v="Technology"/>
    <x v="10"/>
    <x v="14"/>
    <d v="2009-04-08T00:00:00"/>
    <s v="08-Apr-2009"/>
  </r>
  <r>
    <n v="12039"/>
    <d v="2010-06-16T00:00:00"/>
    <s v="High"/>
    <s v="16-Jun-2010"/>
    <n v="13"/>
    <n v="2048.5680000000002"/>
    <n v="0.1"/>
    <s v="Regular Air"/>
    <n v="-259.99"/>
    <n v="205.99"/>
    <n v="8.99"/>
    <s v="Carlos Meador"/>
    <s v="Yukon"/>
    <x v="7"/>
    <s v="Corporate"/>
    <s v="Technology"/>
    <x v="10"/>
    <x v="0"/>
    <d v="2010-06-18T00:00:00"/>
    <s v="18-Jun-2010"/>
  </r>
  <r>
    <n v="5702"/>
    <d v="2010-09-06T00:00:00"/>
    <s v="Not Specified"/>
    <s v="06-Sep-2010"/>
    <n v="20"/>
    <n v="2039.39"/>
    <n v="0.01"/>
    <s v="Regular Air"/>
    <n v="199.73"/>
    <n v="99.99"/>
    <n v="19.989999999999998"/>
    <s v="Grant Thornton"/>
    <s v="Yukon"/>
    <x v="7"/>
    <s v="Corporate"/>
    <s v="Technology"/>
    <x v="11"/>
    <x v="24"/>
    <d v="2010-09-08T00:00:00"/>
    <s v="08-Sep-2010"/>
  </r>
  <r>
    <n v="7938"/>
    <d v="2010-03-13T00:00:00"/>
    <s v="Medium"/>
    <s v="13-Mar-2010"/>
    <n v="16"/>
    <n v="2026.05"/>
    <n v="0.1"/>
    <s v="Delivery Truck"/>
    <n v="-357.65"/>
    <n v="135.99"/>
    <n v="28.63"/>
    <s v="Carlos Meador"/>
    <s v="Yukon"/>
    <x v="7"/>
    <s v="Corporate"/>
    <s v="Furniture"/>
    <x v="2"/>
    <x v="40"/>
    <d v="2010-03-15T00:00:00"/>
    <s v="15-Mar-2010"/>
  </r>
  <r>
    <n v="19943"/>
    <d v="2009-11-24T00:00:00"/>
    <s v="Critical"/>
    <s v="24-Nov-2009"/>
    <n v="16"/>
    <n v="1959.92"/>
    <n v="7.0000000000000007E-2"/>
    <s v="Delivery Truck"/>
    <n v="-374.96"/>
    <n v="124.49"/>
    <n v="51.94"/>
    <s v="Benjamin Patterson"/>
    <s v="Yukon"/>
    <x v="7"/>
    <s v="Corporate"/>
    <s v="Furniture"/>
    <x v="3"/>
    <x v="50"/>
    <d v="2009-11-25T00:00:00"/>
    <s v="25-Nov-2009"/>
  </r>
  <r>
    <n v="19041"/>
    <d v="2011-07-26T00:00:00"/>
    <s v="Low"/>
    <s v="26-Jul-2011"/>
    <n v="43"/>
    <n v="1849.8"/>
    <n v="0.04"/>
    <s v="Regular Air"/>
    <n v="530.22"/>
    <n v="42.98"/>
    <n v="4.62"/>
    <s v="Grant Thornton"/>
    <s v="Yukon"/>
    <x v="7"/>
    <s v="Corporate"/>
    <s v="Office Supplies"/>
    <x v="5"/>
    <x v="0"/>
    <d v="2011-08-04T00:00:00"/>
    <s v="04-Aug-2011"/>
  </r>
  <r>
    <n v="13991"/>
    <d v="2012-03-06T00:00:00"/>
    <s v="High"/>
    <s v="06-Mar-2012"/>
    <n v="21"/>
    <n v="1839.4480000000001"/>
    <n v="7.0000000000000007E-2"/>
    <s v="Regular Air"/>
    <n v="-742.88"/>
    <n v="111.96"/>
    <n v="69"/>
    <s v="Cynthia Voltz"/>
    <s v="Yukon"/>
    <x v="7"/>
    <s v="Corporate"/>
    <s v="Furniture"/>
    <x v="3"/>
    <x v="50"/>
    <d v="2012-03-07T00:00:00"/>
    <s v="07-Mar-2012"/>
  </r>
  <r>
    <n v="3328"/>
    <d v="2012-11-18T00:00:00"/>
    <s v="Low"/>
    <s v="18-Nov-2012"/>
    <n v="12"/>
    <n v="1736.41"/>
    <n v="0.1"/>
    <s v="Delivery Truck"/>
    <n v="-762.44"/>
    <n v="146.05000000000001"/>
    <n v="80.2"/>
    <s v="Adam Hart"/>
    <s v="Yukon"/>
    <x v="7"/>
    <s v="Corporate"/>
    <s v="Furniture"/>
    <x v="3"/>
    <x v="35"/>
    <d v="2012-11-25T00:00:00"/>
    <s v="25-Nov-2012"/>
  </r>
  <r>
    <n v="12486"/>
    <d v="2011-02-20T00:00:00"/>
    <s v="High"/>
    <s v="20-Feb-2011"/>
    <n v="42"/>
    <n v="1692.56"/>
    <n v="0.04"/>
    <s v="Regular Air"/>
    <n v="275.5"/>
    <n v="40.98"/>
    <n v="7.2"/>
    <s v="Dave Kipp"/>
    <s v="Yukon"/>
    <x v="7"/>
    <s v="Corporate"/>
    <s v="Office Supplies"/>
    <x v="5"/>
    <x v="18"/>
    <d v="2011-02-21T00:00:00"/>
    <s v="21-Feb-2011"/>
  </r>
  <r>
    <n v="8999"/>
    <d v="2009-06-12T00:00:00"/>
    <s v="High"/>
    <s v="12-Jun-2009"/>
    <n v="28"/>
    <n v="1676.48"/>
    <n v="0"/>
    <s v="Regular Air"/>
    <n v="590.35"/>
    <n v="55.48"/>
    <n v="14.3"/>
    <s v="Julia Barnett"/>
    <s v="Yukon"/>
    <x v="7"/>
    <s v="Corporate"/>
    <s v="Office Supplies"/>
    <x v="12"/>
    <x v="7"/>
    <d v="2009-06-14T00:00:00"/>
    <s v="14-Jun-2009"/>
  </r>
  <r>
    <n v="22913"/>
    <d v="2010-06-25T00:00:00"/>
    <s v="Critical"/>
    <s v="25-Jun-2010"/>
    <n v="50"/>
    <n v="1579.028"/>
    <n v="0.02"/>
    <s v="Regular Air"/>
    <n v="624.98"/>
    <n v="35.99"/>
    <n v="5.99"/>
    <s v="Giulietta Dortch"/>
    <s v="Yukon"/>
    <x v="7"/>
    <s v="Corporate"/>
    <s v="Technology"/>
    <x v="10"/>
    <x v="1"/>
    <d v="2010-06-26T00:00:00"/>
    <s v="26-Jun-2010"/>
  </r>
  <r>
    <n v="21827"/>
    <d v="2012-11-09T00:00:00"/>
    <s v="Not Specified"/>
    <s v="09-Nov-2012"/>
    <n v="21"/>
    <n v="1560.96"/>
    <n v="7.0000000000000007E-2"/>
    <s v="Express Air"/>
    <n v="-120.27"/>
    <n v="73.98"/>
    <n v="4"/>
    <s v="Deanra Eno"/>
    <s v="Yukon"/>
    <x v="7"/>
    <s v="Corporate"/>
    <s v="Technology"/>
    <x v="11"/>
    <x v="11"/>
    <d v="2012-11-10T00:00:00"/>
    <s v="10-Nov-2012"/>
  </r>
  <r>
    <n v="18402"/>
    <d v="2009-08-29T00:00:00"/>
    <s v="Low"/>
    <s v="29-Aug-2009"/>
    <n v="5"/>
    <n v="1548.45"/>
    <n v="0.03"/>
    <s v="Delivery Truck"/>
    <n v="-224.2"/>
    <n v="284.98"/>
    <n v="69.55"/>
    <s v="Deanra Eno"/>
    <s v="Yukon"/>
    <x v="7"/>
    <s v="Corporate"/>
    <s v="Furniture"/>
    <x v="2"/>
    <x v="18"/>
    <d v="2009-09-05T00:00:00"/>
    <s v="05-Sep-2009"/>
  </r>
  <r>
    <n v="28832"/>
    <d v="2010-09-24T00:00:00"/>
    <s v="Medium"/>
    <s v="24-Sep-2010"/>
    <n v="46"/>
    <n v="1500.84"/>
    <n v="0.1"/>
    <s v="Express Air"/>
    <n v="91.56"/>
    <n v="35.89"/>
    <n v="14.72"/>
    <s v="Dave Kipp"/>
    <s v="Yukon"/>
    <x v="7"/>
    <s v="Corporate"/>
    <s v="Office Supplies"/>
    <x v="15"/>
    <x v="27"/>
    <d v="2010-09-25T00:00:00"/>
    <s v="25-Sep-2010"/>
  </r>
  <r>
    <n v="18530"/>
    <d v="2010-12-31T00:00:00"/>
    <s v="Not Specified"/>
    <s v="31-Dec-2010"/>
    <n v="25"/>
    <n v="1491.5205000000001"/>
    <n v="0"/>
    <s v="Regular Air"/>
    <n v="286.36"/>
    <n v="65.989999999999995"/>
    <n v="5.99"/>
    <s v="Grant Thornton"/>
    <s v="Yukon"/>
    <x v="7"/>
    <s v="Corporate"/>
    <s v="Technology"/>
    <x v="10"/>
    <x v="15"/>
    <d v="2011-01-02T00:00:00"/>
    <s v="02-Jan-2011"/>
  </r>
  <r>
    <n v="9091"/>
    <d v="2010-11-11T00:00:00"/>
    <s v="High"/>
    <s v="11-Nov-2010"/>
    <n v="44"/>
    <n v="1480.91"/>
    <n v="0"/>
    <s v="Regular Air"/>
    <n v="489.14"/>
    <n v="30.98"/>
    <n v="8.74"/>
    <s v="Adam Hart"/>
    <s v="Yukon"/>
    <x v="7"/>
    <s v="Corporate"/>
    <s v="Office Supplies"/>
    <x v="12"/>
    <x v="27"/>
    <d v="2010-11-12T00:00:00"/>
    <s v="12-Nov-2010"/>
  </r>
  <r>
    <n v="31461"/>
    <d v="2011-06-27T00:00:00"/>
    <s v="Medium"/>
    <s v="27-Jun-2011"/>
    <n v="26"/>
    <n v="1463.42"/>
    <n v="0.08"/>
    <s v="Regular Air"/>
    <n v="350.82"/>
    <n v="59.98"/>
    <n v="3.99"/>
    <s v="Adam Hart"/>
    <s v="Yukon"/>
    <x v="7"/>
    <s v="Corporate"/>
    <s v="Office Supplies"/>
    <x v="5"/>
    <x v="6"/>
    <d v="2011-06-29T00:00:00"/>
    <s v="29-Jun-2011"/>
  </r>
  <r>
    <n v="14851"/>
    <d v="2012-05-11T00:00:00"/>
    <s v="Not Specified"/>
    <s v="11-May-2012"/>
    <n v="26"/>
    <n v="1443.2660000000001"/>
    <n v="0.08"/>
    <s v="Regular Air"/>
    <n v="156.11000000000001"/>
    <n v="65.989999999999995"/>
    <n v="8.99"/>
    <s v="Juliana Krohn"/>
    <s v="Yukon"/>
    <x v="7"/>
    <s v="Corporate"/>
    <s v="Technology"/>
    <x v="10"/>
    <x v="0"/>
    <d v="2012-05-13T00:00:00"/>
    <s v="13-May-2012"/>
  </r>
  <r>
    <n v="14439"/>
    <d v="2012-08-30T00:00:00"/>
    <s v="High"/>
    <s v="30-Aug-2012"/>
    <n v="27"/>
    <n v="1428.64"/>
    <n v="0.09"/>
    <s v="Regular Air"/>
    <n v="494.26"/>
    <n v="54.96"/>
    <n v="10.75"/>
    <s v="Cindy Stewart"/>
    <s v="Yukon"/>
    <x v="7"/>
    <s v="Corporate"/>
    <s v="Office Supplies"/>
    <x v="12"/>
    <x v="10"/>
    <d v="2012-08-31T00:00:00"/>
    <s v="31-Aug-2012"/>
  </r>
  <r>
    <n v="21827"/>
    <d v="2012-11-09T00:00:00"/>
    <s v="Not Specified"/>
    <s v="09-Nov-2012"/>
    <n v="25"/>
    <n v="1351.78"/>
    <n v="0.06"/>
    <s v="Regular Air"/>
    <n v="109.92"/>
    <n v="56.96"/>
    <n v="13.22"/>
    <s v="Deanra Eno"/>
    <s v="Yukon"/>
    <x v="7"/>
    <s v="Corporate"/>
    <s v="Office Supplies"/>
    <x v="5"/>
    <x v="0"/>
    <d v="2012-11-11T00:00:00"/>
    <s v="11-Nov-2012"/>
  </r>
  <r>
    <n v="1637"/>
    <d v="2011-02-07T00:00:00"/>
    <s v="Not Specified"/>
    <s v="07-Feb-2011"/>
    <n v="47"/>
    <n v="1348.57"/>
    <n v="0.08"/>
    <s v="Regular Air"/>
    <n v="19.57"/>
    <n v="30.98"/>
    <n v="8.99"/>
    <s v="Aleksandra Gannaway"/>
    <s v="Yukon"/>
    <x v="7"/>
    <s v="Corporate"/>
    <s v="Office Supplies"/>
    <x v="13"/>
    <x v="15"/>
    <d v="2011-02-09T00:00:00"/>
    <s v="09-Feb-2011"/>
  </r>
  <r>
    <n v="21988"/>
    <d v="2010-03-28T00:00:00"/>
    <s v="Medium"/>
    <s v="28-Mar-2010"/>
    <n v="4"/>
    <n v="1337.19"/>
    <n v="0.06"/>
    <s v="Delivery Truck"/>
    <n v="-431.45"/>
    <n v="328.14"/>
    <n v="91.05"/>
    <s v="Jeremy Pistek"/>
    <s v="Yukon"/>
    <x v="7"/>
    <s v="Corporate"/>
    <s v="Office Supplies"/>
    <x v="5"/>
    <x v="6"/>
    <d v="2010-03-30T00:00:00"/>
    <s v="30-Mar-2010"/>
  </r>
  <r>
    <n v="23395"/>
    <d v="2012-10-27T00:00:00"/>
    <s v="Medium"/>
    <s v="27-Oct-2012"/>
    <n v="31"/>
    <n v="1296.46"/>
    <n v="0.01"/>
    <s v="Regular Air"/>
    <n v="376.47"/>
    <n v="39.479999999999997"/>
    <n v="1.99"/>
    <s v="Janet Martin"/>
    <s v="Yukon"/>
    <x v="7"/>
    <s v="Corporate"/>
    <s v="Technology"/>
    <x v="11"/>
    <x v="41"/>
    <d v="2012-10-29T00:00:00"/>
    <s v="29-Oct-2012"/>
  </r>
  <r>
    <n v="26464"/>
    <d v="2011-12-11T00:00:00"/>
    <s v="High"/>
    <s v="11-Dec-2011"/>
    <n v="26"/>
    <n v="1280.6500000000001"/>
    <n v="0.06"/>
    <s v="Regular Air"/>
    <n v="75.36"/>
    <n v="50.98"/>
    <n v="22.24"/>
    <s v="Tamara Willingham"/>
    <s v="Yukon"/>
    <x v="7"/>
    <s v="Corporate"/>
    <s v="Furniture"/>
    <x v="7"/>
    <x v="20"/>
    <d v="2011-12-12T00:00:00"/>
    <s v="12-Dec-2011"/>
  </r>
  <r>
    <n v="1888"/>
    <d v="2010-10-30T00:00:00"/>
    <s v="Not Specified"/>
    <s v="30-Oct-2010"/>
    <n v="38"/>
    <n v="1264.46"/>
    <n v="0"/>
    <s v="Delivery Truck"/>
    <n v="-1249.3900000000001"/>
    <n v="31.76"/>
    <n v="45.51"/>
    <s v="Kean Thornton"/>
    <s v="Yukon"/>
    <x v="7"/>
    <s v="Corporate"/>
    <s v="Furniture"/>
    <x v="3"/>
    <x v="38"/>
    <d v="2010-10-30T00:00:00"/>
    <s v="30-Oct-2010"/>
  </r>
  <r>
    <n v="1637"/>
    <d v="2011-02-07T00:00:00"/>
    <s v="Not Specified"/>
    <s v="07-Feb-2011"/>
    <n v="36"/>
    <n v="1225.52"/>
    <n v="0.1"/>
    <s v="Express Air"/>
    <n v="-1191.1300000000001"/>
    <n v="35.479999999999997"/>
    <n v="35"/>
    <s v="Aleksandra Gannaway"/>
    <s v="Yukon"/>
    <x v="7"/>
    <s v="Corporate"/>
    <s v="Office Supplies"/>
    <x v="4"/>
    <x v="42"/>
    <d v="2011-02-07T00:00:00"/>
    <s v="07-Feb-2011"/>
  </r>
  <r>
    <n v="448"/>
    <d v="2011-08-20T00:00:00"/>
    <s v="Medium"/>
    <s v="20-Aug-2011"/>
    <n v="22"/>
    <n v="1162.4005"/>
    <n v="0.09"/>
    <s v="Regular Air"/>
    <n v="-284.63"/>
    <n v="65.989999999999995"/>
    <n v="19.989999999999998"/>
    <s v="Brad Thomas"/>
    <s v="Yukon"/>
    <x v="7"/>
    <s v="Corporate"/>
    <s v="Technology"/>
    <x v="10"/>
    <x v="14"/>
    <d v="2011-08-22T00:00:00"/>
    <s v="22-Aug-2011"/>
  </r>
  <r>
    <n v="12930"/>
    <d v="2011-11-24T00:00:00"/>
    <s v="High"/>
    <s v="24-Nov-2011"/>
    <n v="49"/>
    <n v="1147.6400000000001"/>
    <n v="0.06"/>
    <s v="Regular Air"/>
    <n v="261.87"/>
    <n v="22.98"/>
    <n v="4.5"/>
    <s v="Grant Thornton"/>
    <s v="Yukon"/>
    <x v="7"/>
    <s v="Corporate"/>
    <s v="Office Supplies"/>
    <x v="5"/>
    <x v="20"/>
    <d v="2011-11-25T00:00:00"/>
    <s v="25-Nov-2011"/>
  </r>
  <r>
    <n v="18819"/>
    <d v="2009-02-25T00:00:00"/>
    <s v="Low"/>
    <s v="25-Feb-2009"/>
    <n v="22"/>
    <n v="1102.3"/>
    <n v="0.1"/>
    <s v="Regular Air"/>
    <n v="98.12"/>
    <n v="50.98"/>
    <n v="22.24"/>
    <s v="Dan Campbell"/>
    <s v="Yukon"/>
    <x v="7"/>
    <s v="Corporate"/>
    <s v="Furniture"/>
    <x v="7"/>
    <x v="20"/>
    <d v="2009-02-27T00:00:00"/>
    <s v="27-Feb-2009"/>
  </r>
  <r>
    <n v="5472"/>
    <d v="2010-04-10T00:00:00"/>
    <s v="Low"/>
    <s v="10-Apr-2010"/>
    <n v="12"/>
    <n v="1098.1489999999999"/>
    <n v="0.09"/>
    <s v="Regular Air"/>
    <n v="-182.97"/>
    <n v="115.99"/>
    <n v="5.92"/>
    <s v="Karl Brown"/>
    <s v="Yukon"/>
    <x v="7"/>
    <s v="Corporate"/>
    <s v="Technology"/>
    <x v="10"/>
    <x v="15"/>
    <d v="2010-04-12T00:00:00"/>
    <s v="12-Apr-2010"/>
  </r>
  <r>
    <n v="1637"/>
    <d v="2011-02-07T00:00:00"/>
    <s v="Not Specified"/>
    <s v="07-Feb-2011"/>
    <n v="10"/>
    <n v="1024.29"/>
    <n v="7.0000000000000007E-2"/>
    <s v="Regular Air"/>
    <n v="-95.52"/>
    <n v="99.99"/>
    <n v="19.989999999999998"/>
    <s v="Aleksandra Gannaway"/>
    <s v="Yukon"/>
    <x v="7"/>
    <s v="Corporate"/>
    <s v="Technology"/>
    <x v="11"/>
    <x v="24"/>
    <d v="2011-02-07T00:00:00"/>
    <s v="07-Feb-2011"/>
  </r>
  <r>
    <n v="10562"/>
    <d v="2009-11-11T00:00:00"/>
    <s v="Not Specified"/>
    <s v="11-Nov-2009"/>
    <n v="10"/>
    <n v="994.04"/>
    <n v="0.03"/>
    <s v="Regular Air"/>
    <n v="-335.06"/>
    <n v="95.99"/>
    <n v="35"/>
    <s v="Yana Sorensen"/>
    <s v="Yukon"/>
    <x v="7"/>
    <s v="Corporate"/>
    <s v="Office Supplies"/>
    <x v="4"/>
    <x v="49"/>
    <d v="2009-11-12T00:00:00"/>
    <s v="12-Nov-2009"/>
  </r>
  <r>
    <n v="31460"/>
    <d v="2012-08-26T00:00:00"/>
    <s v="High"/>
    <s v="26-Aug-2012"/>
    <n v="9"/>
    <n v="990.67"/>
    <n v="0.08"/>
    <s v="Regular Air"/>
    <n v="-365.32"/>
    <n v="110.98"/>
    <n v="35"/>
    <s v="Benjamin Patterson"/>
    <s v="Yukon"/>
    <x v="7"/>
    <s v="Corporate"/>
    <s v="Office Supplies"/>
    <x v="4"/>
    <x v="5"/>
    <d v="2012-08-28T00:00:00"/>
    <s v="28-Aug-2012"/>
  </r>
  <r>
    <n v="15111"/>
    <d v="2009-12-17T00:00:00"/>
    <s v="Not Specified"/>
    <s v="17-Dec-2009"/>
    <n v="13"/>
    <n v="970.47"/>
    <n v="0.1"/>
    <s v="Regular Air"/>
    <n v="192.38"/>
    <n v="81.319999999999993"/>
    <n v="0.99"/>
    <s v="Juliana Krohn"/>
    <s v="Yukon"/>
    <x v="7"/>
    <s v="Corporate"/>
    <s v="Office Supplies"/>
    <x v="5"/>
    <x v="6"/>
    <d v="2009-12-19T00:00:00"/>
    <s v="19-Dec-2009"/>
  </r>
  <r>
    <n v="25797"/>
    <d v="2012-09-01T00:00:00"/>
    <s v="Not Specified"/>
    <s v="01-Sep-2012"/>
    <n v="28"/>
    <n v="925.43"/>
    <n v="0"/>
    <s v="Regular Air"/>
    <n v="368.86"/>
    <n v="31.78"/>
    <n v="1.99"/>
    <s v="Roland Fjeld"/>
    <s v="Yukon"/>
    <x v="7"/>
    <s v="Corporate"/>
    <s v="Technology"/>
    <x v="11"/>
    <x v="22"/>
    <d v="2012-09-03T00:00:00"/>
    <s v="03-Sep-2012"/>
  </r>
  <r>
    <n v="5189"/>
    <d v="2010-11-25T00:00:00"/>
    <s v="Low"/>
    <s v="25-Nov-2010"/>
    <n v="12"/>
    <n v="900.06"/>
    <n v="0.05"/>
    <s v="Regular Air"/>
    <n v="-221.12"/>
    <n v="73.98"/>
    <n v="14.52"/>
    <s v="Evan Henry"/>
    <s v="Yukon"/>
    <x v="7"/>
    <s v="Corporate"/>
    <s v="Technology"/>
    <x v="11"/>
    <x v="38"/>
    <d v="2010-12-02T00:00:00"/>
    <s v="02-Dec-2010"/>
  </r>
  <r>
    <n v="50978"/>
    <d v="2012-03-31T00:00:00"/>
    <s v="High"/>
    <s v="31-Mar-2012"/>
    <n v="4"/>
    <n v="816.09"/>
    <n v="0.05"/>
    <s v="Regular Air"/>
    <n v="-150.29"/>
    <n v="210.55"/>
    <n v="9.99"/>
    <s v="Cindy Stewart"/>
    <s v="Yukon"/>
    <x v="7"/>
    <s v="Corporate"/>
    <s v="Office Supplies"/>
    <x v="4"/>
    <x v="18"/>
    <d v="2012-04-02T00:00:00"/>
    <s v="02-Apr-2012"/>
  </r>
  <r>
    <n v="6566"/>
    <d v="2011-05-21T00:00:00"/>
    <s v="Critical"/>
    <s v="21-May-2011"/>
    <n v="21"/>
    <n v="748.83"/>
    <n v="0.01"/>
    <s v="Regular Air"/>
    <n v="250.01"/>
    <n v="33.979999999999997"/>
    <n v="1.99"/>
    <s v="Kean Thornton"/>
    <s v="Yukon"/>
    <x v="7"/>
    <s v="Corporate"/>
    <s v="Technology"/>
    <x v="11"/>
    <x v="45"/>
    <d v="2011-05-21T00:00:00"/>
    <s v="21-May-2011"/>
  </r>
  <r>
    <n v="13602"/>
    <d v="2009-01-13T00:00:00"/>
    <s v="Low"/>
    <s v="13-Jan-2009"/>
    <n v="13"/>
    <n v="660.99"/>
    <n v="0.02"/>
    <s v="Regular Air"/>
    <n v="267.67"/>
    <n v="48.04"/>
    <n v="5.09"/>
    <s v="Brian Stugart"/>
    <s v="Yukon"/>
    <x v="7"/>
    <s v="Corporate"/>
    <s v="Office Supplies"/>
    <x v="12"/>
    <x v="7"/>
    <d v="2009-01-13T00:00:00"/>
    <s v="13-Jan-2009"/>
  </r>
  <r>
    <n v="6054"/>
    <d v="2011-09-08T00:00:00"/>
    <s v="Low"/>
    <s v="08-Sep-2011"/>
    <n v="43"/>
    <n v="643.30999999999995"/>
    <n v="0.08"/>
    <s v="Express Air"/>
    <n v="-231.34"/>
    <n v="15.42"/>
    <n v="10.68"/>
    <s v="Aleksandra Gannaway"/>
    <s v="Yukon"/>
    <x v="7"/>
    <s v="Corporate"/>
    <s v="Office Supplies"/>
    <x v="4"/>
    <x v="15"/>
    <d v="2011-09-13T00:00:00"/>
    <s v="13-Sep-2011"/>
  </r>
  <r>
    <n v="10080"/>
    <d v="2010-02-12T00:00:00"/>
    <s v="Low"/>
    <s v="12-Feb-2010"/>
    <n v="20"/>
    <n v="637.04"/>
    <n v="0"/>
    <s v="Regular Air"/>
    <n v="-26.83"/>
    <n v="30.73"/>
    <n v="4"/>
    <s v="Grant Thornton"/>
    <s v="Yukon"/>
    <x v="7"/>
    <s v="Corporate"/>
    <s v="Technology"/>
    <x v="11"/>
    <x v="16"/>
    <d v="2010-02-19T00:00:00"/>
    <s v="19-Feb-2010"/>
  </r>
  <r>
    <n v="9091"/>
    <d v="2010-11-11T00:00:00"/>
    <s v="High"/>
    <s v="11-Nov-2010"/>
    <n v="42"/>
    <n v="605.77"/>
    <n v="0.05"/>
    <s v="Regular Air"/>
    <n v="129.33000000000001"/>
    <n v="14.34"/>
    <n v="5"/>
    <s v="Adam Hart"/>
    <s v="Yukon"/>
    <x v="7"/>
    <s v="Corporate"/>
    <s v="Furniture"/>
    <x v="7"/>
    <x v="19"/>
    <d v="2010-11-12T00:00:00"/>
    <s v="12-Nov-2010"/>
  </r>
  <r>
    <n v="9092"/>
    <d v="2009-07-24T00:00:00"/>
    <s v="Not Specified"/>
    <s v="24-Jul-2009"/>
    <n v="8"/>
    <n v="599.20749999999998"/>
    <n v="0.1"/>
    <s v="Regular Air"/>
    <n v="-268.66000000000003"/>
    <n v="95.99"/>
    <n v="4.9000000000000004"/>
    <s v="Jeremy Pistek"/>
    <s v="Yukon"/>
    <x v="7"/>
    <s v="Corporate"/>
    <s v="Technology"/>
    <x v="10"/>
    <x v="0"/>
    <d v="2009-07-25T00:00:00"/>
    <s v="25-Jul-2009"/>
  </r>
  <r>
    <n v="10146"/>
    <d v="2009-05-01T00:00:00"/>
    <s v="Low"/>
    <s v="01-May-2009"/>
    <n v="19"/>
    <n v="596.21"/>
    <n v="0.1"/>
    <s v="Regular Air"/>
    <n v="211.59"/>
    <n v="34.229999999999997"/>
    <n v="5.0199999999999996"/>
    <s v="Evan Henry"/>
    <s v="Yukon"/>
    <x v="7"/>
    <s v="Corporate"/>
    <s v="Furniture"/>
    <x v="7"/>
    <x v="20"/>
    <d v="2009-05-06T00:00:00"/>
    <s v="06-May-2009"/>
  </r>
  <r>
    <n v="59072"/>
    <d v="2009-05-25T00:00:00"/>
    <s v="Not Specified"/>
    <s v="25-May-2009"/>
    <n v="22"/>
    <n v="576.89"/>
    <n v="0.08"/>
    <s v="Regular Air"/>
    <n v="175.03"/>
    <n v="26.38"/>
    <n v="5.58"/>
    <s v="Dianna Vittorini"/>
    <s v="Yukon"/>
    <x v="7"/>
    <s v="Corporate"/>
    <s v="Office Supplies"/>
    <x v="12"/>
    <x v="4"/>
    <d v="2009-05-26T00:00:00"/>
    <s v="26-May-2009"/>
  </r>
  <r>
    <n v="13569"/>
    <d v="2011-04-10T00:00:00"/>
    <s v="Critical"/>
    <s v="10-Apr-2011"/>
    <n v="13"/>
    <n v="563.17999999999995"/>
    <n v="0.02"/>
    <s v="Express Air"/>
    <n v="67.98"/>
    <n v="40.98"/>
    <n v="7.2"/>
    <s v="Carlos Meador"/>
    <s v="Yukon"/>
    <x v="7"/>
    <s v="Corporate"/>
    <s v="Office Supplies"/>
    <x v="5"/>
    <x v="18"/>
    <d v="2011-04-12T00:00:00"/>
    <s v="12-Apr-2011"/>
  </r>
  <r>
    <n v="40098"/>
    <d v="2012-02-05T00:00:00"/>
    <s v="Low"/>
    <s v="05-Feb-2012"/>
    <n v="46"/>
    <n v="557.35"/>
    <n v="0"/>
    <s v="Regular Air"/>
    <n v="-9.19"/>
    <n v="11.5"/>
    <n v="7.19"/>
    <s v="Dianna Vittorini"/>
    <s v="Yukon"/>
    <x v="7"/>
    <s v="Corporate"/>
    <s v="Office Supplies"/>
    <x v="1"/>
    <x v="27"/>
    <d v="2012-02-07T00:00:00"/>
    <s v="07-Feb-2012"/>
  </r>
  <r>
    <n v="25157"/>
    <d v="2010-05-25T00:00:00"/>
    <s v="Not Specified"/>
    <s v="25-May-2010"/>
    <n v="24"/>
    <n v="545.38"/>
    <n v="0.02"/>
    <s v="Regular Air"/>
    <n v="89.6"/>
    <n v="22.84"/>
    <n v="8.18"/>
    <s v="Tony Molinari"/>
    <s v="Yukon"/>
    <x v="7"/>
    <s v="Corporate"/>
    <s v="Office Supplies"/>
    <x v="12"/>
    <x v="4"/>
    <d v="2010-05-27T00:00:00"/>
    <s v="27-May-2010"/>
  </r>
  <r>
    <n v="8576"/>
    <d v="2009-01-09T00:00:00"/>
    <s v="High"/>
    <s v="09-Jan-2009"/>
    <n v="43"/>
    <n v="541.45000000000005"/>
    <n v="0"/>
    <s v="Express Air"/>
    <n v="-164.25"/>
    <n v="11.66"/>
    <n v="8.99"/>
    <s v="Cynthia Voltz"/>
    <s v="Yukon"/>
    <x v="7"/>
    <s v="Corporate"/>
    <s v="Office Supplies"/>
    <x v="13"/>
    <x v="14"/>
    <d v="2009-01-11T00:00:00"/>
    <s v="11-Jan-2009"/>
  </r>
  <r>
    <n v="18849"/>
    <d v="2012-08-05T00:00:00"/>
    <s v="High"/>
    <s v="05-Aug-2012"/>
    <n v="39"/>
    <n v="539.6"/>
    <n v="0.06"/>
    <s v="Regular Air"/>
    <n v="-6.5"/>
    <n v="13.79"/>
    <n v="8.7799999999999994"/>
    <s v="Deanra Eno"/>
    <s v="Yukon"/>
    <x v="7"/>
    <s v="Corporate"/>
    <s v="Furniture"/>
    <x v="7"/>
    <x v="21"/>
    <d v="2012-08-07T00:00:00"/>
    <s v="07-Aug-2012"/>
  </r>
  <r>
    <n v="224"/>
    <d v="2009-06-17T00:00:00"/>
    <s v="Not Specified"/>
    <s v="17-Jun-2009"/>
    <n v="33"/>
    <n v="528.5"/>
    <n v="0.04"/>
    <s v="Regular Air"/>
    <n v="-149.91999999999999"/>
    <n v="15.42"/>
    <n v="10.68"/>
    <s v="Bart Folk"/>
    <s v="Yukon"/>
    <x v="7"/>
    <s v="Corporate"/>
    <s v="Office Supplies"/>
    <x v="4"/>
    <x v="15"/>
    <d v="2009-06-18T00:00:00"/>
    <s v="18-Jun-2009"/>
  </r>
  <r>
    <n v="10052"/>
    <d v="2009-09-07T00:00:00"/>
    <s v="Not Specified"/>
    <s v="07-Sep-2009"/>
    <n v="28"/>
    <n v="517.91"/>
    <n v="0.08"/>
    <s v="Regular Air"/>
    <n v="107.11"/>
    <n v="19.899999999999999"/>
    <n v="5.29"/>
    <s v="Dan Campbell"/>
    <s v="Yukon"/>
    <x v="7"/>
    <s v="Corporate"/>
    <s v="Office Supplies"/>
    <x v="5"/>
    <x v="27"/>
    <d v="2009-09-09T00:00:00"/>
    <s v="09-Sep-2009"/>
  </r>
  <r>
    <n v="13218"/>
    <d v="2009-05-16T00:00:00"/>
    <s v="High"/>
    <s v="16-May-2009"/>
    <n v="18"/>
    <n v="513.08000000000004"/>
    <n v="0.03"/>
    <s v="Regular Air"/>
    <n v="198.94"/>
    <n v="28.53"/>
    <n v="1.49"/>
    <s v="Victoria Pisteka"/>
    <s v="Yukon"/>
    <x v="7"/>
    <s v="Corporate"/>
    <s v="Office Supplies"/>
    <x v="1"/>
    <x v="1"/>
    <d v="2009-05-17T00:00:00"/>
    <s v="17-May-2009"/>
  </r>
  <r>
    <n v="28354"/>
    <d v="2009-03-27T00:00:00"/>
    <s v="Low"/>
    <s v="27-Mar-2009"/>
    <n v="34"/>
    <n v="507.66"/>
    <n v="0.1"/>
    <s v="Regular Air"/>
    <n v="106.71"/>
    <n v="15.98"/>
    <n v="4"/>
    <s v="Dave Kipp"/>
    <s v="Yukon"/>
    <x v="7"/>
    <s v="Corporate"/>
    <s v="Technology"/>
    <x v="11"/>
    <x v="7"/>
    <d v="2009-04-01T00:00:00"/>
    <s v="01-Apr-2009"/>
  </r>
  <r>
    <n v="23297"/>
    <d v="2012-07-02T00:00:00"/>
    <s v="Critical"/>
    <s v="02-Jul-2012"/>
    <n v="20"/>
    <n v="498.68"/>
    <n v="0.06"/>
    <s v="Regular Air"/>
    <n v="79.52"/>
    <n v="25.98"/>
    <n v="5.37"/>
    <s v="Adam Hart"/>
    <s v="Yukon"/>
    <x v="7"/>
    <s v="Corporate"/>
    <s v="Office Supplies"/>
    <x v="5"/>
    <x v="31"/>
    <d v="2012-07-04T00:00:00"/>
    <s v="04-Jul-2012"/>
  </r>
  <r>
    <n v="40098"/>
    <d v="2012-02-05T00:00:00"/>
    <s v="Low"/>
    <s v="05-Feb-2012"/>
    <n v="50"/>
    <n v="490.87"/>
    <n v="0"/>
    <s v="Regular Air"/>
    <n v="190.93"/>
    <n v="9.68"/>
    <n v="2.0299999999999998"/>
    <s v="Dianna Vittorini"/>
    <s v="Yukon"/>
    <x v="7"/>
    <s v="Corporate"/>
    <s v="Office Supplies"/>
    <x v="12"/>
    <x v="7"/>
    <d v="2012-02-09T00:00:00"/>
    <s v="09-Feb-2012"/>
  </r>
  <r>
    <n v="7812"/>
    <d v="2011-04-20T00:00:00"/>
    <s v="Low"/>
    <s v="20-Apr-2011"/>
    <n v="17"/>
    <n v="475.9"/>
    <n v="0.04"/>
    <s v="Regular Air"/>
    <n v="-5.18"/>
    <n v="27.42"/>
    <n v="19.46"/>
    <s v="Karl Brown"/>
    <s v="Yukon"/>
    <x v="7"/>
    <s v="Corporate"/>
    <s v="Furniture"/>
    <x v="7"/>
    <x v="47"/>
    <d v="2011-04-27T00:00:00"/>
    <s v="27-Apr-2011"/>
  </r>
  <r>
    <n v="18849"/>
    <d v="2012-08-05T00:00:00"/>
    <s v="High"/>
    <s v="05-Aug-2012"/>
    <n v="43"/>
    <n v="471.87"/>
    <n v="0.05"/>
    <s v="Regular Air"/>
    <n v="52.27"/>
    <n v="11.09"/>
    <n v="5.25"/>
    <s v="Deanra Eno"/>
    <s v="Yukon"/>
    <x v="7"/>
    <s v="Corporate"/>
    <s v="Office Supplies"/>
    <x v="15"/>
    <x v="10"/>
    <d v="2012-08-05T00:00:00"/>
    <s v="05-Aug-2012"/>
  </r>
  <r>
    <n v="10213"/>
    <d v="2011-02-17T00:00:00"/>
    <s v="High"/>
    <s v="17-Feb-2011"/>
    <n v="12"/>
    <n v="464.57"/>
    <n v="0.04"/>
    <s v="Regular Air"/>
    <n v="-79.180000000000007"/>
    <n v="39.979999999999997"/>
    <n v="4"/>
    <s v="Dianna Vittorini"/>
    <s v="Yukon"/>
    <x v="7"/>
    <s v="Corporate"/>
    <s v="Technology"/>
    <x v="11"/>
    <x v="3"/>
    <d v="2011-02-19T00:00:00"/>
    <s v="19-Feb-2011"/>
  </r>
  <r>
    <n v="4804"/>
    <d v="2012-01-27T00:00:00"/>
    <s v="High"/>
    <s v="27-Jan-2012"/>
    <n v="13"/>
    <n v="463.83"/>
    <n v="0"/>
    <s v="Regular Air"/>
    <n v="103.26"/>
    <n v="33.979999999999997"/>
    <n v="1.99"/>
    <s v="Kean Thornton"/>
    <s v="Yukon"/>
    <x v="7"/>
    <s v="Corporate"/>
    <s v="Technology"/>
    <x v="11"/>
    <x v="45"/>
    <d v="2012-01-28T00:00:00"/>
    <s v="28-Jan-2012"/>
  </r>
  <r>
    <n v="13602"/>
    <d v="2009-01-13T00:00:00"/>
    <s v="Low"/>
    <s v="13-Jan-2009"/>
    <n v="3"/>
    <n v="445.34"/>
    <n v="0.03"/>
    <s v="Delivery Truck"/>
    <n v="-377.9"/>
    <n v="145.44999999999999"/>
    <n v="17.850000000000001"/>
    <s v="Brian Stugart"/>
    <s v="Yukon"/>
    <x v="7"/>
    <s v="Corporate"/>
    <s v="Technology"/>
    <x v="0"/>
    <x v="0"/>
    <d v="2009-01-18T00:00:00"/>
    <s v="18-Jan-2009"/>
  </r>
  <r>
    <n v="23427"/>
    <d v="2011-08-08T00:00:00"/>
    <s v="Low"/>
    <s v="08-Aug-2011"/>
    <n v="30"/>
    <n v="442.76"/>
    <n v="0.09"/>
    <s v="Regular Air"/>
    <n v="-17.11"/>
    <n v="15.01"/>
    <n v="8.4"/>
    <s v="Cindy Chapman"/>
    <s v="Yukon"/>
    <x v="7"/>
    <s v="Corporate"/>
    <s v="Office Supplies"/>
    <x v="1"/>
    <x v="4"/>
    <d v="2011-08-15T00:00:00"/>
    <s v="15-Aug-2011"/>
  </r>
  <r>
    <n v="22466"/>
    <d v="2012-03-28T00:00:00"/>
    <s v="Low"/>
    <s v="28-Mar-2012"/>
    <n v="40"/>
    <n v="430.19"/>
    <n v="0.02"/>
    <s v="Regular Air"/>
    <n v="181.26"/>
    <n v="10.31"/>
    <n v="1.79"/>
    <s v="Tamara Willingham"/>
    <s v="Yukon"/>
    <x v="7"/>
    <s v="Corporate"/>
    <s v="Office Supplies"/>
    <x v="12"/>
    <x v="1"/>
    <d v="2012-04-04T00:00:00"/>
    <s v="04-Apr-2012"/>
  </r>
  <r>
    <n v="36640"/>
    <d v="2011-11-18T00:00:00"/>
    <s v="Not Specified"/>
    <s v="18-Nov-2011"/>
    <n v="18"/>
    <n v="416.39"/>
    <n v="0.06"/>
    <s v="Express Air"/>
    <n v="119.47"/>
    <n v="22.24"/>
    <n v="1.99"/>
    <s v="Benjamin Patterson"/>
    <s v="Yukon"/>
    <x v="7"/>
    <s v="Corporate"/>
    <s v="Technology"/>
    <x v="11"/>
    <x v="21"/>
    <d v="2011-11-20T00:00:00"/>
    <s v="20-Nov-2011"/>
  </r>
  <r>
    <n v="4230"/>
    <d v="2012-03-03T00:00:00"/>
    <s v="Critical"/>
    <s v="03-Mar-2012"/>
    <n v="18"/>
    <n v="409.16"/>
    <n v="0.05"/>
    <s v="Regular Air"/>
    <n v="21.96"/>
    <n v="22.72"/>
    <n v="8.99"/>
    <s v="Tamara Willingham"/>
    <s v="Yukon"/>
    <x v="7"/>
    <s v="Corporate"/>
    <s v="Furniture"/>
    <x v="7"/>
    <x v="47"/>
    <d v="2012-03-04T00:00:00"/>
    <s v="04-Mar-2012"/>
  </r>
  <r>
    <n v="15616"/>
    <d v="2012-03-23T00:00:00"/>
    <s v="Critical"/>
    <s v="23-Mar-2012"/>
    <n v="12"/>
    <n v="386.71"/>
    <n v="0.01"/>
    <s v="Express Air"/>
    <n v="-84.12"/>
    <n v="30.98"/>
    <n v="6.5"/>
    <s v="Carlos Meador"/>
    <s v="Yukon"/>
    <x v="7"/>
    <s v="Corporate"/>
    <s v="Technology"/>
    <x v="11"/>
    <x v="28"/>
    <d v="2012-03-24T00:00:00"/>
    <s v="24-Mar-2012"/>
  </r>
  <r>
    <n v="26274"/>
    <d v="2012-06-12T00:00:00"/>
    <s v="Not Specified"/>
    <s v="12-Jun-2012"/>
    <n v="41"/>
    <n v="377.83"/>
    <n v="0.06"/>
    <s v="Regular Air"/>
    <n v="122.06"/>
    <n v="9.11"/>
    <n v="2.15"/>
    <s v="Alan Schoenberger"/>
    <s v="Yukon"/>
    <x v="7"/>
    <s v="Corporate"/>
    <s v="Office Supplies"/>
    <x v="12"/>
    <x v="27"/>
    <d v="2012-06-13T00:00:00"/>
    <s v="13-Jun-2012"/>
  </r>
  <r>
    <n v="23943"/>
    <d v="2011-06-23T00:00:00"/>
    <s v="Critical"/>
    <s v="23-Jun-2011"/>
    <n v="24"/>
    <n v="376.53"/>
    <n v="0.03"/>
    <s v="Regular Air"/>
    <n v="3.44"/>
    <n v="15.94"/>
    <n v="5.45"/>
    <s v="Cindy Stewart"/>
    <s v="Yukon"/>
    <x v="7"/>
    <s v="Corporate"/>
    <s v="Office Supplies"/>
    <x v="13"/>
    <x v="20"/>
    <d v="2011-06-25T00:00:00"/>
    <s v="25-Jun-2011"/>
  </r>
  <r>
    <n v="23361"/>
    <d v="2010-07-03T00:00:00"/>
    <s v="Critical"/>
    <s v="03-Jul-2010"/>
    <n v="7"/>
    <n v="373.27749999999997"/>
    <n v="7.0000000000000007E-2"/>
    <s v="Regular Air"/>
    <n v="-204.93"/>
    <n v="65.989999999999995"/>
    <n v="5.26"/>
    <s v="Benjamin Patterson"/>
    <s v="Yukon"/>
    <x v="7"/>
    <s v="Corporate"/>
    <s v="Technology"/>
    <x v="10"/>
    <x v="0"/>
    <d v="2010-07-03T00:00:00"/>
    <s v="03-Jul-2010"/>
  </r>
  <r>
    <n v="14630"/>
    <d v="2012-10-16T00:00:00"/>
    <s v="Low"/>
    <s v="16-Oct-2012"/>
    <n v="17"/>
    <n v="363.54"/>
    <n v="0.08"/>
    <s v="Regular Air"/>
    <n v="4.75"/>
    <n v="22.01"/>
    <n v="5.53"/>
    <s v="Muhammed Lee"/>
    <s v="Yukon"/>
    <x v="7"/>
    <s v="Corporate"/>
    <s v="Office Supplies"/>
    <x v="13"/>
    <x v="14"/>
    <d v="2012-10-16T00:00:00"/>
    <s v="16-Oct-2012"/>
  </r>
  <r>
    <n v="5472"/>
    <d v="2010-04-10T00:00:00"/>
    <s v="Low"/>
    <s v="10-Apr-2010"/>
    <n v="27"/>
    <n v="339.03"/>
    <n v="0.09"/>
    <s v="Regular Air"/>
    <n v="-24.44"/>
    <n v="13.48"/>
    <n v="4.51"/>
    <s v="Karl Brown"/>
    <s v="Yukon"/>
    <x v="7"/>
    <s v="Corporate"/>
    <s v="Office Supplies"/>
    <x v="4"/>
    <x v="14"/>
    <d v="2010-04-14T00:00:00"/>
    <s v="14-Apr-2010"/>
  </r>
  <r>
    <n v="50118"/>
    <d v="2010-03-18T00:00:00"/>
    <s v="Not Specified"/>
    <s v="18-Mar-2010"/>
    <n v="19"/>
    <n v="337.38"/>
    <n v="0"/>
    <s v="Delivery Truck"/>
    <n v="-409.79"/>
    <n v="15.23"/>
    <n v="27.75"/>
    <s v="Dianna Vittorini"/>
    <s v="Yukon"/>
    <x v="7"/>
    <s v="Corporate"/>
    <s v="Furniture"/>
    <x v="3"/>
    <x v="40"/>
    <d v="2010-03-19T00:00:00"/>
    <s v="19-Mar-2010"/>
  </r>
  <r>
    <n v="7458"/>
    <d v="2012-04-04T00:00:00"/>
    <s v="Critical"/>
    <s v="04-Apr-2012"/>
    <n v="9"/>
    <n v="337.34"/>
    <n v="0.06"/>
    <s v="Regular Air"/>
    <n v="-69.84"/>
    <n v="39.479999999999997"/>
    <n v="1.99"/>
    <s v="Karen Carlisle"/>
    <s v="Yukon"/>
    <x v="7"/>
    <s v="Corporate"/>
    <s v="Technology"/>
    <x v="11"/>
    <x v="41"/>
    <d v="2012-04-06T00:00:00"/>
    <s v="06-Apr-2012"/>
  </r>
  <r>
    <n v="22914"/>
    <d v="2012-01-13T00:00:00"/>
    <s v="Critical"/>
    <s v="13-Jan-2012"/>
    <n v="30"/>
    <n v="336.65"/>
    <n v="7.0000000000000007E-2"/>
    <s v="Regular Air"/>
    <n v="-71.05"/>
    <n v="11.7"/>
    <n v="6.96"/>
    <s v="Adam Hart"/>
    <s v="Yukon"/>
    <x v="7"/>
    <s v="Corporate"/>
    <s v="Office Supplies"/>
    <x v="5"/>
    <x v="31"/>
    <d v="2012-01-14T00:00:00"/>
    <s v="14-Jan-2012"/>
  </r>
  <r>
    <n v="2436"/>
    <d v="2011-09-10T00:00:00"/>
    <s v="Not Specified"/>
    <s v="10-Sep-2011"/>
    <n v="14"/>
    <n v="330.21"/>
    <n v="7.0000000000000007E-2"/>
    <s v="Express Air"/>
    <n v="83.24"/>
    <n v="22.84"/>
    <n v="5.47"/>
    <s v="Adam Hart"/>
    <s v="Yukon"/>
    <x v="7"/>
    <s v="Corporate"/>
    <s v="Office Supplies"/>
    <x v="12"/>
    <x v="4"/>
    <d v="2011-09-13T00:00:00"/>
    <s v="13-Sep-2011"/>
  </r>
  <r>
    <n v="18275"/>
    <d v="2012-01-10T00:00:00"/>
    <s v="Low"/>
    <s v="10-Jan-2012"/>
    <n v="25"/>
    <n v="322.73"/>
    <n v="7.0000000000000007E-2"/>
    <s v="Regular Air"/>
    <n v="101.83"/>
    <n v="13.4"/>
    <n v="4.95"/>
    <s v="Helen Andreada"/>
    <s v="Yukon"/>
    <x v="7"/>
    <s v="Corporate"/>
    <s v="Furniture"/>
    <x v="7"/>
    <x v="7"/>
    <d v="2012-01-14T00:00:00"/>
    <s v="14-Jan-2012"/>
  </r>
  <r>
    <n v="10563"/>
    <d v="2010-09-29T00:00:00"/>
    <s v="Critical"/>
    <s v="29-Sep-2010"/>
    <n v="50"/>
    <n v="312.42"/>
    <n v="0.08"/>
    <s v="Regular Air"/>
    <n v="-90.42"/>
    <n v="6.48"/>
    <n v="5.4"/>
    <s v="Julia Barnett"/>
    <s v="Yukon"/>
    <x v="7"/>
    <s v="Corporate"/>
    <s v="Office Supplies"/>
    <x v="12"/>
    <x v="7"/>
    <d v="2010-10-01T00:00:00"/>
    <s v="01-Oct-2010"/>
  </r>
  <r>
    <n v="12099"/>
    <d v="2009-09-11T00:00:00"/>
    <s v="Critical"/>
    <s v="11-Sep-2009"/>
    <n v="48"/>
    <n v="308.81"/>
    <n v="0.01"/>
    <s v="Regular Air"/>
    <n v="128.28"/>
    <n v="6.35"/>
    <n v="1.02"/>
    <s v="Cindy Stewart"/>
    <s v="Yukon"/>
    <x v="7"/>
    <s v="Corporate"/>
    <s v="Office Supplies"/>
    <x v="12"/>
    <x v="4"/>
    <d v="2009-09-13T00:00:00"/>
    <s v="13-Sep-2009"/>
  </r>
  <r>
    <n v="30469"/>
    <d v="2012-12-25T00:00:00"/>
    <s v="Not Specified"/>
    <s v="25-Dec-2012"/>
    <n v="46"/>
    <n v="304.26"/>
    <n v="0.1"/>
    <s v="Regular Air"/>
    <n v="28.93"/>
    <n v="7.08"/>
    <n v="2.35"/>
    <s v="Cindy Chapman"/>
    <s v="Yukon"/>
    <x v="7"/>
    <s v="Corporate"/>
    <s v="Office Supplies"/>
    <x v="13"/>
    <x v="26"/>
    <d v="2012-12-27T00:00:00"/>
    <s v="27-Dec-2012"/>
  </r>
  <r>
    <n v="23366"/>
    <d v="2010-11-19T00:00:00"/>
    <s v="Not Specified"/>
    <s v="19-Nov-2010"/>
    <n v="5"/>
    <n v="297.85000000000002"/>
    <n v="0.04"/>
    <s v="Regular Air"/>
    <n v="-69.89"/>
    <n v="54.1"/>
    <n v="19.989999999999998"/>
    <s v="Tim Taslimi"/>
    <s v="Yukon"/>
    <x v="7"/>
    <s v="Corporate"/>
    <s v="Office Supplies"/>
    <x v="4"/>
    <x v="14"/>
    <d v="2010-11-19T00:00:00"/>
    <s v="19-Nov-2010"/>
  </r>
  <r>
    <n v="26786"/>
    <d v="2010-04-07T00:00:00"/>
    <s v="Medium"/>
    <s v="07-Apr-2010"/>
    <n v="29"/>
    <n v="296.94"/>
    <n v="0.08"/>
    <s v="Regular Air"/>
    <n v="-25.41"/>
    <n v="10.98"/>
    <n v="3.99"/>
    <s v="Evan Henry"/>
    <s v="Yukon"/>
    <x v="7"/>
    <s v="Corporate"/>
    <s v="Office Supplies"/>
    <x v="5"/>
    <x v="15"/>
    <d v="2010-04-08T00:00:00"/>
    <s v="08-Apr-2010"/>
  </r>
  <r>
    <n v="23555"/>
    <d v="2012-12-11T00:00:00"/>
    <s v="High"/>
    <s v="11-Dec-2012"/>
    <n v="5"/>
    <n v="284.45249999999999"/>
    <n v="0.06"/>
    <s v="Regular Air"/>
    <n v="-254.78"/>
    <n v="65.989999999999995"/>
    <n v="8.99"/>
    <s v="Adam Hart"/>
    <s v="Yukon"/>
    <x v="7"/>
    <s v="Corporate"/>
    <s v="Technology"/>
    <x v="10"/>
    <x v="15"/>
    <d v="2012-12-12T00:00:00"/>
    <s v="12-Dec-2012"/>
  </r>
  <r>
    <n v="18466"/>
    <d v="2012-05-21T00:00:00"/>
    <s v="Low"/>
    <s v="21-May-2012"/>
    <n v="25"/>
    <n v="270.16000000000003"/>
    <n v="0.09"/>
    <s v="Regular Air"/>
    <n v="16.920000000000002"/>
    <n v="11.09"/>
    <n v="5.25"/>
    <s v="Deanra Eno"/>
    <s v="Yukon"/>
    <x v="7"/>
    <s v="Corporate"/>
    <s v="Office Supplies"/>
    <x v="15"/>
    <x v="10"/>
    <d v="2012-05-30T00:00:00"/>
    <s v="30-May-2012"/>
  </r>
  <r>
    <n v="24548"/>
    <d v="2011-03-14T00:00:00"/>
    <s v="High"/>
    <s v="14-Mar-2011"/>
    <n v="32"/>
    <n v="269.3"/>
    <n v="0.04"/>
    <s v="Express Air"/>
    <n v="22.38"/>
    <n v="7.96"/>
    <n v="4.95"/>
    <s v="Deanra Eno"/>
    <s v="Yukon"/>
    <x v="7"/>
    <s v="Corporate"/>
    <s v="Furniture"/>
    <x v="7"/>
    <x v="25"/>
    <d v="2011-03-15T00:00:00"/>
    <s v="15-Mar-2011"/>
  </r>
  <r>
    <n v="26464"/>
    <d v="2011-12-11T00:00:00"/>
    <s v="High"/>
    <s v="11-Dec-2011"/>
    <n v="25"/>
    <n v="268.58"/>
    <n v="0.03"/>
    <s v="Regular Air"/>
    <n v="-26.33"/>
    <n v="10.89"/>
    <n v="4.5"/>
    <s v="Tamara Willingham"/>
    <s v="Yukon"/>
    <x v="7"/>
    <s v="Corporate"/>
    <s v="Office Supplies"/>
    <x v="5"/>
    <x v="14"/>
    <d v="2011-12-11T00:00:00"/>
    <s v="11-Dec-2011"/>
  </r>
  <r>
    <n v="224"/>
    <d v="2009-06-17T00:00:00"/>
    <s v="Not Specified"/>
    <s v="17-Jun-2009"/>
    <n v="44"/>
    <n v="267.85000000000002"/>
    <n v="0.04"/>
    <s v="Regular Air"/>
    <n v="-65.430000000000007"/>
    <n v="5.98"/>
    <n v="5.15"/>
    <s v="Bart Folk"/>
    <s v="Yukon"/>
    <x v="7"/>
    <s v="Corporate"/>
    <s v="Office Supplies"/>
    <x v="12"/>
    <x v="10"/>
    <d v="2009-06-18T00:00:00"/>
    <s v="18-Jun-2009"/>
  </r>
  <r>
    <n v="26437"/>
    <d v="2011-11-28T00:00:00"/>
    <s v="Critical"/>
    <s v="28-Nov-2011"/>
    <n v="48"/>
    <n v="254.51"/>
    <n v="0.08"/>
    <s v="Regular Air"/>
    <n v="49.05"/>
    <n v="5.58"/>
    <n v="0.7"/>
    <s v="Sara Luxemburg"/>
    <s v="Yukon"/>
    <x v="7"/>
    <s v="Corporate"/>
    <s v="Office Supplies"/>
    <x v="13"/>
    <x v="18"/>
    <d v="2011-11-30T00:00:00"/>
    <s v="30-Nov-2011"/>
  </r>
  <r>
    <n v="20864"/>
    <d v="2011-12-06T00:00:00"/>
    <s v="High"/>
    <s v="06-Dec-2011"/>
    <n v="19"/>
    <n v="251.45"/>
    <n v="0.06"/>
    <s v="Regular Air"/>
    <n v="90"/>
    <n v="13.4"/>
    <n v="4.95"/>
    <s v="Dianna Vittorini"/>
    <s v="Yukon"/>
    <x v="7"/>
    <s v="Corporate"/>
    <s v="Furniture"/>
    <x v="7"/>
    <x v="7"/>
    <d v="2011-12-08T00:00:00"/>
    <s v="08-Dec-2011"/>
  </r>
  <r>
    <n v="27712"/>
    <d v="2010-03-04T00:00:00"/>
    <s v="Low"/>
    <s v="04-Mar-2010"/>
    <n v="20"/>
    <n v="246.63"/>
    <n v="0.08"/>
    <s v="Regular Air"/>
    <n v="31.54"/>
    <n v="12.28"/>
    <n v="4.8600000000000003"/>
    <s v="Speros Goranitis"/>
    <s v="Yukon"/>
    <x v="7"/>
    <s v="Corporate"/>
    <s v="Office Supplies"/>
    <x v="12"/>
    <x v="1"/>
    <d v="2010-03-11T00:00:00"/>
    <s v="11-Mar-2010"/>
  </r>
  <r>
    <n v="22752"/>
    <d v="2012-12-07T00:00:00"/>
    <s v="Low"/>
    <s v="07-Dec-2012"/>
    <n v="2"/>
    <n v="238.76"/>
    <n v="0.1"/>
    <s v="Regular Air"/>
    <n v="-235.21"/>
    <n v="110.98"/>
    <n v="35"/>
    <s v="Barry Weirich"/>
    <s v="Yukon"/>
    <x v="7"/>
    <s v="Corporate"/>
    <s v="Office Supplies"/>
    <x v="4"/>
    <x v="5"/>
    <d v="2012-12-12T00:00:00"/>
    <s v="12-Dec-2012"/>
  </r>
  <r>
    <n v="30885"/>
    <d v="2010-06-21T00:00:00"/>
    <s v="High"/>
    <s v="21-Jun-2010"/>
    <n v="24"/>
    <n v="234.24"/>
    <n v="0.09"/>
    <s v="Regular Air"/>
    <n v="-151.80000000000001"/>
    <n v="9.7100000000000009"/>
    <n v="9.4499999999999993"/>
    <s v="Victoria Pisteka"/>
    <s v="Yukon"/>
    <x v="7"/>
    <s v="Corporate"/>
    <s v="Office Supplies"/>
    <x v="4"/>
    <x v="18"/>
    <d v="2010-06-22T00:00:00"/>
    <s v="22-Jun-2010"/>
  </r>
  <r>
    <n v="26631"/>
    <d v="2010-11-01T00:00:00"/>
    <s v="Critical"/>
    <s v="01-Nov-2010"/>
    <n v="37"/>
    <n v="231.65"/>
    <n v="0"/>
    <s v="Regular Air"/>
    <n v="-241.28"/>
    <n v="5.98"/>
    <n v="10.39"/>
    <s v="Jeremy Pistek"/>
    <s v="Yukon"/>
    <x v="7"/>
    <s v="Corporate"/>
    <s v="Office Supplies"/>
    <x v="12"/>
    <x v="27"/>
    <d v="2010-11-01T00:00:00"/>
    <s v="01-Nov-2010"/>
  </r>
  <r>
    <n v="929"/>
    <d v="2012-10-01T00:00:00"/>
    <s v="High"/>
    <s v="01-Oct-2012"/>
    <n v="21"/>
    <n v="227.66"/>
    <n v="0.04"/>
    <s v="Regular Air"/>
    <n v="-100.16"/>
    <n v="10.97"/>
    <n v="6.5"/>
    <s v="Luke Foster"/>
    <s v="Yukon"/>
    <x v="7"/>
    <s v="Corporate"/>
    <s v="Technology"/>
    <x v="11"/>
    <x v="28"/>
    <d v="2012-10-04T00:00:00"/>
    <s v="04-Oct-2012"/>
  </r>
  <r>
    <n v="5472"/>
    <d v="2010-04-10T00:00:00"/>
    <s v="Low"/>
    <s v="10-Apr-2010"/>
    <n v="32"/>
    <n v="216.08"/>
    <n v="0"/>
    <s v="Regular Air"/>
    <n v="-84.33"/>
    <n v="6.48"/>
    <n v="6.65"/>
    <s v="Karl Brown"/>
    <s v="Yukon"/>
    <x v="7"/>
    <s v="Corporate"/>
    <s v="Office Supplies"/>
    <x v="12"/>
    <x v="10"/>
    <d v="2010-04-12T00:00:00"/>
    <s v="12-Apr-2010"/>
  </r>
  <r>
    <n v="25509"/>
    <d v="2009-05-22T00:00:00"/>
    <s v="Critical"/>
    <s v="22-May-2009"/>
    <n v="43"/>
    <n v="212.28"/>
    <n v="0.06"/>
    <s v="Regular Air"/>
    <n v="-103.22"/>
    <n v="4.9800000000000004"/>
    <n v="4.95"/>
    <s v="Quincy Jones"/>
    <s v="Yukon"/>
    <x v="7"/>
    <s v="Corporate"/>
    <s v="Office Supplies"/>
    <x v="1"/>
    <x v="7"/>
    <d v="2009-05-24T00:00:00"/>
    <s v="24-May-2009"/>
  </r>
  <r>
    <n v="19040"/>
    <d v="2011-12-19T00:00:00"/>
    <s v="High"/>
    <s v="19-Dec-2011"/>
    <n v="10"/>
    <n v="211.97"/>
    <n v="0.06"/>
    <s v="Regular Air"/>
    <n v="-46.83"/>
    <n v="21.38"/>
    <n v="8.99"/>
    <s v="Adam Hart"/>
    <s v="Yukon"/>
    <x v="7"/>
    <s v="Corporate"/>
    <s v="Office Supplies"/>
    <x v="13"/>
    <x v="14"/>
    <d v="2011-12-20T00:00:00"/>
    <s v="20-Dec-2011"/>
  </r>
  <r>
    <n v="26689"/>
    <d v="2009-09-29T00:00:00"/>
    <s v="High"/>
    <s v="29-Sep-2009"/>
    <n v="2"/>
    <n v="198.44"/>
    <n v="0.01"/>
    <s v="Regular Air"/>
    <n v="-87.46"/>
    <n v="99.23"/>
    <n v="8.99"/>
    <s v="Tamara Willingham"/>
    <s v="Yukon"/>
    <x v="7"/>
    <s v="Corporate"/>
    <s v="Furniture"/>
    <x v="7"/>
    <x v="2"/>
    <d v="2009-10-02T00:00:00"/>
    <s v="02-Oct-2009"/>
  </r>
  <r>
    <n v="10948"/>
    <d v="2012-08-13T00:00:00"/>
    <s v="Medium"/>
    <s v="13-Aug-2012"/>
    <n v="50"/>
    <n v="193.11"/>
    <n v="0.08"/>
    <s v="Regular Air"/>
    <n v="-263.76"/>
    <n v="3.89"/>
    <n v="7.01"/>
    <s v="Dan Campbell"/>
    <s v="Yukon"/>
    <x v="7"/>
    <s v="Corporate"/>
    <s v="Office Supplies"/>
    <x v="1"/>
    <x v="7"/>
    <d v="2012-08-13T00:00:00"/>
    <s v="13-Aug-2012"/>
  </r>
  <r>
    <n v="14311"/>
    <d v="2009-08-01T00:00:00"/>
    <s v="Critical"/>
    <s v="01-Aug-2009"/>
    <n v="30"/>
    <n v="192.41"/>
    <n v="0.03"/>
    <s v="Regular Air"/>
    <n v="-55.95"/>
    <n v="6.37"/>
    <n v="5.19"/>
    <s v="Brian Stugart"/>
    <s v="Yukon"/>
    <x v="7"/>
    <s v="Corporate"/>
    <s v="Office Supplies"/>
    <x v="1"/>
    <x v="1"/>
    <d v="2009-08-02T00:00:00"/>
    <s v="02-Aug-2009"/>
  </r>
  <r>
    <n v="8868"/>
    <d v="2009-01-28T00:00:00"/>
    <s v="Low"/>
    <s v="28-Jan-2009"/>
    <n v="3"/>
    <n v="190.45"/>
    <n v="0.02"/>
    <s v="Regular Air"/>
    <n v="-44.05"/>
    <n v="59.98"/>
    <n v="3.99"/>
    <s v="Cindy Chapman"/>
    <s v="Yukon"/>
    <x v="7"/>
    <s v="Corporate"/>
    <s v="Office Supplies"/>
    <x v="5"/>
    <x v="6"/>
    <d v="2009-02-06T00:00:00"/>
    <s v="06-Feb-2009"/>
  </r>
  <r>
    <n v="224"/>
    <d v="2009-06-17T00:00:00"/>
    <s v="Not Specified"/>
    <s v="17-Jun-2009"/>
    <n v="25"/>
    <n v="184.86"/>
    <n v="0.09"/>
    <s v="Regular Air"/>
    <n v="-33.950000000000003"/>
    <n v="7.38"/>
    <n v="5.21"/>
    <s v="Bart Folk"/>
    <s v="Yukon"/>
    <x v="7"/>
    <s v="Corporate"/>
    <s v="Furniture"/>
    <x v="7"/>
    <x v="0"/>
    <d v="2009-06-18T00:00:00"/>
    <s v="18-Jun-2009"/>
  </r>
  <r>
    <n v="39111"/>
    <d v="2011-07-25T00:00:00"/>
    <s v="Medium"/>
    <s v="25-Jul-2011"/>
    <n v="1"/>
    <n v="182.4"/>
    <n v="0.09"/>
    <s v="Regular Air"/>
    <n v="-114.22"/>
    <n v="178.47"/>
    <n v="19.989999999999998"/>
    <s v="Cindy Stewart"/>
    <s v="Yukon"/>
    <x v="7"/>
    <s v="Corporate"/>
    <s v="Office Supplies"/>
    <x v="4"/>
    <x v="20"/>
    <d v="2011-07-28T00:00:00"/>
    <s v="28-Jul-2011"/>
  </r>
  <r>
    <n v="8868"/>
    <d v="2009-01-28T00:00:00"/>
    <s v="Low"/>
    <s v="28-Jan-2009"/>
    <n v="34"/>
    <n v="179.99"/>
    <n v="0.03"/>
    <s v="Regular Air"/>
    <n v="-102.27"/>
    <n v="5.18"/>
    <n v="5.74"/>
    <s v="Cindy Chapman"/>
    <s v="Yukon"/>
    <x v="7"/>
    <s v="Corporate"/>
    <s v="Office Supplies"/>
    <x v="1"/>
    <x v="10"/>
    <d v="2009-02-01T00:00:00"/>
    <s v="01-Feb-2009"/>
  </r>
  <r>
    <n v="22913"/>
    <d v="2010-06-25T00:00:00"/>
    <s v="Critical"/>
    <s v="25-Jun-2010"/>
    <n v="32"/>
    <n v="176.77"/>
    <n v="0.06"/>
    <s v="Express Air"/>
    <n v="-41.6"/>
    <n v="4.9800000000000004"/>
    <n v="4.72"/>
    <s v="Giulietta Dortch"/>
    <s v="Yukon"/>
    <x v="7"/>
    <s v="Corporate"/>
    <s v="Office Supplies"/>
    <x v="12"/>
    <x v="10"/>
    <d v="2010-06-26T00:00:00"/>
    <s v="26-Jun-2010"/>
  </r>
  <r>
    <n v="13991"/>
    <d v="2012-03-06T00:00:00"/>
    <s v="High"/>
    <s v="06-Mar-2012"/>
    <n v="24"/>
    <n v="170.7"/>
    <n v="0"/>
    <s v="Regular Air"/>
    <n v="-37.880000000000003"/>
    <n v="6.48"/>
    <n v="2.74"/>
    <s v="Cynthia Voltz"/>
    <s v="Yukon"/>
    <x v="7"/>
    <s v="Corporate"/>
    <s v="Technology"/>
    <x v="11"/>
    <x v="35"/>
    <d v="2012-03-08T00:00:00"/>
    <s v="08-Mar-2012"/>
  </r>
  <r>
    <n v="39938"/>
    <d v="2012-06-10T00:00:00"/>
    <s v="High"/>
    <s v="10-Jun-2012"/>
    <n v="5"/>
    <n v="169.27"/>
    <n v="0.1"/>
    <s v="Regular Air"/>
    <n v="-41.66"/>
    <n v="34.58"/>
    <n v="8.99"/>
    <s v="Cindy Chapman"/>
    <s v="Yukon"/>
    <x v="7"/>
    <s v="Corporate"/>
    <s v="Office Supplies"/>
    <x v="13"/>
    <x v="0"/>
    <d v="2012-06-11T00:00:00"/>
    <s v="11-Jun-2012"/>
  </r>
  <r>
    <n v="4931"/>
    <d v="2009-11-16T00:00:00"/>
    <s v="Critical"/>
    <s v="16-Nov-2009"/>
    <n v="22"/>
    <n v="168.31"/>
    <n v="0.1"/>
    <s v="Regular Air"/>
    <n v="46.49"/>
    <n v="8.17"/>
    <n v="1.69"/>
    <s v="Giulietta Dortch"/>
    <s v="Yukon"/>
    <x v="7"/>
    <s v="Corporate"/>
    <s v="Office Supplies"/>
    <x v="12"/>
    <x v="1"/>
    <d v="2009-11-16T00:00:00"/>
    <s v="16-Nov-2009"/>
  </r>
  <r>
    <n v="28224"/>
    <d v="2012-12-19T00:00:00"/>
    <s v="Critical"/>
    <s v="19-Dec-2012"/>
    <n v="25"/>
    <n v="163.41"/>
    <n v="7.0000000000000007E-2"/>
    <s v="Regular Air"/>
    <n v="-91.28"/>
    <n v="6.23"/>
    <n v="6.97"/>
    <s v="Kean Thornton"/>
    <s v="Yukon"/>
    <x v="7"/>
    <s v="Corporate"/>
    <s v="Office Supplies"/>
    <x v="1"/>
    <x v="10"/>
    <d v="2012-12-20T00:00:00"/>
    <s v="20-Dec-2012"/>
  </r>
  <r>
    <n v="10052"/>
    <d v="2009-09-07T00:00:00"/>
    <s v="Not Specified"/>
    <s v="07-Sep-2009"/>
    <n v="46"/>
    <n v="162.28"/>
    <n v="0.02"/>
    <s v="Regular Air"/>
    <n v="-216.15"/>
    <n v="3.36"/>
    <n v="6.27"/>
    <s v="Dan Campbell"/>
    <s v="Yukon"/>
    <x v="7"/>
    <s v="Corporate"/>
    <s v="Office Supplies"/>
    <x v="1"/>
    <x v="27"/>
    <d v="2009-09-09T00:00:00"/>
    <s v="09-Sep-2009"/>
  </r>
  <r>
    <n v="12708"/>
    <d v="2010-01-07T00:00:00"/>
    <s v="Low"/>
    <s v="07-Jan-2010"/>
    <n v="44"/>
    <n v="159.41"/>
    <n v="0"/>
    <s v="Express Air"/>
    <n v="34.68"/>
    <n v="3.28"/>
    <n v="0.98"/>
    <s v="Yana Sorensen"/>
    <s v="Yukon"/>
    <x v="7"/>
    <s v="Corporate"/>
    <s v="Office Supplies"/>
    <x v="13"/>
    <x v="24"/>
    <d v="2010-01-12T00:00:00"/>
    <s v="12-Jan-2010"/>
  </r>
  <r>
    <n v="11014"/>
    <d v="2010-09-07T00:00:00"/>
    <s v="High"/>
    <s v="07-Sep-2010"/>
    <n v="13"/>
    <n v="158.79"/>
    <n v="0.05"/>
    <s v="Regular Air"/>
    <n v="1.1599999999999999"/>
    <n v="11.7"/>
    <n v="5.63"/>
    <s v="Victoria Pisteka"/>
    <s v="Yukon"/>
    <x v="7"/>
    <s v="Corporate"/>
    <s v="Office Supplies"/>
    <x v="1"/>
    <x v="27"/>
    <d v="2010-09-09T00:00:00"/>
    <s v="09-Sep-2010"/>
  </r>
  <r>
    <n v="1888"/>
    <d v="2010-10-30T00:00:00"/>
    <s v="Not Specified"/>
    <s v="30-Oct-2010"/>
    <n v="35"/>
    <n v="158.25"/>
    <n v="0.09"/>
    <s v="Regular Air"/>
    <n v="-114.74"/>
    <n v="4.57"/>
    <n v="5.42"/>
    <s v="Kean Thornton"/>
    <s v="Yukon"/>
    <x v="7"/>
    <s v="Corporate"/>
    <s v="Office Supplies"/>
    <x v="1"/>
    <x v="7"/>
    <d v="2010-10-31T00:00:00"/>
    <s v="31-Oct-2010"/>
  </r>
  <r>
    <n v="16356"/>
    <d v="2011-08-02T00:00:00"/>
    <s v="Critical"/>
    <s v="02-Aug-2011"/>
    <n v="6"/>
    <n v="157.94"/>
    <n v="0.04"/>
    <s v="Express Air"/>
    <n v="9.15"/>
    <n v="22.98"/>
    <n v="4.5"/>
    <s v="Victoria Pisteka"/>
    <s v="Yukon"/>
    <x v="7"/>
    <s v="Corporate"/>
    <s v="Office Supplies"/>
    <x v="5"/>
    <x v="20"/>
    <d v="2011-08-03T00:00:00"/>
    <s v="03-Aug-2011"/>
  </r>
  <r>
    <n v="28933"/>
    <d v="2009-07-09T00:00:00"/>
    <s v="Critical"/>
    <s v="09-Jul-2009"/>
    <n v="38"/>
    <n v="156.19999999999999"/>
    <n v="0.03"/>
    <s v="Regular Air"/>
    <n v="43"/>
    <n v="3.98"/>
    <n v="0.7"/>
    <s v="Shirley Jackson"/>
    <s v="Yukon"/>
    <x v="7"/>
    <s v="Corporate"/>
    <s v="Office Supplies"/>
    <x v="13"/>
    <x v="24"/>
    <d v="2009-07-10T00:00:00"/>
    <s v="10-Jul-2009"/>
  </r>
  <r>
    <n v="5989"/>
    <d v="2011-10-14T00:00:00"/>
    <s v="Medium"/>
    <s v="14-Oct-2011"/>
    <n v="6"/>
    <n v="155.47999999999999"/>
    <n v="0.1"/>
    <s v="Regular Air"/>
    <n v="-6.64"/>
    <n v="25.98"/>
    <n v="5.37"/>
    <s v="Ellis Ballard"/>
    <s v="Yukon"/>
    <x v="7"/>
    <s v="Corporate"/>
    <s v="Office Supplies"/>
    <x v="5"/>
    <x v="31"/>
    <d v="2011-10-16T00:00:00"/>
    <s v="16-Oct-2011"/>
  </r>
  <r>
    <n v="12007"/>
    <d v="2009-09-27T00:00:00"/>
    <s v="Not Specified"/>
    <s v="27-Sep-2009"/>
    <n v="42"/>
    <n v="152.26"/>
    <n v="0.04"/>
    <s v="Regular Air"/>
    <n v="64.989999999999995"/>
    <n v="3.69"/>
    <n v="0.5"/>
    <s v="Victoria Pisteka"/>
    <s v="Yukon"/>
    <x v="7"/>
    <s v="Corporate"/>
    <s v="Office Supplies"/>
    <x v="9"/>
    <x v="1"/>
    <d v="2009-09-29T00:00:00"/>
    <s v="29-Sep-2009"/>
  </r>
  <r>
    <n v="35200"/>
    <d v="2009-02-05T00:00:00"/>
    <s v="Medium"/>
    <s v="05-Feb-2009"/>
    <n v="15"/>
    <n v="150.24"/>
    <n v="0.08"/>
    <s v="Regular Air"/>
    <n v="-102.93"/>
    <n v="9.98"/>
    <n v="12.52"/>
    <s v="Ricardo Block"/>
    <s v="Yukon"/>
    <x v="7"/>
    <s v="Corporate"/>
    <s v="Furniture"/>
    <x v="7"/>
    <x v="6"/>
    <d v="2009-02-07T00:00:00"/>
    <s v="07-Feb-2009"/>
  </r>
  <r>
    <n v="13090"/>
    <d v="2010-07-26T00:00:00"/>
    <s v="Not Specified"/>
    <s v="26-Jul-2010"/>
    <n v="15"/>
    <n v="150.19999999999999"/>
    <n v="0.02"/>
    <s v="Regular Air"/>
    <n v="12.97"/>
    <n v="9.27"/>
    <n v="4.3899999999999997"/>
    <s v="David Bremer"/>
    <s v="Yukon"/>
    <x v="7"/>
    <s v="Corporate"/>
    <s v="Office Supplies"/>
    <x v="12"/>
    <x v="1"/>
    <d v="2010-07-27T00:00:00"/>
    <s v="27-Jul-2010"/>
  </r>
  <r>
    <n v="8930"/>
    <d v="2009-05-19T00:00:00"/>
    <s v="Medium"/>
    <s v="19-May-2009"/>
    <n v="14"/>
    <n v="145.86000000000001"/>
    <n v="0.04"/>
    <s v="Regular Air"/>
    <n v="-92.32"/>
    <n v="9.99"/>
    <n v="11.59"/>
    <s v="Tony Molinari"/>
    <s v="Yukon"/>
    <x v="7"/>
    <s v="Corporate"/>
    <s v="Office Supplies"/>
    <x v="12"/>
    <x v="27"/>
    <d v="2009-05-21T00:00:00"/>
    <s v="21-May-2009"/>
  </r>
  <r>
    <n v="11714"/>
    <d v="2009-08-04T00:00:00"/>
    <s v="Critical"/>
    <s v="04-Aug-2009"/>
    <n v="9"/>
    <n v="141.83000000000001"/>
    <n v="0.06"/>
    <s v="Regular Air"/>
    <n v="-35.69"/>
    <n v="15.73"/>
    <n v="7.42"/>
    <s v="Tamara Willingham"/>
    <s v="Yukon"/>
    <x v="7"/>
    <s v="Corporate"/>
    <s v="Office Supplies"/>
    <x v="14"/>
    <x v="0"/>
    <d v="2009-08-05T00:00:00"/>
    <s v="05-Aug-2009"/>
  </r>
  <r>
    <n v="263"/>
    <d v="2009-05-16T00:00:00"/>
    <s v="High"/>
    <s v="16-May-2009"/>
    <n v="25"/>
    <n v="136.77000000000001"/>
    <n v="0.09"/>
    <s v="Regular Air"/>
    <n v="-136.25"/>
    <n v="5.4"/>
    <n v="7.78"/>
    <s v="Paul Lucas"/>
    <s v="Yukon"/>
    <x v="7"/>
    <s v="Corporate"/>
    <s v="Office Supplies"/>
    <x v="1"/>
    <x v="7"/>
    <d v="2009-05-17T00:00:00"/>
    <s v="17-May-2009"/>
  </r>
  <r>
    <n v="23366"/>
    <d v="2010-11-19T00:00:00"/>
    <s v="Not Specified"/>
    <s v="19-Nov-2010"/>
    <n v="12"/>
    <n v="136.1"/>
    <n v="0.06"/>
    <s v="Regular Air"/>
    <n v="-3.78"/>
    <n v="10.52"/>
    <n v="7.94"/>
    <s v="Tim Taslimi"/>
    <s v="Yukon"/>
    <x v="7"/>
    <s v="Corporate"/>
    <s v="Furniture"/>
    <x v="7"/>
    <x v="24"/>
    <d v="2010-11-21T00:00:00"/>
    <s v="21-Nov-2010"/>
  </r>
  <r>
    <n v="15616"/>
    <d v="2012-03-23T00:00:00"/>
    <s v="Critical"/>
    <s v="23-Mar-2012"/>
    <n v="34"/>
    <n v="134.06"/>
    <n v="0.09"/>
    <s v="Regular Air"/>
    <n v="5.98"/>
    <n v="4.13"/>
    <n v="1.17"/>
    <s v="Carlos Meador"/>
    <s v="Yukon"/>
    <x v="7"/>
    <s v="Corporate"/>
    <s v="Office Supplies"/>
    <x v="13"/>
    <x v="6"/>
    <d v="2012-03-25T00:00:00"/>
    <s v="25-Mar-2012"/>
  </r>
  <r>
    <n v="20225"/>
    <d v="2010-07-26T00:00:00"/>
    <s v="Low"/>
    <s v="26-Jul-2010"/>
    <n v="33"/>
    <n v="124.78"/>
    <n v="0.09"/>
    <s v="Regular Air"/>
    <n v="-122.67"/>
    <n v="3.98"/>
    <n v="5.26"/>
    <s v="Kean Thornton"/>
    <s v="Yukon"/>
    <x v="7"/>
    <s v="Corporate"/>
    <s v="Office Supplies"/>
    <x v="1"/>
    <x v="1"/>
    <d v="2010-08-02T00:00:00"/>
    <s v="02-Aug-2010"/>
  </r>
  <r>
    <n v="20225"/>
    <d v="2010-07-26T00:00:00"/>
    <s v="Low"/>
    <s v="26-Jul-2010"/>
    <n v="22"/>
    <n v="123.4"/>
    <n v="0.1"/>
    <s v="Regular Air"/>
    <n v="30.5"/>
    <n v="5.84"/>
    <n v="0.83"/>
    <s v="Kean Thornton"/>
    <s v="Yukon"/>
    <x v="7"/>
    <s v="Corporate"/>
    <s v="Office Supplies"/>
    <x v="13"/>
    <x v="19"/>
    <d v="2010-08-02T00:00:00"/>
    <s v="02-Aug-2010"/>
  </r>
  <r>
    <n v="31619"/>
    <d v="2009-09-17T00:00:00"/>
    <s v="Low"/>
    <s v="17-Sep-2009"/>
    <n v="11"/>
    <n v="114.87"/>
    <n v="0.1"/>
    <s v="Regular Air"/>
    <n v="-21.03"/>
    <n v="10.98"/>
    <n v="3.99"/>
    <s v="Pete Kriz"/>
    <s v="Yukon"/>
    <x v="7"/>
    <s v="Corporate"/>
    <s v="Office Supplies"/>
    <x v="5"/>
    <x v="15"/>
    <d v="2009-09-24T00:00:00"/>
    <s v="24-Sep-2009"/>
  </r>
  <r>
    <n v="10466"/>
    <d v="2012-12-25T00:00:00"/>
    <s v="High"/>
    <s v="25-Dec-2012"/>
    <n v="27"/>
    <n v="114.86"/>
    <n v="7.0000000000000007E-2"/>
    <s v="Regular Air"/>
    <n v="16.21"/>
    <n v="4.28"/>
    <n v="0.94"/>
    <s v="Evan Henry"/>
    <s v="Yukon"/>
    <x v="7"/>
    <s v="Corporate"/>
    <s v="Office Supplies"/>
    <x v="13"/>
    <x v="0"/>
    <d v="2012-12-26T00:00:00"/>
    <s v="26-Dec-2012"/>
  </r>
  <r>
    <n v="27169"/>
    <d v="2011-09-11T00:00:00"/>
    <s v="Not Specified"/>
    <s v="11-Sep-2011"/>
    <n v="16"/>
    <n v="109.9"/>
    <n v="0.01"/>
    <s v="Regular Air"/>
    <n v="-28.95"/>
    <n v="6.54"/>
    <n v="5.27"/>
    <s v="Helen Andreada"/>
    <s v="Yukon"/>
    <x v="7"/>
    <s v="Corporate"/>
    <s v="Office Supplies"/>
    <x v="1"/>
    <x v="10"/>
    <d v="2011-09-12T00:00:00"/>
    <s v="12-Sep-2011"/>
  </r>
  <r>
    <n v="27744"/>
    <d v="2010-08-03T00:00:00"/>
    <s v="Critical"/>
    <s v="03-Aug-2010"/>
    <n v="22"/>
    <n v="106.69"/>
    <n v="0.01"/>
    <s v="Regular Air"/>
    <n v="-76.599999999999994"/>
    <n v="4.54"/>
    <n v="5.83"/>
    <s v="Pete Kriz"/>
    <s v="Yukon"/>
    <x v="7"/>
    <s v="Corporate"/>
    <s v="Office Supplies"/>
    <x v="1"/>
    <x v="10"/>
    <d v="2010-08-04T00:00:00"/>
    <s v="04-Aug-2010"/>
  </r>
  <r>
    <n v="23778"/>
    <d v="2009-07-13T00:00:00"/>
    <s v="Low"/>
    <s v="13-Jul-2009"/>
    <n v="13"/>
    <n v="105.94"/>
    <n v="0.06"/>
    <s v="Regular Air"/>
    <n v="-566"/>
    <n v="4.4800000000000004"/>
    <n v="49"/>
    <s v="Carlos Meador"/>
    <s v="Yukon"/>
    <x v="7"/>
    <s v="Corporate"/>
    <s v="Office Supplies"/>
    <x v="5"/>
    <x v="18"/>
    <d v="2009-07-17T00:00:00"/>
    <s v="17-Jul-2009"/>
  </r>
  <r>
    <n v="23555"/>
    <d v="2012-12-11T00:00:00"/>
    <s v="High"/>
    <s v="11-Dec-2012"/>
    <n v="29"/>
    <n v="104.7"/>
    <n v="0.09"/>
    <s v="Regular Air"/>
    <n v="42.16"/>
    <n v="3.69"/>
    <n v="0.5"/>
    <s v="Adam Hart"/>
    <s v="Yukon"/>
    <x v="7"/>
    <s v="Corporate"/>
    <s v="Office Supplies"/>
    <x v="9"/>
    <x v="1"/>
    <d v="2012-12-12T00:00:00"/>
    <s v="12-Dec-2012"/>
  </r>
  <r>
    <n v="13218"/>
    <d v="2009-05-16T00:00:00"/>
    <s v="High"/>
    <s v="16-May-2009"/>
    <n v="16"/>
    <n v="98.8"/>
    <n v="7.0000000000000007E-2"/>
    <s v="Regular Air"/>
    <n v="-62"/>
    <n v="5.98"/>
    <n v="7.15"/>
    <s v="Victoria Pisteka"/>
    <s v="Yukon"/>
    <x v="7"/>
    <s v="Corporate"/>
    <s v="Office Supplies"/>
    <x v="12"/>
    <x v="10"/>
    <d v="2009-05-18T00:00:00"/>
    <s v="18-May-2009"/>
  </r>
  <r>
    <n v="28832"/>
    <d v="2010-09-24T00:00:00"/>
    <s v="Medium"/>
    <s v="24-Sep-2010"/>
    <n v="45"/>
    <n v="98.64"/>
    <n v="0.03"/>
    <s v="Regular Air"/>
    <n v="-9.36"/>
    <n v="2.08"/>
    <n v="1.49"/>
    <s v="Dave Kipp"/>
    <s v="Yukon"/>
    <x v="7"/>
    <s v="Corporate"/>
    <s v="Office Supplies"/>
    <x v="1"/>
    <x v="1"/>
    <d v="2010-09-26T00:00:00"/>
    <s v="26-Sep-2010"/>
  </r>
  <r>
    <n v="10052"/>
    <d v="2009-09-07T00:00:00"/>
    <s v="Not Specified"/>
    <s v="07-Sep-2009"/>
    <n v="16"/>
    <n v="95.9"/>
    <n v="7.0000000000000007E-2"/>
    <s v="Regular Air"/>
    <n v="19.57"/>
    <n v="6.08"/>
    <n v="0.91"/>
    <s v="Dan Campbell"/>
    <s v="Yukon"/>
    <x v="7"/>
    <s v="Corporate"/>
    <s v="Office Supplies"/>
    <x v="13"/>
    <x v="51"/>
    <d v="2009-09-08T00:00:00"/>
    <s v="08-Sep-2009"/>
  </r>
  <r>
    <n v="3654"/>
    <d v="2012-06-02T00:00:00"/>
    <s v="Low"/>
    <s v="02-Jun-2012"/>
    <n v="41"/>
    <n v="95.73"/>
    <n v="0"/>
    <s v="Regular Air"/>
    <n v="-151.15"/>
    <n v="2.08"/>
    <n v="5.33"/>
    <s v="Karl Brown"/>
    <s v="Yukon"/>
    <x v="7"/>
    <s v="Corporate"/>
    <s v="Furniture"/>
    <x v="7"/>
    <x v="21"/>
    <d v="2012-06-07T00:00:00"/>
    <s v="07-Jun-2012"/>
  </r>
  <r>
    <n v="19524"/>
    <d v="2010-01-14T00:00:00"/>
    <s v="Critical"/>
    <s v="14-Jan-2010"/>
    <n v="9"/>
    <n v="92.02"/>
    <n v="7.0000000000000007E-2"/>
    <s v="Regular Air"/>
    <n v="-24.88"/>
    <n v="10.23"/>
    <n v="4.68"/>
    <s v="Amy Cox"/>
    <s v="Yukon"/>
    <x v="7"/>
    <s v="Corporate"/>
    <s v="Office Supplies"/>
    <x v="14"/>
    <x v="14"/>
    <d v="2010-01-15T00:00:00"/>
    <s v="15-Jan-2010"/>
  </r>
  <r>
    <n v="12965"/>
    <d v="2010-06-25T00:00:00"/>
    <s v="Medium"/>
    <s v="25-Jun-2010"/>
    <n v="21"/>
    <n v="90.78"/>
    <n v="0.06"/>
    <s v="Regular Air"/>
    <n v="-71.84"/>
    <n v="4.24"/>
    <n v="5.41"/>
    <s v="Shirley Jackson"/>
    <s v="Yukon"/>
    <x v="7"/>
    <s v="Corporate"/>
    <s v="Office Supplies"/>
    <x v="1"/>
    <x v="2"/>
    <d v="2010-06-26T00:00:00"/>
    <s v="26-Jun-2010"/>
  </r>
  <r>
    <n v="929"/>
    <d v="2012-10-01T00:00:00"/>
    <s v="High"/>
    <s v="01-Oct-2012"/>
    <n v="39"/>
    <n v="84.33"/>
    <n v="0.04"/>
    <s v="Regular Air"/>
    <n v="-64.290000000000006"/>
    <n v="2.08"/>
    <n v="2.56"/>
    <s v="Luke Foster"/>
    <s v="Yukon"/>
    <x v="7"/>
    <s v="Corporate"/>
    <s v="Office Supplies"/>
    <x v="14"/>
    <x v="20"/>
    <d v="2012-10-03T00:00:00"/>
    <s v="03-Oct-2012"/>
  </r>
  <r>
    <n v="2535"/>
    <d v="2010-05-24T00:00:00"/>
    <s v="Low"/>
    <s v="24-May-2010"/>
    <n v="6"/>
    <n v="82.72"/>
    <n v="0.08"/>
    <s v="Regular Air"/>
    <n v="-29.71"/>
    <n v="14.48"/>
    <n v="1.99"/>
    <s v="Roland Fjeld"/>
    <s v="Yukon"/>
    <x v="7"/>
    <s v="Corporate"/>
    <s v="Technology"/>
    <x v="11"/>
    <x v="19"/>
    <d v="2010-05-26T00:00:00"/>
    <s v="26-May-2010"/>
  </r>
  <r>
    <n v="59072"/>
    <d v="2009-05-25T00:00:00"/>
    <s v="Not Specified"/>
    <s v="25-May-2009"/>
    <n v="12"/>
    <n v="78.94"/>
    <n v="0.03"/>
    <s v="Express Air"/>
    <n v="-51.7"/>
    <n v="5.44"/>
    <n v="7.46"/>
    <s v="Dianna Vittorini"/>
    <s v="Yukon"/>
    <x v="7"/>
    <s v="Corporate"/>
    <s v="Office Supplies"/>
    <x v="1"/>
    <x v="10"/>
    <d v="2009-05-27T00:00:00"/>
    <s v="27-May-2009"/>
  </r>
  <r>
    <n v="59783"/>
    <d v="2010-08-19T00:00:00"/>
    <s v="Low"/>
    <s v="19-Aug-2010"/>
    <n v="36"/>
    <n v="77.430000000000007"/>
    <n v="0.01"/>
    <s v="Regular Air"/>
    <n v="-60.07"/>
    <n v="2.08"/>
    <n v="2.56"/>
    <s v="Cindy Chapman"/>
    <s v="Yukon"/>
    <x v="7"/>
    <s v="Corporate"/>
    <s v="Office Supplies"/>
    <x v="14"/>
    <x v="20"/>
    <d v="2010-08-24T00:00:00"/>
    <s v="24-Aug-2010"/>
  </r>
  <r>
    <n v="19047"/>
    <d v="2009-01-28T00:00:00"/>
    <s v="High"/>
    <s v="28-Jan-2009"/>
    <n v="1"/>
    <n v="67.489999999999995"/>
    <n v="0.06"/>
    <s v="Regular Air"/>
    <n v="-22.82"/>
    <n v="55.48"/>
    <n v="14.3"/>
    <s v="Adam Hart"/>
    <s v="Yukon"/>
    <x v="7"/>
    <s v="Corporate"/>
    <s v="Office Supplies"/>
    <x v="12"/>
    <x v="7"/>
    <d v="2009-01-29T00:00:00"/>
    <s v="29-Jan-2009"/>
  </r>
  <r>
    <n v="19207"/>
    <d v="2012-03-15T00:00:00"/>
    <s v="Not Specified"/>
    <s v="15-Mar-2012"/>
    <n v="23"/>
    <n v="66.02"/>
    <n v="0.1"/>
    <s v="Regular Air"/>
    <n v="10.88"/>
    <n v="3.08"/>
    <n v="0.99"/>
    <s v="Cindy Chapman"/>
    <s v="Yukon"/>
    <x v="7"/>
    <s v="Corporate"/>
    <s v="Office Supplies"/>
    <x v="9"/>
    <x v="7"/>
    <d v="2012-03-17T00:00:00"/>
    <s v="17-Mar-2012"/>
  </r>
  <r>
    <n v="30759"/>
    <d v="2009-05-08T00:00:00"/>
    <s v="Not Specified"/>
    <s v="08-May-2009"/>
    <n v="2"/>
    <n v="64.790000000000006"/>
    <n v="0.03"/>
    <s v="Regular Air"/>
    <n v="-41.32"/>
    <n v="29.34"/>
    <n v="7.87"/>
    <s v="Brad Thomas"/>
    <s v="Yukon"/>
    <x v="7"/>
    <s v="Corporate"/>
    <s v="Furniture"/>
    <x v="7"/>
    <x v="41"/>
    <d v="2009-05-10T00:00:00"/>
    <s v="10-May-2009"/>
  </r>
  <r>
    <n v="5989"/>
    <d v="2011-10-14T00:00:00"/>
    <s v="Medium"/>
    <s v="14-Oct-2011"/>
    <n v="21"/>
    <n v="56.77"/>
    <n v="0.06"/>
    <s v="Regular Air"/>
    <n v="-3.2"/>
    <n v="2.78"/>
    <n v="1.34"/>
    <s v="Ellis Ballard"/>
    <s v="Yukon"/>
    <x v="7"/>
    <s v="Corporate"/>
    <s v="Office Supplies"/>
    <x v="13"/>
    <x v="45"/>
    <d v="2011-10-15T00:00:00"/>
    <s v="15-Oct-2011"/>
  </r>
  <r>
    <n v="18530"/>
    <d v="2010-12-31T00:00:00"/>
    <s v="Not Specified"/>
    <s v="31-Dec-2010"/>
    <n v="2"/>
    <n v="56.13"/>
    <n v="0.02"/>
    <s v="Regular Air"/>
    <n v="48.85"/>
    <n v="20.28"/>
    <n v="14.39"/>
    <s v="Grant Thornton"/>
    <s v="Yukon"/>
    <x v="7"/>
    <s v="Corporate"/>
    <s v="Furniture"/>
    <x v="7"/>
    <x v="26"/>
    <d v="2010-12-31T00:00:00"/>
    <s v="31-Dec-2010"/>
  </r>
  <r>
    <n v="18402"/>
    <d v="2009-08-29T00:00:00"/>
    <s v="Low"/>
    <s v="29-Aug-2009"/>
    <n v="3"/>
    <n v="56.07"/>
    <n v="0"/>
    <s v="Regular Air"/>
    <n v="10.49"/>
    <n v="12.99"/>
    <n v="14.37"/>
    <s v="Deanra Eno"/>
    <s v="Yukon"/>
    <x v="7"/>
    <s v="Corporate"/>
    <s v="Furniture"/>
    <x v="7"/>
    <x v="33"/>
    <d v="2009-08-29T00:00:00"/>
    <s v="29-Aug-2009"/>
  </r>
  <r>
    <n v="26437"/>
    <d v="2011-11-28T00:00:00"/>
    <s v="Critical"/>
    <s v="28-Nov-2011"/>
    <n v="4"/>
    <n v="52.43"/>
    <n v="0.03"/>
    <s v="Express Air"/>
    <n v="-12.98"/>
    <n v="9.65"/>
    <n v="6.22"/>
    <s v="Sara Luxemburg"/>
    <s v="Yukon"/>
    <x v="7"/>
    <s v="Corporate"/>
    <s v="Furniture"/>
    <x v="7"/>
    <x v="20"/>
    <d v="2011-11-29T00:00:00"/>
    <s v="29-Nov-2011"/>
  </r>
  <r>
    <n v="13569"/>
    <d v="2011-04-10T00:00:00"/>
    <s v="Critical"/>
    <s v="10-Apr-2011"/>
    <n v="16"/>
    <n v="47.45"/>
    <n v="0.05"/>
    <s v="Regular Air"/>
    <n v="1.07"/>
    <n v="2.88"/>
    <n v="1.49"/>
    <s v="Carlos Meador"/>
    <s v="Yukon"/>
    <x v="7"/>
    <s v="Corporate"/>
    <s v="Office Supplies"/>
    <x v="1"/>
    <x v="10"/>
    <d v="2011-04-11T00:00:00"/>
    <s v="11-Apr-2011"/>
  </r>
  <r>
    <n v="35456"/>
    <d v="2012-11-01T00:00:00"/>
    <s v="Critical"/>
    <s v="01-Nov-2012"/>
    <n v="37"/>
    <n v="46.37"/>
    <n v="0.03"/>
    <s v="Regular Air"/>
    <n v="-19.809999999999999"/>
    <n v="1.26"/>
    <n v="0.7"/>
    <s v="Cindy Chapman"/>
    <s v="Yukon"/>
    <x v="7"/>
    <s v="Corporate"/>
    <s v="Office Supplies"/>
    <x v="16"/>
    <x v="43"/>
    <d v="2012-11-03T00:00:00"/>
    <s v="03-Nov-2012"/>
  </r>
  <r>
    <n v="12965"/>
    <d v="2010-06-25T00:00:00"/>
    <s v="Medium"/>
    <s v="25-Jun-2010"/>
    <n v="7"/>
    <n v="44.74"/>
    <n v="0.04"/>
    <s v="Regular Air"/>
    <n v="-20.100000000000001"/>
    <n v="5.74"/>
    <n v="5.01"/>
    <s v="Shirley Jackson"/>
    <s v="Yukon"/>
    <x v="7"/>
    <s v="Corporate"/>
    <s v="Office Supplies"/>
    <x v="1"/>
    <x v="4"/>
    <d v="2010-06-26T00:00:00"/>
    <s v="26-Jun-2010"/>
  </r>
  <r>
    <n v="31590"/>
    <d v="2010-06-05T00:00:00"/>
    <s v="Critical"/>
    <s v="05-Jun-2010"/>
    <n v="5"/>
    <n v="43.49"/>
    <n v="0.06"/>
    <s v="Regular Air"/>
    <n v="-21.44"/>
    <n v="8.33"/>
    <n v="1.99"/>
    <s v="Luke Foster"/>
    <s v="Yukon"/>
    <x v="7"/>
    <s v="Corporate"/>
    <s v="Technology"/>
    <x v="11"/>
    <x v="24"/>
    <d v="2010-06-06T00:00:00"/>
    <s v="06-Jun-2010"/>
  </r>
  <r>
    <n v="20002"/>
    <d v="2012-08-12T00:00:00"/>
    <s v="Medium"/>
    <s v="12-Aug-2012"/>
    <n v="9"/>
    <n v="41.03"/>
    <n v="0.1"/>
    <s v="Regular Air"/>
    <n v="-30.47"/>
    <n v="4.7699999999999996"/>
    <n v="2.39"/>
    <s v="Dianna Vittorini"/>
    <s v="Yukon"/>
    <x v="7"/>
    <s v="Corporate"/>
    <s v="Technology"/>
    <x v="11"/>
    <x v="13"/>
    <d v="2012-08-13T00:00:00"/>
    <s v="13-Aug-2012"/>
  </r>
  <r>
    <n v="6693"/>
    <d v="2012-05-24T00:00:00"/>
    <s v="Critical"/>
    <s v="24-May-2012"/>
    <n v="16"/>
    <n v="40.85"/>
    <n v="0.09"/>
    <s v="Regular Air"/>
    <n v="6.46"/>
    <n v="2.62"/>
    <n v="0.8"/>
    <s v="Astrea Jones"/>
    <s v="Yukon"/>
    <x v="7"/>
    <s v="Corporate"/>
    <s v="Office Supplies"/>
    <x v="16"/>
    <x v="4"/>
    <d v="2012-05-26T00:00:00"/>
    <s v="26-May-2012"/>
  </r>
  <r>
    <n v="13157"/>
    <d v="2012-02-11T00:00:00"/>
    <s v="Medium"/>
    <s v="11-Feb-2012"/>
    <n v="2"/>
    <n v="38.93"/>
    <n v="7.0000000000000007E-2"/>
    <s v="Regular Air"/>
    <n v="-102.43"/>
    <n v="20.99"/>
    <n v="4.8099999999999996"/>
    <s v="Deanra Eno"/>
    <s v="Yukon"/>
    <x v="7"/>
    <s v="Corporate"/>
    <s v="Technology"/>
    <x v="10"/>
    <x v="15"/>
    <d v="2012-02-12T00:00:00"/>
    <s v="12-Feb-2012"/>
  </r>
  <r>
    <n v="19041"/>
    <d v="2011-07-26T00:00:00"/>
    <s v="Low"/>
    <s v="26-Jul-2011"/>
    <n v="3"/>
    <n v="36.06"/>
    <n v="0.08"/>
    <s v="Regular Air"/>
    <n v="-18.5"/>
    <n v="10.89"/>
    <n v="4.5"/>
    <s v="Grant Thornton"/>
    <s v="Yukon"/>
    <x v="7"/>
    <s v="Corporate"/>
    <s v="Office Supplies"/>
    <x v="5"/>
    <x v="14"/>
    <d v="2011-07-30T00:00:00"/>
    <s v="30-Jul-2011"/>
  </r>
  <r>
    <n v="59072"/>
    <d v="2009-05-25T00:00:00"/>
    <s v="Not Specified"/>
    <s v="25-May-2009"/>
    <n v="2"/>
    <n v="35.665999999999997"/>
    <n v="0.06"/>
    <s v="Regular Air"/>
    <n v="-112.19"/>
    <n v="20.99"/>
    <n v="2.5"/>
    <s v="Dianna Vittorini"/>
    <s v="Yukon"/>
    <x v="7"/>
    <s v="Corporate"/>
    <s v="Technology"/>
    <x v="10"/>
    <x v="43"/>
    <d v="2009-05-27T00:00:00"/>
    <s v="27-May-2009"/>
  </r>
  <r>
    <n v="3078"/>
    <d v="2010-02-11T00:00:00"/>
    <s v="High"/>
    <s v="11-Feb-2010"/>
    <n v="12"/>
    <n v="33.86"/>
    <n v="0.05"/>
    <s v="Regular Air"/>
    <n v="0.35"/>
    <n v="2.88"/>
    <n v="0.7"/>
    <s v="Paul Lucas"/>
    <s v="Yukon"/>
    <x v="7"/>
    <s v="Corporate"/>
    <s v="Office Supplies"/>
    <x v="13"/>
    <x v="0"/>
    <d v="2010-02-12T00:00:00"/>
    <s v="12-Feb-2010"/>
  </r>
  <r>
    <n v="19299"/>
    <d v="2009-03-18T00:00:00"/>
    <s v="Not Specified"/>
    <s v="18-Mar-2009"/>
    <n v="10"/>
    <n v="29.23"/>
    <n v="0.05"/>
    <s v="Regular Air"/>
    <n v="8.1"/>
    <n v="2.88"/>
    <n v="0.5"/>
    <s v="Brendan Murry"/>
    <s v="Yukon"/>
    <x v="7"/>
    <s v="Corporate"/>
    <s v="Office Supplies"/>
    <x v="9"/>
    <x v="10"/>
    <d v="2009-03-20T00:00:00"/>
    <s v="20-Mar-2009"/>
  </r>
  <r>
    <n v="23301"/>
    <d v="2011-04-18T00:00:00"/>
    <s v="High"/>
    <s v="18-Apr-2011"/>
    <n v="4"/>
    <n v="28.46"/>
    <n v="0.02"/>
    <s v="Regular Air"/>
    <n v="-27.13"/>
    <n v="5.98"/>
    <n v="3.85"/>
    <s v="Adam Hart"/>
    <s v="Yukon"/>
    <x v="7"/>
    <s v="Corporate"/>
    <s v="Technology"/>
    <x v="11"/>
    <x v="48"/>
    <d v="2011-04-20T00:00:00"/>
    <s v="20-Apr-2011"/>
  </r>
  <r>
    <n v="6054"/>
    <d v="2011-09-08T00:00:00"/>
    <s v="Low"/>
    <s v="08-Sep-2011"/>
    <n v="6"/>
    <n v="27.32"/>
    <n v="0.05"/>
    <s v="Express Air"/>
    <n v="-5.87"/>
    <n v="2.08"/>
    <n v="5.33"/>
    <s v="Aleksandra Gannaway"/>
    <s v="Yukon"/>
    <x v="7"/>
    <s v="Corporate"/>
    <s v="Furniture"/>
    <x v="7"/>
    <x v="21"/>
    <d v="2011-09-10T00:00:00"/>
    <s v="10-Sep-2011"/>
  </r>
  <r>
    <n v="23301"/>
    <d v="2011-04-18T00:00:00"/>
    <s v="High"/>
    <s v="18-Apr-2011"/>
    <n v="3"/>
    <n v="23.44"/>
    <n v="0.05"/>
    <s v="Regular Air"/>
    <n v="-10.58"/>
    <n v="5.98"/>
    <n v="5.2"/>
    <s v="Adam Hart"/>
    <s v="Yukon"/>
    <x v="7"/>
    <s v="Corporate"/>
    <s v="Office Supplies"/>
    <x v="12"/>
    <x v="10"/>
    <d v="2011-04-20T00:00:00"/>
    <s v="20-Apr-2011"/>
  </r>
  <r>
    <n v="53120"/>
    <d v="2012-05-17T00:00:00"/>
    <s v="Not Specified"/>
    <s v="17-May-2012"/>
    <n v="5"/>
    <n v="22.75"/>
    <n v="0.09"/>
    <s v="Regular Air"/>
    <n v="-0.45"/>
    <n v="4.76"/>
    <n v="0.88"/>
    <s v="Cindy Chapman"/>
    <s v="Yukon"/>
    <x v="7"/>
    <s v="Corporate"/>
    <s v="Office Supplies"/>
    <x v="12"/>
    <x v="4"/>
    <d v="2012-05-19T00:00:00"/>
    <s v="19-May-2012"/>
  </r>
  <r>
    <n v="55299"/>
    <d v="2012-03-30T00:00:00"/>
    <s v="Low"/>
    <s v="30-Mar-2012"/>
    <n v="20"/>
    <n v="22.28"/>
    <n v="0.09"/>
    <s v="Regular Air"/>
    <n v="-2.66"/>
    <n v="1.1399999999999999"/>
    <n v="0.7"/>
    <s v="Quincy Jones"/>
    <s v="Yukon"/>
    <x v="7"/>
    <s v="Corporate"/>
    <s v="Office Supplies"/>
    <x v="16"/>
    <x v="1"/>
    <d v="2012-03-30T00:00:00"/>
    <s v="30-Mar-2012"/>
  </r>
  <r>
    <n v="22661"/>
    <d v="2010-09-26T00:00:00"/>
    <s v="Not Specified"/>
    <s v="26-Sep-2010"/>
    <n v="11"/>
    <n v="18.260000000000002"/>
    <n v="0.05"/>
    <s v="Regular Air"/>
    <n v="-3.89"/>
    <n v="1.68"/>
    <n v="0.7"/>
    <s v="Dianna Vittorini"/>
    <s v="Yukon"/>
    <x v="7"/>
    <s v="Corporate"/>
    <s v="Office Supplies"/>
    <x v="13"/>
    <x v="18"/>
    <d v="2010-09-29T00:00:00"/>
    <s v="29-Sep-2010"/>
  </r>
  <r>
    <n v="12099"/>
    <d v="2009-09-11T00:00:00"/>
    <s v="Critical"/>
    <s v="11-Sep-2009"/>
    <n v="1"/>
    <n v="17.59"/>
    <n v="0.06"/>
    <s v="Express Air"/>
    <n v="10.85"/>
    <n v="2.61"/>
    <n v="0.5"/>
    <s v="Cindy Stewart"/>
    <s v="Yukon"/>
    <x v="7"/>
    <s v="Corporate"/>
    <s v="Office Supplies"/>
    <x v="9"/>
    <x v="4"/>
    <d v="2009-09-11T00:00:00"/>
    <s v="11-Sep-2009"/>
  </r>
  <r>
    <n v="13570"/>
    <d v="2012-12-02T00:00:00"/>
    <s v="Not Specified"/>
    <s v="02-Dec-2012"/>
    <n v="2"/>
    <n v="16.97"/>
    <n v="0.04"/>
    <s v="Regular Air"/>
    <n v="-8.8000000000000007"/>
    <n v="8.34"/>
    <n v="0.96"/>
    <s v="Grant Thornton"/>
    <s v="Yukon"/>
    <x v="7"/>
    <s v="Corporate"/>
    <s v="Furniture"/>
    <x v="7"/>
    <x v="21"/>
    <d v="2012-12-03T00:00:00"/>
    <s v="03-Dec-2012"/>
  </r>
  <r>
    <n v="22083"/>
    <d v="2009-02-17T00:00:00"/>
    <s v="Critical"/>
    <s v="17-Feb-2009"/>
    <n v="2"/>
    <n v="16.809999999999999"/>
    <n v="0.05"/>
    <s v="Express Air"/>
    <n v="-4.1399999999999997"/>
    <n v="6.04"/>
    <n v="2.14"/>
    <s v="David Bremer"/>
    <s v="Yukon"/>
    <x v="7"/>
    <s v="Corporate"/>
    <s v="Office Supplies"/>
    <x v="12"/>
    <x v="1"/>
    <d v="2009-02-19T00:00:00"/>
    <s v="19-Feb-2009"/>
  </r>
  <r>
    <n v="19207"/>
    <d v="2012-03-15T00:00:00"/>
    <s v="Not Specified"/>
    <s v="15-Mar-2012"/>
    <n v="11"/>
    <n v="15.53"/>
    <n v="0"/>
    <s v="Regular Air"/>
    <n v="-5.92"/>
    <n v="1.26"/>
    <n v="0.7"/>
    <s v="Cindy Chapman"/>
    <s v="Yukon"/>
    <x v="7"/>
    <s v="Corporate"/>
    <s v="Office Supplies"/>
    <x v="16"/>
    <x v="43"/>
    <d v="2012-03-16T00:00:00"/>
    <s v="16-Mar-2012"/>
  </r>
  <r>
    <n v="24003"/>
    <d v="2009-10-31T00:00:00"/>
    <s v="Critical"/>
    <s v="31-Oct-2009"/>
    <n v="9"/>
    <n v="11.89"/>
    <n v="0.06"/>
    <s v="Regular Air"/>
    <n v="-6.12"/>
    <n v="1.26"/>
    <n v="0.7"/>
    <s v="Dan Campbell"/>
    <s v="Yukon"/>
    <x v="7"/>
    <s v="Corporate"/>
    <s v="Office Supplies"/>
    <x v="16"/>
    <x v="43"/>
    <d v="2009-10-31T00:00:00"/>
    <s v="31-Oct-2009"/>
  </r>
  <r>
    <n v="28933"/>
    <d v="2009-07-09T00:00:00"/>
    <s v="Critical"/>
    <s v="09-Jul-2009"/>
    <n v="1"/>
    <n v="11.16"/>
    <n v="0.01"/>
    <s v="Regular Air"/>
    <n v="-7.25"/>
    <n v="5.58"/>
    <n v="5.3"/>
    <s v="Shirley Jackson"/>
    <s v="Yukon"/>
    <x v="7"/>
    <s v="Corporate"/>
    <s v="Office Supplies"/>
    <x v="15"/>
    <x v="2"/>
    <d v="2009-07-10T00:00:00"/>
    <s v="10-Jul-2009"/>
  </r>
  <r>
    <n v="7043"/>
    <d v="2009-01-25T00:00:00"/>
    <s v="Critical"/>
    <s v="25-Jan-2009"/>
    <n v="4"/>
    <n v="11.08"/>
    <n v="0.06"/>
    <s v="Regular Air"/>
    <n v="-8.93"/>
    <n v="1.74"/>
    <n v="4.08"/>
    <s v="Giulietta Dortch"/>
    <s v="Yukon"/>
    <x v="7"/>
    <s v="Corporate"/>
    <s v="Furniture"/>
    <x v="7"/>
    <x v="17"/>
    <d v="2009-01-26T00:00:00"/>
    <s v="26-Jan-2009"/>
  </r>
  <r>
    <n v="19047"/>
    <d v="2009-01-28T00:00:00"/>
    <s v="High"/>
    <s v="28-Jan-2009"/>
    <n v="3"/>
    <n v="6.76"/>
    <n v="0.02"/>
    <s v="Regular Air"/>
    <n v="-4.28"/>
    <n v="1.68"/>
    <n v="1.57"/>
    <s v="Adam Hart"/>
    <s v="Yukon"/>
    <x v="7"/>
    <s v="Corporate"/>
    <s v="Office Supplies"/>
    <x v="13"/>
    <x v="14"/>
    <d v="2009-01-30T00:00:00"/>
    <s v="30-Jan-2009"/>
  </r>
  <r>
    <n v="23361"/>
    <d v="2010-07-03T00:00:00"/>
    <s v="Critical"/>
    <s v="03-Jul-2010"/>
    <n v="2"/>
    <n v="3.23"/>
    <n v="0.06"/>
    <s v="Regular Air"/>
    <n v="-2.73"/>
    <n v="1.26"/>
    <n v="0.7"/>
    <s v="Benjamin Patterson"/>
    <s v="Yukon"/>
    <x v="7"/>
    <s v="Corporate"/>
    <s v="Office Supplies"/>
    <x v="16"/>
    <x v="43"/>
    <d v="2010-07-04T00:00:00"/>
    <s v="04-Jul-20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B996B-8A0C-4C2D-8362-3D45D21CD1A8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Product Sub-Category">
  <location ref="A5:B8" firstHeaderRow="1" firstDataRow="1" firstDataCol="1" rowPageCount="1" colPageCount="1"/>
  <pivotFields count="20">
    <pivotField showAll="0"/>
    <pivotField numFmtId="14" showAll="0"/>
    <pivotField showAll="0"/>
    <pivotField showAll="0"/>
    <pivotField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showAll="0"/>
    <pivotField axis="axisPage" multipleItemSelectionAllowed="1" showAll="0">
      <items count="9">
        <item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showAll="0"/>
    <pivotField showAll="0"/>
    <pivotField axis="axisRow" showAll="0" measureFilter="1" sortType="descending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3">
        <item x="2"/>
        <item x="10"/>
        <item x="7"/>
        <item x="1"/>
        <item x="4"/>
        <item x="27"/>
        <item x="25"/>
        <item x="22"/>
        <item x="21"/>
        <item x="47"/>
        <item x="45"/>
        <item x="29"/>
        <item x="26"/>
        <item x="23"/>
        <item x="19"/>
        <item x="31"/>
        <item x="51"/>
        <item x="24"/>
        <item x="17"/>
        <item x="41"/>
        <item x="20"/>
        <item x="0"/>
        <item x="6"/>
        <item x="15"/>
        <item x="14"/>
        <item x="18"/>
        <item x="9"/>
        <item x="44"/>
        <item x="50"/>
        <item x="28"/>
        <item x="38"/>
        <item x="32"/>
        <item x="46"/>
        <item x="48"/>
        <item x="39"/>
        <item x="3"/>
        <item x="35"/>
        <item x="13"/>
        <item x="33"/>
        <item x="37"/>
        <item x="16"/>
        <item x="40"/>
        <item x="36"/>
        <item x="8"/>
        <item x="11"/>
        <item x="12"/>
        <item x="43"/>
        <item x="5"/>
        <item x="34"/>
        <item x="30"/>
        <item x="42"/>
        <item x="49"/>
        <item t="default"/>
      </items>
    </pivotField>
    <pivotField numFmtId="14" showAll="0"/>
    <pivotField showAll="0"/>
  </pivotFields>
  <rowFields count="1">
    <field x="16"/>
  </rowFields>
  <rowItems count="3">
    <i>
      <x v="15"/>
    </i>
    <i>
      <x v="14"/>
    </i>
    <i>
      <x v="5"/>
    </i>
  </rowItems>
  <colItems count="1">
    <i/>
  </colItems>
  <pageFields count="1">
    <pageField fld="13" hier="-1"/>
  </pageFields>
  <dataFields count="1">
    <dataField name="Sum of Profit" fld="8" baseField="0" baseItem="0"/>
  </dataFields>
  <pivotTableStyleInfo name="PivotStyleLight16" showRowHeaders="1" showColHeaders="1" showRowStripes="0" showColStripes="0" showLastColumn="1"/>
  <filters count="1">
    <filter fld="16" type="count" evalOrder="-1" id="3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268F5-75DA-41FA-86C9-4EEA490BDA23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Product Sub-Category">
  <location ref="A5:B8" firstHeaderRow="1" firstDataRow="1" firstDataCol="1" rowPageCount="1" colPageCount="1"/>
  <pivotFields count="20">
    <pivotField showAll="0"/>
    <pivotField numFmtId="14" showAll="0"/>
    <pivotField showAll="0"/>
    <pivotField showAll="0"/>
    <pivotField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showAll="0"/>
    <pivotField axis="axisPage" multipleItemSelectionAllowed="1" showAll="0">
      <items count="9">
        <item h="1" x="0"/>
        <item x="1"/>
        <item h="1" x="2"/>
        <item h="1" x="3"/>
        <item h="1" x="4"/>
        <item h="1" x="5"/>
        <item h="1" x="6"/>
        <item h="1" x="7"/>
        <item t="default"/>
      </items>
    </pivotField>
    <pivotField showAll="0"/>
    <pivotField showAll="0"/>
    <pivotField axis="axisRow" showAll="0" measureFilter="1" sortType="descending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3">
        <item x="2"/>
        <item x="10"/>
        <item x="7"/>
        <item x="1"/>
        <item x="4"/>
        <item x="27"/>
        <item x="25"/>
        <item x="22"/>
        <item x="21"/>
        <item x="47"/>
        <item x="45"/>
        <item x="29"/>
        <item x="26"/>
        <item x="23"/>
        <item x="19"/>
        <item x="31"/>
        <item x="51"/>
        <item x="24"/>
        <item x="17"/>
        <item x="41"/>
        <item x="20"/>
        <item x="0"/>
        <item x="6"/>
        <item x="15"/>
        <item x="14"/>
        <item x="18"/>
        <item x="9"/>
        <item x="44"/>
        <item x="50"/>
        <item x="28"/>
        <item x="38"/>
        <item x="32"/>
        <item x="46"/>
        <item x="48"/>
        <item x="39"/>
        <item x="3"/>
        <item x="35"/>
        <item x="13"/>
        <item x="33"/>
        <item x="37"/>
        <item x="16"/>
        <item x="40"/>
        <item x="36"/>
        <item x="8"/>
        <item x="11"/>
        <item x="12"/>
        <item x="43"/>
        <item x="5"/>
        <item x="34"/>
        <item x="30"/>
        <item x="42"/>
        <item x="49"/>
        <item t="default"/>
      </items>
    </pivotField>
    <pivotField numFmtId="14" showAll="0"/>
    <pivotField showAll="0"/>
  </pivotFields>
  <rowFields count="1">
    <field x="16"/>
  </rowFields>
  <rowItems count="3">
    <i>
      <x v="16"/>
    </i>
    <i>
      <x v="3"/>
    </i>
    <i>
      <x v="5"/>
    </i>
  </rowItems>
  <colItems count="1">
    <i/>
  </colItems>
  <pageFields count="1">
    <pageField fld="13" hier="-1"/>
  </pageFields>
  <dataFields count="1">
    <dataField name="Sum of Profit" fld="8" baseField="0" baseItem="0"/>
  </dataField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FCF60-4F29-469A-AC4D-751CA8287FDA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Product Sub-Category">
  <location ref="A5:B8" firstHeaderRow="1" firstDataRow="1" firstDataCol="1" rowPageCount="1" colPageCount="1"/>
  <pivotFields count="20">
    <pivotField showAll="0"/>
    <pivotField numFmtId="14" showAll="0"/>
    <pivotField showAll="0"/>
    <pivotField showAll="0"/>
    <pivotField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showAll="0"/>
    <pivotField axis="axisPage" multipleItemSelectionAllowed="1" showAll="0">
      <items count="9"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showAll="0"/>
    <pivotField showAll="0"/>
    <pivotField axis="axisRow" showAll="0" measureFilter="1" sortType="descending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3">
        <item x="2"/>
        <item x="10"/>
        <item x="7"/>
        <item x="1"/>
        <item x="4"/>
        <item x="27"/>
        <item x="25"/>
        <item x="22"/>
        <item x="21"/>
        <item x="47"/>
        <item x="45"/>
        <item x="29"/>
        <item x="26"/>
        <item x="23"/>
        <item x="19"/>
        <item x="31"/>
        <item x="51"/>
        <item x="24"/>
        <item x="17"/>
        <item x="41"/>
        <item x="20"/>
        <item x="0"/>
        <item x="6"/>
        <item x="15"/>
        <item x="14"/>
        <item x="18"/>
        <item x="9"/>
        <item x="44"/>
        <item x="50"/>
        <item x="28"/>
        <item x="38"/>
        <item x="32"/>
        <item x="46"/>
        <item x="48"/>
        <item x="39"/>
        <item x="3"/>
        <item x="35"/>
        <item x="13"/>
        <item x="33"/>
        <item x="37"/>
        <item x="16"/>
        <item x="40"/>
        <item x="36"/>
        <item x="8"/>
        <item x="11"/>
        <item x="12"/>
        <item x="43"/>
        <item x="5"/>
        <item x="34"/>
        <item x="30"/>
        <item x="42"/>
        <item x="49"/>
        <item t="default"/>
      </items>
    </pivotField>
    <pivotField numFmtId="14" showAll="0"/>
    <pivotField showAll="0"/>
  </pivotFields>
  <rowFields count="1">
    <field x="16"/>
  </rowFields>
  <rowItems count="3">
    <i>
      <x v="16"/>
    </i>
    <i>
      <x v="4"/>
    </i>
    <i>
      <x v="6"/>
    </i>
  </rowItems>
  <colItems count="1">
    <i/>
  </colItems>
  <pageFields count="1">
    <pageField fld="13" hier="-1"/>
  </pageFields>
  <dataFields count="1">
    <dataField name="Sum of Profit" fld="8" baseField="0" baseItem="0"/>
  </dataField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C92DF-4BEE-4202-8957-CED46C0434FF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Product Sub-Category">
  <location ref="A5:B8" firstHeaderRow="1" firstDataRow="1" firstDataCol="1" rowPageCount="1" colPageCount="1"/>
  <pivotFields count="20">
    <pivotField showAll="0"/>
    <pivotField numFmtId="14" showAll="0"/>
    <pivotField showAll="0"/>
    <pivotField showAll="0"/>
    <pivotField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showAll="0"/>
    <pivotField axis="axisPage" multipleItemSelectionAllowed="1" showAll="0">
      <items count="9">
        <item h="1" x="0"/>
        <item h="1" x="1"/>
        <item h="1" x="2"/>
        <item x="3"/>
        <item h="1" x="4"/>
        <item h="1" x="5"/>
        <item h="1" x="6"/>
        <item h="1" x="7"/>
        <item t="default"/>
      </items>
    </pivotField>
    <pivotField showAll="0"/>
    <pivotField showAll="0"/>
    <pivotField axis="axisRow" showAll="0" measureFilter="1" sortType="descending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3">
        <item x="2"/>
        <item x="10"/>
        <item x="7"/>
        <item x="1"/>
        <item x="4"/>
        <item x="27"/>
        <item x="25"/>
        <item x="22"/>
        <item x="21"/>
        <item x="47"/>
        <item x="45"/>
        <item x="29"/>
        <item x="26"/>
        <item x="23"/>
        <item x="19"/>
        <item x="31"/>
        <item x="51"/>
        <item x="24"/>
        <item x="17"/>
        <item x="41"/>
        <item x="20"/>
        <item x="0"/>
        <item x="6"/>
        <item x="15"/>
        <item x="14"/>
        <item x="18"/>
        <item x="9"/>
        <item x="44"/>
        <item x="50"/>
        <item x="28"/>
        <item x="38"/>
        <item x="32"/>
        <item x="46"/>
        <item x="48"/>
        <item x="39"/>
        <item x="3"/>
        <item x="35"/>
        <item x="13"/>
        <item x="33"/>
        <item x="37"/>
        <item x="16"/>
        <item x="40"/>
        <item x="36"/>
        <item x="8"/>
        <item x="11"/>
        <item x="12"/>
        <item x="43"/>
        <item x="5"/>
        <item x="34"/>
        <item x="30"/>
        <item x="42"/>
        <item x="49"/>
        <item t="default"/>
      </items>
    </pivotField>
    <pivotField numFmtId="14" showAll="0"/>
    <pivotField showAll="0"/>
  </pivotFields>
  <rowFields count="1">
    <field x="16"/>
  </rowFields>
  <rowItems count="3">
    <i>
      <x v="1"/>
    </i>
    <i>
      <x v="9"/>
    </i>
    <i>
      <x v="16"/>
    </i>
  </rowItems>
  <colItems count="1">
    <i/>
  </colItems>
  <pageFields count="1">
    <pageField fld="13" hier="-1"/>
  </pageFields>
  <dataFields count="1">
    <dataField name="Sum of Profit" fld="8" baseField="0" baseItem="0"/>
  </dataField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ABF8D-BC43-434C-8AD4-CCD854710F02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Product Sub-Category">
  <location ref="A5:B8" firstHeaderRow="1" firstDataRow="1" firstDataCol="1" rowPageCount="1" colPageCount="1"/>
  <pivotFields count="20">
    <pivotField showAll="0"/>
    <pivotField numFmtId="14" showAll="0"/>
    <pivotField showAll="0"/>
    <pivotField showAll="0"/>
    <pivotField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showAll="0"/>
    <pivotField axis="axisPage" multipleItemSelectionAllowed="1" showAll="0">
      <items count="9">
        <item h="1" x="0"/>
        <item h="1" x="1"/>
        <item h="1" x="2"/>
        <item h="1" x="3"/>
        <item x="4"/>
        <item h="1" x="5"/>
        <item h="1" x="6"/>
        <item h="1" x="7"/>
        <item t="default"/>
      </items>
    </pivotField>
    <pivotField showAll="0"/>
    <pivotField showAll="0"/>
    <pivotField axis="axisRow" showAll="0" measureFilter="1" sortType="descending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3">
        <item x="2"/>
        <item x="10"/>
        <item x="7"/>
        <item x="1"/>
        <item x="4"/>
        <item x="27"/>
        <item x="25"/>
        <item x="22"/>
        <item x="21"/>
        <item x="47"/>
        <item x="45"/>
        <item x="29"/>
        <item x="26"/>
        <item x="23"/>
        <item x="19"/>
        <item x="31"/>
        <item x="51"/>
        <item x="24"/>
        <item x="17"/>
        <item x="41"/>
        <item x="20"/>
        <item x="0"/>
        <item x="6"/>
        <item x="15"/>
        <item x="14"/>
        <item x="18"/>
        <item x="9"/>
        <item x="44"/>
        <item x="50"/>
        <item x="28"/>
        <item x="38"/>
        <item x="32"/>
        <item x="46"/>
        <item x="48"/>
        <item x="39"/>
        <item x="3"/>
        <item x="35"/>
        <item x="13"/>
        <item x="33"/>
        <item x="37"/>
        <item x="16"/>
        <item x="40"/>
        <item x="36"/>
        <item x="8"/>
        <item x="11"/>
        <item x="12"/>
        <item x="43"/>
        <item x="5"/>
        <item x="34"/>
        <item x="30"/>
        <item x="42"/>
        <item x="49"/>
        <item t="default"/>
      </items>
    </pivotField>
    <pivotField numFmtId="14" showAll="0"/>
    <pivotField showAll="0"/>
  </pivotFields>
  <rowFields count="1">
    <field x="16"/>
  </rowFields>
  <rowItems count="3">
    <i>
      <x v="9"/>
    </i>
    <i>
      <x v="16"/>
    </i>
    <i>
      <x v="4"/>
    </i>
  </rowItems>
  <colItems count="1">
    <i/>
  </colItems>
  <pageFields count="1">
    <pageField fld="13" hier="-1"/>
  </pageFields>
  <dataFields count="1">
    <dataField name="Sum of Profit" fld="8" baseField="0" baseItem="0"/>
  </dataField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DB7DF-8297-4B8A-8CFC-AC4A0A83B425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Product Sub-Category">
  <location ref="A5:B8" firstHeaderRow="1" firstDataRow="1" firstDataCol="1" rowPageCount="1" colPageCount="1"/>
  <pivotFields count="20">
    <pivotField showAll="0"/>
    <pivotField numFmtId="14" showAll="0"/>
    <pivotField showAll="0"/>
    <pivotField showAll="0"/>
    <pivotField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showAll="0"/>
    <pivotField axis="axisPage" multipleItemSelectionAllowed="1" showAll="0">
      <items count="9">
        <item h="1" x="0"/>
        <item h="1" x="1"/>
        <item h="1" x="2"/>
        <item h="1" x="3"/>
        <item h="1" x="4"/>
        <item x="5"/>
        <item h="1" x="6"/>
        <item h="1" x="7"/>
        <item t="default"/>
      </items>
    </pivotField>
    <pivotField showAll="0"/>
    <pivotField showAll="0"/>
    <pivotField axis="axisRow" showAll="0" measureFilter="1" sortType="descending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3">
        <item x="2"/>
        <item x="10"/>
        <item x="7"/>
        <item x="1"/>
        <item x="4"/>
        <item x="27"/>
        <item x="25"/>
        <item x="22"/>
        <item x="21"/>
        <item x="47"/>
        <item x="45"/>
        <item x="29"/>
        <item x="26"/>
        <item x="23"/>
        <item x="19"/>
        <item x="31"/>
        <item x="51"/>
        <item x="24"/>
        <item x="17"/>
        <item x="41"/>
        <item x="20"/>
        <item x="0"/>
        <item x="6"/>
        <item x="15"/>
        <item x="14"/>
        <item x="18"/>
        <item x="9"/>
        <item x="44"/>
        <item x="50"/>
        <item x="28"/>
        <item x="38"/>
        <item x="32"/>
        <item x="46"/>
        <item x="48"/>
        <item x="39"/>
        <item x="3"/>
        <item x="35"/>
        <item x="13"/>
        <item x="33"/>
        <item x="37"/>
        <item x="16"/>
        <item x="40"/>
        <item x="36"/>
        <item x="8"/>
        <item x="11"/>
        <item x="12"/>
        <item x="43"/>
        <item x="5"/>
        <item x="34"/>
        <item x="30"/>
        <item x="42"/>
        <item x="49"/>
        <item t="default"/>
      </items>
    </pivotField>
    <pivotField numFmtId="14" showAll="0"/>
    <pivotField showAll="0"/>
  </pivotFields>
  <rowFields count="1">
    <field x="16"/>
  </rowFields>
  <rowItems count="3">
    <i>
      <x v="9"/>
    </i>
    <i>
      <x v="3"/>
    </i>
    <i>
      <x v="1"/>
    </i>
  </rowItems>
  <colItems count="1">
    <i/>
  </colItems>
  <pageFields count="1">
    <pageField fld="13" hier="-1"/>
  </pageFields>
  <dataFields count="1">
    <dataField name="Sum of Profit" fld="8" baseField="0" baseItem="0"/>
  </dataField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85016-F8B6-4B21-81EF-93AFFE82E1DD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Product Sub-Category">
  <location ref="A5:B8" firstHeaderRow="1" firstDataRow="1" firstDataCol="1" rowPageCount="1" colPageCount="1"/>
  <pivotFields count="20">
    <pivotField showAll="0"/>
    <pivotField numFmtId="14" showAll="0"/>
    <pivotField showAll="0"/>
    <pivotField showAll="0"/>
    <pivotField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showAll="0"/>
    <pivotField axis="axisPage" multipleItemSelectionAllowed="1" showAll="0">
      <items count="9">
        <item h="1" x="0"/>
        <item h="1" x="1"/>
        <item h="1" x="2"/>
        <item h="1" x="3"/>
        <item h="1" x="4"/>
        <item h="1" x="5"/>
        <item x="6"/>
        <item h="1" x="7"/>
        <item t="default"/>
      </items>
    </pivotField>
    <pivotField showAll="0"/>
    <pivotField showAll="0"/>
    <pivotField axis="axisRow" showAll="0" measureFilter="1" sortType="descending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3">
        <item x="2"/>
        <item x="10"/>
        <item x="7"/>
        <item x="1"/>
        <item x="4"/>
        <item x="27"/>
        <item x="25"/>
        <item x="22"/>
        <item x="21"/>
        <item x="47"/>
        <item x="45"/>
        <item x="29"/>
        <item x="26"/>
        <item x="23"/>
        <item x="19"/>
        <item x="31"/>
        <item x="51"/>
        <item x="24"/>
        <item x="17"/>
        <item x="41"/>
        <item x="20"/>
        <item x="0"/>
        <item x="6"/>
        <item x="15"/>
        <item x="14"/>
        <item x="18"/>
        <item x="9"/>
        <item x="44"/>
        <item x="50"/>
        <item x="28"/>
        <item x="38"/>
        <item x="32"/>
        <item x="46"/>
        <item x="48"/>
        <item x="39"/>
        <item x="3"/>
        <item x="35"/>
        <item x="13"/>
        <item x="33"/>
        <item x="37"/>
        <item x="16"/>
        <item x="40"/>
        <item x="36"/>
        <item x="8"/>
        <item x="11"/>
        <item x="12"/>
        <item x="43"/>
        <item x="5"/>
        <item x="34"/>
        <item x="30"/>
        <item x="42"/>
        <item x="49"/>
        <item t="default"/>
      </items>
    </pivotField>
    <pivotField numFmtId="14" showAll="0"/>
    <pivotField showAll="0"/>
  </pivotFields>
  <rowFields count="1">
    <field x="16"/>
  </rowFields>
  <rowItems count="3">
    <i>
      <x v="1"/>
    </i>
    <i>
      <x v="16"/>
    </i>
    <i>
      <x v="9"/>
    </i>
  </rowItems>
  <colItems count="1">
    <i/>
  </colItems>
  <pageFields count="1">
    <pageField fld="13" hier="-1"/>
  </pageFields>
  <dataFields count="1">
    <dataField name="Sum of Profit" fld="8" baseField="0" baseItem="0"/>
  </dataField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1489D-14D4-4B11-BB46-E03CB46E026B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rowHeaderCaption="Product Sub-Category">
  <location ref="A5:B8" firstHeaderRow="1" firstDataRow="1" firstDataCol="1" rowPageCount="1" colPageCount="1"/>
  <pivotFields count="20">
    <pivotField showAll="0"/>
    <pivotField numFmtId="14" showAll="0"/>
    <pivotField showAll="0"/>
    <pivotField showAll="0"/>
    <pivotField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showAll="0"/>
    <pivotField axis="axisPage" multipleItemSelectionAllowed="1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showAll="0"/>
    <pivotField showAll="0"/>
    <pivotField axis="axisRow" showAll="0" measureFilter="1" sortType="descending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3">
        <item x="2"/>
        <item x="10"/>
        <item x="7"/>
        <item x="1"/>
        <item x="4"/>
        <item x="27"/>
        <item x="25"/>
        <item x="22"/>
        <item x="21"/>
        <item x="47"/>
        <item x="45"/>
        <item x="29"/>
        <item x="26"/>
        <item x="23"/>
        <item x="19"/>
        <item x="31"/>
        <item x="51"/>
        <item x="24"/>
        <item x="17"/>
        <item x="41"/>
        <item x="20"/>
        <item x="0"/>
        <item x="6"/>
        <item x="15"/>
        <item x="14"/>
        <item x="18"/>
        <item x="9"/>
        <item x="44"/>
        <item x="50"/>
        <item x="28"/>
        <item x="38"/>
        <item x="32"/>
        <item x="46"/>
        <item x="48"/>
        <item x="39"/>
        <item x="3"/>
        <item x="35"/>
        <item x="13"/>
        <item x="33"/>
        <item x="37"/>
        <item x="16"/>
        <item x="40"/>
        <item x="36"/>
        <item x="8"/>
        <item x="11"/>
        <item x="12"/>
        <item x="43"/>
        <item x="5"/>
        <item x="34"/>
        <item x="30"/>
        <item x="42"/>
        <item x="49"/>
        <item t="default"/>
      </items>
    </pivotField>
    <pivotField numFmtId="14" showAll="0"/>
    <pivotField showAll="0"/>
  </pivotFields>
  <rowFields count="1">
    <field x="16"/>
  </rowFields>
  <rowItems count="3">
    <i>
      <x v="16"/>
    </i>
    <i>
      <x/>
    </i>
    <i>
      <x v="1"/>
    </i>
  </rowItems>
  <colItems count="1">
    <i/>
  </colItems>
  <pageFields count="1">
    <pageField fld="13" hier="-1"/>
  </pageFields>
  <dataFields count="1">
    <dataField name="Sum of Profit" fld="8" baseField="0" baseItem="0"/>
  </dataField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9F2D7-2786-4BE7-87D8-5E696EDD9B56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 rowHeaderCaption="Product Sub-Category">
  <location ref="A5:J9" firstHeaderRow="1" firstDataRow="2" firstDataCol="1"/>
  <pivotFields count="20">
    <pivotField showAll="0"/>
    <pivotField numFmtId="14" showAll="0"/>
    <pivotField showAll="0"/>
    <pivotField showAll="0"/>
    <pivotField showAll="0"/>
    <pivotField numFmtId="165" showAll="0"/>
    <pivotField showAll="0"/>
    <pivotField showAll="0"/>
    <pivotField dataField="1" numFmtId="165" showAll="0"/>
    <pivotField showAll="0"/>
    <pivotField showAll="0"/>
    <pivotField showAll="0"/>
    <pivotField showAll="0"/>
    <pivotField axis="axisCol" multipleItemSelectionAllowe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Row" showAll="0" measureFilter="1" sortType="ascending">
      <items count="18">
        <item x="5"/>
        <item x="1"/>
        <item x="8"/>
        <item x="2"/>
        <item x="11"/>
        <item x="6"/>
        <item x="15"/>
        <item x="9"/>
        <item x="7"/>
        <item x="0"/>
        <item x="12"/>
        <item x="13"/>
        <item x="16"/>
        <item x="14"/>
        <item x="4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3">
        <item x="2"/>
        <item x="10"/>
        <item x="7"/>
        <item x="1"/>
        <item x="4"/>
        <item x="27"/>
        <item x="25"/>
        <item x="22"/>
        <item x="21"/>
        <item x="47"/>
        <item x="45"/>
        <item x="29"/>
        <item x="26"/>
        <item x="23"/>
        <item x="19"/>
        <item x="31"/>
        <item x="51"/>
        <item x="24"/>
        <item x="17"/>
        <item x="41"/>
        <item x="20"/>
        <item x="0"/>
        <item x="6"/>
        <item x="15"/>
        <item x="14"/>
        <item x="18"/>
        <item x="9"/>
        <item x="44"/>
        <item x="50"/>
        <item x="28"/>
        <item x="38"/>
        <item x="32"/>
        <item x="46"/>
        <item x="48"/>
        <item x="39"/>
        <item x="3"/>
        <item x="35"/>
        <item x="13"/>
        <item x="33"/>
        <item x="37"/>
        <item x="16"/>
        <item x="40"/>
        <item x="36"/>
        <item x="8"/>
        <item x="11"/>
        <item x="12"/>
        <item x="43"/>
        <item x="5"/>
        <item x="34"/>
        <item x="30"/>
        <item x="42"/>
        <item x="49"/>
        <item t="default"/>
      </items>
    </pivotField>
    <pivotField numFmtId="14" showAll="0"/>
    <pivotField showAll="0"/>
  </pivotFields>
  <rowFields count="1">
    <field x="16"/>
  </rowFields>
  <rowItems count="3">
    <i>
      <x v="15"/>
    </i>
    <i>
      <x v="2"/>
    </i>
    <i>
      <x v="13"/>
    </i>
  </rowItems>
  <colFields count="1">
    <field x="1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Profit" fld="8" baseField="0" baseItem="0"/>
  </dataFields>
  <formats count="2">
    <format dxfId="1">
      <pivotArea grandCol="1" outline="0" collapsedLevelsAreSubtotals="1" fieldPosition="0"/>
    </format>
    <format dxfId="0">
      <pivotArea grandCol="1" outline="0" collapsedLevelsAreSubtotals="1" fieldPosition="0"/>
    </format>
  </formats>
  <conditionalFormats count="6"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3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16" count="1">
              <x v="2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3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16" count="1">
              <x v="15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3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16" count="1">
              <x v="14"/>
            </reference>
          </references>
        </pivotArea>
      </pivotAreas>
    </conditionalFormat>
    <conditionalFormat priority="3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6" count="3">
              <x v="2"/>
              <x v="14"/>
              <x v="1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3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16" count="1">
              <x v="13"/>
            </reference>
          </references>
        </pivotArea>
      </pivotAreas>
    </conditionalFormat>
    <conditionalFormat priority="1">
      <pivotAreas count="1"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16" type="count" evalOrder="-1" id="3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3078"/>
  <sheetViews>
    <sheetView tabSelected="1" topLeftCell="D1" workbookViewId="0">
      <pane ySplit="1" topLeftCell="A2" activePane="bottomLeft" state="frozen"/>
      <selection activeCell="D1" sqref="D1"/>
      <selection pane="bottomLeft" activeCell="O13" sqref="O13"/>
    </sheetView>
  </sheetViews>
  <sheetFormatPr defaultRowHeight="14.4" x14ac:dyDescent="0.3"/>
  <cols>
    <col min="1" max="1" width="8" hidden="1" customWidth="1"/>
    <col min="2" max="2" width="10.5546875" hidden="1" customWidth="1"/>
    <col min="3" max="3" width="12.33203125" hidden="1" customWidth="1"/>
    <col min="4" max="4" width="21.77734375" bestFit="1" customWidth="1"/>
    <col min="5" max="5" width="15.88671875" hidden="1" customWidth="1"/>
    <col min="6" max="6" width="10" bestFit="1" customWidth="1"/>
    <col min="7" max="7" width="8.33203125" hidden="1" customWidth="1"/>
    <col min="8" max="8" width="12.44140625" hidden="1" customWidth="1"/>
    <col min="9" max="9" width="10.6640625" bestFit="1" customWidth="1"/>
    <col min="10" max="10" width="9.109375" hidden="1" customWidth="1"/>
    <col min="11" max="11" width="14.6640625" hidden="1" customWidth="1"/>
    <col min="12" max="12" width="19.109375" hidden="1" customWidth="1"/>
    <col min="13" max="14" width="18.77734375" bestFit="1" customWidth="1"/>
    <col min="15" max="15" width="19.44140625" bestFit="1" customWidth="1"/>
    <col min="16" max="16" width="18" bestFit="1" customWidth="1"/>
    <col min="17" max="17" width="27.5546875" bestFit="1" customWidth="1"/>
    <col min="18" max="18" width="20.88671875" bestFit="1" customWidth="1"/>
    <col min="19" max="19" width="10.5546875" hidden="1" customWidth="1"/>
    <col min="20" max="20" width="20.6640625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416</v>
      </c>
      <c r="E1" s="2" t="s">
        <v>3</v>
      </c>
      <c r="F1" s="14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417</v>
      </c>
    </row>
    <row r="2" spans="1:20" x14ac:dyDescent="0.3">
      <c r="A2">
        <v>23106</v>
      </c>
      <c r="B2" s="1">
        <v>40471</v>
      </c>
      <c r="C2" t="s">
        <v>38</v>
      </c>
      <c r="D2" t="str">
        <f t="shared" ref="D2:D65" si="0">TEXT(B2, "dd-mmm-yyyy" )</f>
        <v>20-Oct-2010</v>
      </c>
      <c r="E2">
        <v>35</v>
      </c>
      <c r="F2" s="13">
        <v>25313.34</v>
      </c>
      <c r="G2">
        <v>0.05</v>
      </c>
      <c r="H2" t="s">
        <v>24</v>
      </c>
      <c r="I2" s="13">
        <v>8612.11</v>
      </c>
      <c r="J2">
        <v>810.98</v>
      </c>
      <c r="K2">
        <v>16.059999999999999</v>
      </c>
      <c r="L2" t="s">
        <v>167</v>
      </c>
      <c r="M2" t="s">
        <v>314</v>
      </c>
      <c r="N2" s="5" t="s">
        <v>86</v>
      </c>
      <c r="O2" t="s">
        <v>28</v>
      </c>
      <c r="P2" t="s">
        <v>29</v>
      </c>
      <c r="Q2" t="s">
        <v>74</v>
      </c>
      <c r="R2">
        <v>0.56000000000000005</v>
      </c>
      <c r="S2" s="1">
        <v>40473</v>
      </c>
      <c r="T2" t="str">
        <f t="shared" ref="T2:T65" si="1">TEXT(S2, "dd-mmm-yyyy")</f>
        <v>22-Oct-2010</v>
      </c>
    </row>
    <row r="3" spans="1:20" x14ac:dyDescent="0.3">
      <c r="A3">
        <v>21121</v>
      </c>
      <c r="B3" s="1">
        <v>40072</v>
      </c>
      <c r="C3" t="s">
        <v>31</v>
      </c>
      <c r="D3" t="str">
        <f t="shared" si="0"/>
        <v>16-Sep-2009</v>
      </c>
      <c r="E3">
        <v>50</v>
      </c>
      <c r="F3" s="13">
        <v>20175.48</v>
      </c>
      <c r="G3">
        <v>0</v>
      </c>
      <c r="H3" t="s">
        <v>19</v>
      </c>
      <c r="I3" s="13">
        <v>9373.9599999999991</v>
      </c>
      <c r="J3">
        <v>387.99</v>
      </c>
      <c r="K3">
        <v>19.989999999999998</v>
      </c>
      <c r="L3" t="s">
        <v>317</v>
      </c>
      <c r="M3" t="s">
        <v>314</v>
      </c>
      <c r="N3" s="5" t="s">
        <v>86</v>
      </c>
      <c r="O3" t="s">
        <v>28</v>
      </c>
      <c r="P3" t="s">
        <v>21</v>
      </c>
      <c r="Q3" t="s">
        <v>26</v>
      </c>
      <c r="R3">
        <v>0.38</v>
      </c>
      <c r="S3" s="1">
        <v>40073</v>
      </c>
      <c r="T3" t="str">
        <f t="shared" si="1"/>
        <v>17-Sep-2009</v>
      </c>
    </row>
    <row r="4" spans="1:20" x14ac:dyDescent="0.3">
      <c r="A4">
        <v>20480</v>
      </c>
      <c r="B4" s="1">
        <v>39842</v>
      </c>
      <c r="C4" t="s">
        <v>38</v>
      </c>
      <c r="D4" t="str">
        <f t="shared" si="0"/>
        <v>29-Jan-2009</v>
      </c>
      <c r="E4">
        <v>38</v>
      </c>
      <c r="F4" s="13">
        <v>16147.61</v>
      </c>
      <c r="G4">
        <v>0.02</v>
      </c>
      <c r="H4" t="s">
        <v>19</v>
      </c>
      <c r="I4" s="13">
        <v>7604.95</v>
      </c>
      <c r="J4">
        <v>420.98</v>
      </c>
      <c r="K4">
        <v>19.989999999999998</v>
      </c>
      <c r="L4" t="s">
        <v>167</v>
      </c>
      <c r="M4" t="s">
        <v>314</v>
      </c>
      <c r="N4" s="5" t="s">
        <v>86</v>
      </c>
      <c r="O4" t="s">
        <v>28</v>
      </c>
      <c r="P4" t="s">
        <v>21</v>
      </c>
      <c r="Q4" t="s">
        <v>26</v>
      </c>
      <c r="R4">
        <v>0.35</v>
      </c>
      <c r="S4" s="1">
        <v>39845</v>
      </c>
      <c r="T4" t="str">
        <f t="shared" si="1"/>
        <v>01-Feb-2009</v>
      </c>
    </row>
    <row r="5" spans="1:20" x14ac:dyDescent="0.3">
      <c r="A5">
        <v>32101</v>
      </c>
      <c r="B5" s="1">
        <v>40173</v>
      </c>
      <c r="C5" t="s">
        <v>18</v>
      </c>
      <c r="D5" t="str">
        <f t="shared" si="0"/>
        <v>26-Dec-2009</v>
      </c>
      <c r="E5">
        <v>48</v>
      </c>
      <c r="F5" s="13">
        <v>14567.15</v>
      </c>
      <c r="G5">
        <v>0.04</v>
      </c>
      <c r="H5" t="s">
        <v>24</v>
      </c>
      <c r="I5" s="13">
        <v>3799.59</v>
      </c>
      <c r="J5">
        <v>291.73</v>
      </c>
      <c r="K5">
        <v>48.8</v>
      </c>
      <c r="L5" t="s">
        <v>167</v>
      </c>
      <c r="M5" t="s">
        <v>314</v>
      </c>
      <c r="N5" s="5" t="s">
        <v>86</v>
      </c>
      <c r="O5" t="s">
        <v>28</v>
      </c>
      <c r="P5" t="s">
        <v>32</v>
      </c>
      <c r="Q5" t="s">
        <v>56</v>
      </c>
      <c r="R5">
        <v>0.56000000000000005</v>
      </c>
      <c r="S5" s="1">
        <v>40177</v>
      </c>
      <c r="T5" t="str">
        <f t="shared" si="1"/>
        <v>30-Dec-2009</v>
      </c>
    </row>
    <row r="6" spans="1:20" x14ac:dyDescent="0.3">
      <c r="A6">
        <v>50657</v>
      </c>
      <c r="B6" s="1">
        <v>40895</v>
      </c>
      <c r="C6" t="s">
        <v>23</v>
      </c>
      <c r="D6" t="str">
        <f t="shared" si="0"/>
        <v>18-Dec-2011</v>
      </c>
      <c r="E6">
        <v>49</v>
      </c>
      <c r="F6" s="13">
        <v>7413.29</v>
      </c>
      <c r="G6">
        <v>0.01</v>
      </c>
      <c r="H6" t="s">
        <v>24</v>
      </c>
      <c r="I6" s="13">
        <v>1148.23</v>
      </c>
      <c r="J6">
        <v>150.97999999999999</v>
      </c>
      <c r="K6">
        <v>16.010000000000002</v>
      </c>
      <c r="L6" t="s">
        <v>353</v>
      </c>
      <c r="M6" t="s">
        <v>314</v>
      </c>
      <c r="N6" s="5" t="s">
        <v>86</v>
      </c>
      <c r="O6" t="s">
        <v>28</v>
      </c>
      <c r="P6" t="s">
        <v>32</v>
      </c>
      <c r="Q6" t="s">
        <v>46</v>
      </c>
      <c r="R6">
        <v>0.7</v>
      </c>
      <c r="S6" s="1">
        <v>40897</v>
      </c>
      <c r="T6" t="str">
        <f t="shared" si="1"/>
        <v>20-Dec-2011</v>
      </c>
    </row>
    <row r="7" spans="1:20" x14ac:dyDescent="0.3">
      <c r="A7">
        <v>10886</v>
      </c>
      <c r="B7" s="1">
        <v>40048</v>
      </c>
      <c r="C7" t="s">
        <v>43</v>
      </c>
      <c r="D7" t="str">
        <f t="shared" si="0"/>
        <v>23-Aug-2009</v>
      </c>
      <c r="E7">
        <v>47</v>
      </c>
      <c r="F7" s="13">
        <v>5750.94</v>
      </c>
      <c r="G7">
        <v>0.01</v>
      </c>
      <c r="H7" t="s">
        <v>24</v>
      </c>
      <c r="I7" s="13">
        <v>432.98</v>
      </c>
      <c r="J7">
        <v>119.99</v>
      </c>
      <c r="K7">
        <v>56.14</v>
      </c>
      <c r="L7" t="s">
        <v>315</v>
      </c>
      <c r="M7" t="s">
        <v>314</v>
      </c>
      <c r="N7" s="5" t="s">
        <v>86</v>
      </c>
      <c r="O7" t="s">
        <v>28</v>
      </c>
      <c r="P7" t="s">
        <v>29</v>
      </c>
      <c r="Q7" t="s">
        <v>74</v>
      </c>
      <c r="R7">
        <v>0.39</v>
      </c>
      <c r="S7" s="1">
        <v>40049</v>
      </c>
      <c r="T7" t="str">
        <f t="shared" si="1"/>
        <v>24-Aug-2009</v>
      </c>
    </row>
    <row r="8" spans="1:20" x14ac:dyDescent="0.3">
      <c r="A8">
        <v>54791</v>
      </c>
      <c r="B8" s="1">
        <v>41263</v>
      </c>
      <c r="C8" t="s">
        <v>23</v>
      </c>
      <c r="D8" t="str">
        <f t="shared" si="0"/>
        <v>20-Dec-2012</v>
      </c>
      <c r="E8">
        <v>42</v>
      </c>
      <c r="F8" s="13">
        <v>4273.3500000000004</v>
      </c>
      <c r="G8">
        <v>7.0000000000000007E-2</v>
      </c>
      <c r="H8" t="s">
        <v>19</v>
      </c>
      <c r="I8" s="13">
        <v>-892.03</v>
      </c>
      <c r="J8">
        <v>101.41</v>
      </c>
      <c r="K8">
        <v>35</v>
      </c>
      <c r="L8" t="s">
        <v>119</v>
      </c>
      <c r="M8" t="s">
        <v>314</v>
      </c>
      <c r="N8" s="5" t="s">
        <v>86</v>
      </c>
      <c r="O8" t="s">
        <v>28</v>
      </c>
      <c r="P8" t="s">
        <v>21</v>
      </c>
      <c r="Q8" t="s">
        <v>22</v>
      </c>
      <c r="R8">
        <v>0.82</v>
      </c>
      <c r="S8" s="1">
        <v>41265</v>
      </c>
      <c r="T8" t="str">
        <f t="shared" si="1"/>
        <v>22-Dec-2012</v>
      </c>
    </row>
    <row r="9" spans="1:20" x14ac:dyDescent="0.3">
      <c r="A9">
        <v>12900</v>
      </c>
      <c r="B9" s="1">
        <v>40301</v>
      </c>
      <c r="C9" t="s">
        <v>23</v>
      </c>
      <c r="D9" t="str">
        <f t="shared" si="0"/>
        <v>03-May-2010</v>
      </c>
      <c r="E9">
        <v>18</v>
      </c>
      <c r="F9" s="13">
        <v>4096.21</v>
      </c>
      <c r="G9">
        <v>0.08</v>
      </c>
      <c r="H9" t="s">
        <v>24</v>
      </c>
      <c r="I9" s="13">
        <v>308.22000000000003</v>
      </c>
      <c r="J9">
        <v>306.14</v>
      </c>
      <c r="K9">
        <v>26.53</v>
      </c>
      <c r="L9" t="s">
        <v>280</v>
      </c>
      <c r="M9" t="s">
        <v>314</v>
      </c>
      <c r="N9" s="5" t="s">
        <v>86</v>
      </c>
      <c r="O9" t="s">
        <v>28</v>
      </c>
      <c r="P9" t="s">
        <v>29</v>
      </c>
      <c r="Q9" t="s">
        <v>74</v>
      </c>
      <c r="R9">
        <v>0.56000000000000005</v>
      </c>
      <c r="S9" s="1">
        <v>40303</v>
      </c>
      <c r="T9" t="str">
        <f t="shared" si="1"/>
        <v>05-May-2010</v>
      </c>
    </row>
    <row r="10" spans="1:20" x14ac:dyDescent="0.3">
      <c r="A10">
        <v>2048</v>
      </c>
      <c r="B10" s="1">
        <v>40496</v>
      </c>
      <c r="C10" t="s">
        <v>43</v>
      </c>
      <c r="D10" t="str">
        <f t="shared" si="0"/>
        <v>14-Nov-2010</v>
      </c>
      <c r="E10">
        <v>12</v>
      </c>
      <c r="F10" s="13">
        <v>3752.61</v>
      </c>
      <c r="G10">
        <v>0.01</v>
      </c>
      <c r="H10" t="s">
        <v>24</v>
      </c>
      <c r="I10" s="13">
        <v>637.92999999999995</v>
      </c>
      <c r="J10">
        <v>294.62</v>
      </c>
      <c r="K10">
        <v>42.52</v>
      </c>
      <c r="L10" t="s">
        <v>245</v>
      </c>
      <c r="M10" t="s">
        <v>314</v>
      </c>
      <c r="N10" s="5" t="s">
        <v>86</v>
      </c>
      <c r="O10" t="s">
        <v>28</v>
      </c>
      <c r="P10" t="s">
        <v>21</v>
      </c>
      <c r="Q10" t="s">
        <v>25</v>
      </c>
      <c r="R10">
        <v>0.56999999999999995</v>
      </c>
      <c r="S10" s="1">
        <v>40497</v>
      </c>
      <c r="T10" t="str">
        <f t="shared" si="1"/>
        <v>15-Nov-2010</v>
      </c>
    </row>
    <row r="11" spans="1:20" x14ac:dyDescent="0.3">
      <c r="A11">
        <v>22917</v>
      </c>
      <c r="B11" s="1">
        <v>39873</v>
      </c>
      <c r="C11" t="s">
        <v>38</v>
      </c>
      <c r="D11" t="str">
        <f t="shared" si="0"/>
        <v>01-Mar-2009</v>
      </c>
      <c r="E11">
        <v>1</v>
      </c>
      <c r="F11" s="13">
        <v>3550.28</v>
      </c>
      <c r="G11">
        <v>0.06</v>
      </c>
      <c r="H11" t="s">
        <v>35</v>
      </c>
      <c r="I11" s="13">
        <v>-11769.17</v>
      </c>
      <c r="J11">
        <v>3499.99</v>
      </c>
      <c r="K11">
        <v>24.49</v>
      </c>
      <c r="L11" t="s">
        <v>151</v>
      </c>
      <c r="M11" t="s">
        <v>314</v>
      </c>
      <c r="N11" s="5" t="s">
        <v>86</v>
      </c>
      <c r="O11" t="s">
        <v>28</v>
      </c>
      <c r="P11" t="s">
        <v>29</v>
      </c>
      <c r="Q11" t="s">
        <v>51</v>
      </c>
      <c r="R11">
        <v>0.37</v>
      </c>
      <c r="S11" s="1">
        <v>39876</v>
      </c>
      <c r="T11" t="str">
        <f t="shared" si="1"/>
        <v>04-Mar-2009</v>
      </c>
    </row>
    <row r="12" spans="1:20" x14ac:dyDescent="0.3">
      <c r="A12">
        <v>37313</v>
      </c>
      <c r="B12" s="1">
        <v>41092</v>
      </c>
      <c r="C12" t="s">
        <v>31</v>
      </c>
      <c r="D12" t="str">
        <f t="shared" si="0"/>
        <v>02-Jul-2012</v>
      </c>
      <c r="E12">
        <v>44</v>
      </c>
      <c r="F12" s="13">
        <v>3304.38</v>
      </c>
      <c r="G12">
        <v>0</v>
      </c>
      <c r="H12" t="s">
        <v>19</v>
      </c>
      <c r="I12" s="13">
        <v>-634.49</v>
      </c>
      <c r="J12">
        <v>70.709999999999994</v>
      </c>
      <c r="K12">
        <v>37.58</v>
      </c>
      <c r="L12" t="s">
        <v>167</v>
      </c>
      <c r="M12" t="s">
        <v>314</v>
      </c>
      <c r="N12" s="5" t="s">
        <v>86</v>
      </c>
      <c r="O12" t="s">
        <v>28</v>
      </c>
      <c r="P12" t="s">
        <v>32</v>
      </c>
      <c r="Q12" t="s">
        <v>33</v>
      </c>
      <c r="R12">
        <v>0.78</v>
      </c>
      <c r="S12" s="1">
        <v>41093</v>
      </c>
      <c r="T12" t="str">
        <f t="shared" si="1"/>
        <v>03-Jul-2012</v>
      </c>
    </row>
    <row r="13" spans="1:20" x14ac:dyDescent="0.3">
      <c r="A13">
        <v>22628</v>
      </c>
      <c r="B13" s="1">
        <v>40115</v>
      </c>
      <c r="C13" t="s">
        <v>38</v>
      </c>
      <c r="D13" t="str">
        <f t="shared" si="0"/>
        <v>29-Oct-2009</v>
      </c>
      <c r="E13">
        <v>30</v>
      </c>
      <c r="F13" s="13">
        <v>2951.7</v>
      </c>
      <c r="G13">
        <v>0.02</v>
      </c>
      <c r="H13" t="s">
        <v>24</v>
      </c>
      <c r="I13" s="13">
        <v>-1111.45</v>
      </c>
      <c r="J13">
        <v>95.95</v>
      </c>
      <c r="K13">
        <v>74.349999999999994</v>
      </c>
      <c r="L13" t="s">
        <v>370</v>
      </c>
      <c r="M13" t="s">
        <v>314</v>
      </c>
      <c r="N13" s="5" t="s">
        <v>86</v>
      </c>
      <c r="O13" t="s">
        <v>28</v>
      </c>
      <c r="P13" t="s">
        <v>32</v>
      </c>
      <c r="Q13" t="s">
        <v>56</v>
      </c>
      <c r="R13">
        <v>0.56999999999999995</v>
      </c>
      <c r="S13" s="1">
        <v>40118</v>
      </c>
      <c r="T13" t="str">
        <f t="shared" si="1"/>
        <v>01-Nov-2009</v>
      </c>
    </row>
    <row r="14" spans="1:20" x14ac:dyDescent="0.3">
      <c r="A14">
        <v>10630</v>
      </c>
      <c r="B14" s="1">
        <v>40213</v>
      </c>
      <c r="C14" t="s">
        <v>38</v>
      </c>
      <c r="D14" t="str">
        <f t="shared" si="0"/>
        <v>04-Feb-2010</v>
      </c>
      <c r="E14">
        <v>44</v>
      </c>
      <c r="F14" s="13">
        <v>2773.84</v>
      </c>
      <c r="G14">
        <v>0</v>
      </c>
      <c r="H14" t="s">
        <v>24</v>
      </c>
      <c r="I14" s="13">
        <v>-513.76</v>
      </c>
      <c r="J14">
        <v>58.14</v>
      </c>
      <c r="K14">
        <v>36.61</v>
      </c>
      <c r="L14" t="s">
        <v>372</v>
      </c>
      <c r="M14" t="s">
        <v>314</v>
      </c>
      <c r="N14" s="5" t="s">
        <v>86</v>
      </c>
      <c r="O14" t="s">
        <v>28</v>
      </c>
      <c r="P14" t="s">
        <v>32</v>
      </c>
      <c r="Q14" t="s">
        <v>45</v>
      </c>
      <c r="R14">
        <v>0.61</v>
      </c>
      <c r="S14" s="1">
        <v>40215</v>
      </c>
      <c r="T14" t="str">
        <f t="shared" si="1"/>
        <v>06-Feb-2010</v>
      </c>
    </row>
    <row r="15" spans="1:20" x14ac:dyDescent="0.3">
      <c r="A15">
        <v>57059</v>
      </c>
      <c r="B15" s="1">
        <v>40695</v>
      </c>
      <c r="C15" t="s">
        <v>38</v>
      </c>
      <c r="D15" t="str">
        <f t="shared" si="0"/>
        <v>01-Jun-2011</v>
      </c>
      <c r="E15">
        <v>25</v>
      </c>
      <c r="F15" s="13">
        <v>2455.54</v>
      </c>
      <c r="G15">
        <v>0.03</v>
      </c>
      <c r="H15" t="s">
        <v>19</v>
      </c>
      <c r="I15" s="13">
        <v>1361.88</v>
      </c>
      <c r="J15">
        <v>98.31</v>
      </c>
      <c r="K15">
        <v>0.49</v>
      </c>
      <c r="L15" t="s">
        <v>167</v>
      </c>
      <c r="M15" t="s">
        <v>314</v>
      </c>
      <c r="N15" s="5" t="s">
        <v>86</v>
      </c>
      <c r="O15" t="s">
        <v>28</v>
      </c>
      <c r="P15" t="s">
        <v>21</v>
      </c>
      <c r="Q15" t="s">
        <v>48</v>
      </c>
      <c r="R15">
        <v>0.36</v>
      </c>
      <c r="S15" s="1">
        <v>40697</v>
      </c>
      <c r="T15" t="str">
        <f t="shared" si="1"/>
        <v>03-Jun-2011</v>
      </c>
    </row>
    <row r="16" spans="1:20" x14ac:dyDescent="0.3">
      <c r="A16">
        <v>30625</v>
      </c>
      <c r="B16" s="1">
        <v>40217</v>
      </c>
      <c r="C16" t="s">
        <v>43</v>
      </c>
      <c r="D16" t="str">
        <f t="shared" si="0"/>
        <v>08-Feb-2010</v>
      </c>
      <c r="E16">
        <v>24</v>
      </c>
      <c r="F16" s="13">
        <v>2429.09</v>
      </c>
      <c r="G16">
        <v>0.06</v>
      </c>
      <c r="H16" t="s">
        <v>35</v>
      </c>
      <c r="I16" s="13">
        <v>-20.67</v>
      </c>
      <c r="J16">
        <v>105.29</v>
      </c>
      <c r="K16">
        <v>10.119999999999999</v>
      </c>
      <c r="L16" t="s">
        <v>372</v>
      </c>
      <c r="M16" t="s">
        <v>314</v>
      </c>
      <c r="N16" s="5" t="s">
        <v>86</v>
      </c>
      <c r="O16" t="s">
        <v>28</v>
      </c>
      <c r="P16" t="s">
        <v>32</v>
      </c>
      <c r="Q16" t="s">
        <v>33</v>
      </c>
      <c r="R16">
        <v>0.79</v>
      </c>
      <c r="S16" s="1">
        <v>40219</v>
      </c>
      <c r="T16" t="str">
        <f t="shared" si="1"/>
        <v>10-Feb-2010</v>
      </c>
    </row>
    <row r="17" spans="1:20" x14ac:dyDescent="0.3">
      <c r="A17">
        <v>20933</v>
      </c>
      <c r="B17" s="1">
        <v>41147</v>
      </c>
      <c r="C17" t="s">
        <v>23</v>
      </c>
      <c r="D17" t="str">
        <f t="shared" si="0"/>
        <v>26-Aug-2012</v>
      </c>
      <c r="E17">
        <v>45</v>
      </c>
      <c r="F17" s="13">
        <v>2079.4740000000002</v>
      </c>
      <c r="G17">
        <v>0.05</v>
      </c>
      <c r="H17" t="s">
        <v>19</v>
      </c>
      <c r="I17" s="13">
        <v>-81.569999999999993</v>
      </c>
      <c r="J17">
        <v>55.99</v>
      </c>
      <c r="K17">
        <v>5</v>
      </c>
      <c r="L17" t="s">
        <v>187</v>
      </c>
      <c r="M17" t="s">
        <v>314</v>
      </c>
      <c r="N17" s="5" t="s">
        <v>86</v>
      </c>
      <c r="O17" t="s">
        <v>28</v>
      </c>
      <c r="P17" t="s">
        <v>29</v>
      </c>
      <c r="Q17" t="s">
        <v>30</v>
      </c>
      <c r="R17">
        <v>0.8</v>
      </c>
      <c r="S17" s="1">
        <v>41149</v>
      </c>
      <c r="T17" t="str">
        <f t="shared" si="1"/>
        <v>28-Aug-2012</v>
      </c>
    </row>
    <row r="18" spans="1:20" x14ac:dyDescent="0.3">
      <c r="A18">
        <v>13767</v>
      </c>
      <c r="B18" s="1">
        <v>40416</v>
      </c>
      <c r="C18" t="s">
        <v>23</v>
      </c>
      <c r="D18" t="str">
        <f t="shared" si="0"/>
        <v>26-Aug-2010</v>
      </c>
      <c r="E18">
        <v>12</v>
      </c>
      <c r="F18" s="13">
        <v>2050.712</v>
      </c>
      <c r="G18">
        <v>0.05</v>
      </c>
      <c r="H18" t="s">
        <v>24</v>
      </c>
      <c r="I18" s="13">
        <v>-381.04</v>
      </c>
      <c r="J18">
        <v>218.75</v>
      </c>
      <c r="K18">
        <v>69.64</v>
      </c>
      <c r="L18" t="s">
        <v>316</v>
      </c>
      <c r="M18" t="s">
        <v>314</v>
      </c>
      <c r="N18" s="5" t="s">
        <v>86</v>
      </c>
      <c r="O18" t="s">
        <v>28</v>
      </c>
      <c r="P18" t="s">
        <v>32</v>
      </c>
      <c r="Q18" t="s">
        <v>46</v>
      </c>
      <c r="R18">
        <v>0.72</v>
      </c>
      <c r="S18" s="1">
        <v>40418</v>
      </c>
      <c r="T18" t="str">
        <f t="shared" si="1"/>
        <v>28-Aug-2010</v>
      </c>
    </row>
    <row r="19" spans="1:20" x14ac:dyDescent="0.3">
      <c r="A19">
        <v>21731</v>
      </c>
      <c r="B19" s="1">
        <v>40873</v>
      </c>
      <c r="C19" t="s">
        <v>18</v>
      </c>
      <c r="D19" t="str">
        <f t="shared" si="0"/>
        <v>26-Nov-2011</v>
      </c>
      <c r="E19">
        <v>26</v>
      </c>
      <c r="F19" s="13">
        <v>1580.57</v>
      </c>
      <c r="G19">
        <v>0.08</v>
      </c>
      <c r="H19" t="s">
        <v>19</v>
      </c>
      <c r="I19" s="13">
        <v>-750.82</v>
      </c>
      <c r="J19">
        <v>60.98</v>
      </c>
      <c r="K19">
        <v>49</v>
      </c>
      <c r="L19" t="s">
        <v>167</v>
      </c>
      <c r="M19" t="s">
        <v>314</v>
      </c>
      <c r="N19" s="5" t="s">
        <v>86</v>
      </c>
      <c r="O19" t="s">
        <v>28</v>
      </c>
      <c r="P19" t="s">
        <v>21</v>
      </c>
      <c r="Q19" t="s">
        <v>25</v>
      </c>
      <c r="R19">
        <v>0.59</v>
      </c>
      <c r="S19" s="1">
        <v>40873</v>
      </c>
      <c r="T19" t="str">
        <f t="shared" si="1"/>
        <v>26-Nov-2011</v>
      </c>
    </row>
    <row r="20" spans="1:20" x14ac:dyDescent="0.3">
      <c r="A20">
        <v>51488</v>
      </c>
      <c r="B20" s="1">
        <v>40300</v>
      </c>
      <c r="C20" t="s">
        <v>23</v>
      </c>
      <c r="D20" t="str">
        <f t="shared" si="0"/>
        <v>02-May-2010</v>
      </c>
      <c r="E20">
        <v>31</v>
      </c>
      <c r="F20" s="13">
        <v>1561.96</v>
      </c>
      <c r="G20">
        <v>0.03</v>
      </c>
      <c r="H20" t="s">
        <v>19</v>
      </c>
      <c r="I20" s="13">
        <v>119.92</v>
      </c>
      <c r="J20">
        <v>50.98</v>
      </c>
      <c r="K20">
        <v>13.66</v>
      </c>
      <c r="L20" t="s">
        <v>167</v>
      </c>
      <c r="M20" t="s">
        <v>314</v>
      </c>
      <c r="N20" s="5" t="s">
        <v>86</v>
      </c>
      <c r="O20" t="s">
        <v>28</v>
      </c>
      <c r="P20" t="s">
        <v>21</v>
      </c>
      <c r="Q20" t="s">
        <v>25</v>
      </c>
      <c r="R20">
        <v>0.57999999999999996</v>
      </c>
      <c r="S20" s="1">
        <v>40301</v>
      </c>
      <c r="T20" t="str">
        <f t="shared" si="1"/>
        <v>03-May-2010</v>
      </c>
    </row>
    <row r="21" spans="1:20" x14ac:dyDescent="0.3">
      <c r="A21">
        <v>31718</v>
      </c>
      <c r="B21" s="1">
        <v>40509</v>
      </c>
      <c r="C21" t="s">
        <v>18</v>
      </c>
      <c r="D21" t="str">
        <f t="shared" si="0"/>
        <v>27-Nov-2010</v>
      </c>
      <c r="E21">
        <v>24</v>
      </c>
      <c r="F21" s="13">
        <v>1390.6935000000001</v>
      </c>
      <c r="G21">
        <v>0.03</v>
      </c>
      <c r="H21" t="s">
        <v>19</v>
      </c>
      <c r="I21" s="13">
        <v>168.46</v>
      </c>
      <c r="J21">
        <v>65.989999999999995</v>
      </c>
      <c r="K21">
        <v>7.69</v>
      </c>
      <c r="L21" t="s">
        <v>316</v>
      </c>
      <c r="M21" t="s">
        <v>314</v>
      </c>
      <c r="N21" s="5" t="s">
        <v>86</v>
      </c>
      <c r="O21" t="s">
        <v>28</v>
      </c>
      <c r="P21" t="s">
        <v>29</v>
      </c>
      <c r="Q21" t="s">
        <v>30</v>
      </c>
      <c r="R21">
        <v>0.59</v>
      </c>
      <c r="S21" s="1">
        <v>40513</v>
      </c>
      <c r="T21" t="str">
        <f t="shared" si="1"/>
        <v>01-Dec-2010</v>
      </c>
    </row>
    <row r="22" spans="1:20" x14ac:dyDescent="0.3">
      <c r="A22">
        <v>20036</v>
      </c>
      <c r="B22" s="1">
        <v>40517</v>
      </c>
      <c r="C22" t="s">
        <v>31</v>
      </c>
      <c r="D22" t="str">
        <f t="shared" si="0"/>
        <v>05-Dec-2010</v>
      </c>
      <c r="E22">
        <v>44</v>
      </c>
      <c r="F22" s="13">
        <v>1207.4000000000001</v>
      </c>
      <c r="G22">
        <v>0.03</v>
      </c>
      <c r="H22" t="s">
        <v>19</v>
      </c>
      <c r="I22" s="13">
        <v>-25.23</v>
      </c>
      <c r="J22">
        <v>26.31</v>
      </c>
      <c r="K22">
        <v>5.89</v>
      </c>
      <c r="L22" t="s">
        <v>318</v>
      </c>
      <c r="M22" t="s">
        <v>314</v>
      </c>
      <c r="N22" s="5" t="s">
        <v>86</v>
      </c>
      <c r="O22" t="s">
        <v>28</v>
      </c>
      <c r="P22" t="s">
        <v>29</v>
      </c>
      <c r="Q22" t="s">
        <v>41</v>
      </c>
      <c r="R22">
        <v>0.75</v>
      </c>
      <c r="S22" s="1">
        <v>40519</v>
      </c>
      <c r="T22" t="str">
        <f t="shared" si="1"/>
        <v>07-Dec-2010</v>
      </c>
    </row>
    <row r="23" spans="1:20" x14ac:dyDescent="0.3">
      <c r="A23">
        <v>54791</v>
      </c>
      <c r="B23" s="1">
        <v>41263</v>
      </c>
      <c r="C23" t="s">
        <v>23</v>
      </c>
      <c r="D23" t="str">
        <f t="shared" si="0"/>
        <v>20-Dec-2012</v>
      </c>
      <c r="E23">
        <v>27</v>
      </c>
      <c r="F23" s="13">
        <v>1087.58</v>
      </c>
      <c r="G23">
        <v>0.01</v>
      </c>
      <c r="H23" t="s">
        <v>19</v>
      </c>
      <c r="I23" s="13">
        <v>514.45000000000005</v>
      </c>
      <c r="J23">
        <v>39.89</v>
      </c>
      <c r="K23">
        <v>3.04</v>
      </c>
      <c r="L23" t="s">
        <v>119</v>
      </c>
      <c r="M23" t="s">
        <v>314</v>
      </c>
      <c r="N23" s="5" t="s">
        <v>86</v>
      </c>
      <c r="O23" t="s">
        <v>28</v>
      </c>
      <c r="P23" t="s">
        <v>32</v>
      </c>
      <c r="Q23" t="s">
        <v>33</v>
      </c>
      <c r="R23">
        <v>0.53</v>
      </c>
      <c r="S23" s="1">
        <v>41264</v>
      </c>
      <c r="T23" t="str">
        <f t="shared" si="1"/>
        <v>21-Dec-2012</v>
      </c>
    </row>
    <row r="24" spans="1:20" x14ac:dyDescent="0.3">
      <c r="A24">
        <v>22210</v>
      </c>
      <c r="B24" s="1">
        <v>40805</v>
      </c>
      <c r="C24" t="s">
        <v>43</v>
      </c>
      <c r="D24" t="str">
        <f t="shared" si="0"/>
        <v>19-Sep-2011</v>
      </c>
      <c r="E24">
        <v>37</v>
      </c>
      <c r="F24" s="13">
        <v>1033.44</v>
      </c>
      <c r="G24">
        <v>0.1</v>
      </c>
      <c r="H24" t="s">
        <v>19</v>
      </c>
      <c r="I24" s="13">
        <v>385.63</v>
      </c>
      <c r="J24">
        <v>29.14</v>
      </c>
      <c r="K24">
        <v>4.8600000000000003</v>
      </c>
      <c r="L24" t="s">
        <v>335</v>
      </c>
      <c r="M24" t="s">
        <v>314</v>
      </c>
      <c r="N24" s="5" t="s">
        <v>86</v>
      </c>
      <c r="O24" t="s">
        <v>28</v>
      </c>
      <c r="P24" t="s">
        <v>21</v>
      </c>
      <c r="Q24" t="s">
        <v>37</v>
      </c>
      <c r="R24">
        <v>0.38</v>
      </c>
      <c r="S24" s="1">
        <v>40807</v>
      </c>
      <c r="T24" t="str">
        <f t="shared" si="1"/>
        <v>21-Sep-2011</v>
      </c>
    </row>
    <row r="25" spans="1:20" x14ac:dyDescent="0.3">
      <c r="A25">
        <v>31718</v>
      </c>
      <c r="B25" s="1">
        <v>40509</v>
      </c>
      <c r="C25" t="s">
        <v>18</v>
      </c>
      <c r="D25" t="str">
        <f t="shared" si="0"/>
        <v>27-Nov-2010</v>
      </c>
      <c r="E25">
        <v>20</v>
      </c>
      <c r="F25" s="13">
        <v>1017.2885</v>
      </c>
      <c r="G25">
        <v>0.1</v>
      </c>
      <c r="H25" t="s">
        <v>19</v>
      </c>
      <c r="I25" s="13">
        <v>-115.3</v>
      </c>
      <c r="J25">
        <v>65.989999999999995</v>
      </c>
      <c r="K25">
        <v>8.99</v>
      </c>
      <c r="L25" t="s">
        <v>316</v>
      </c>
      <c r="M25" t="s">
        <v>314</v>
      </c>
      <c r="N25" s="5" t="s">
        <v>86</v>
      </c>
      <c r="O25" t="s">
        <v>28</v>
      </c>
      <c r="P25" t="s">
        <v>29</v>
      </c>
      <c r="Q25" t="s">
        <v>30</v>
      </c>
      <c r="R25">
        <v>0.6</v>
      </c>
      <c r="S25" s="1">
        <v>40516</v>
      </c>
      <c r="T25" t="str">
        <f t="shared" si="1"/>
        <v>04-Dec-2010</v>
      </c>
    </row>
    <row r="26" spans="1:20" x14ac:dyDescent="0.3">
      <c r="A26">
        <v>21985</v>
      </c>
      <c r="B26" s="1">
        <v>40051</v>
      </c>
      <c r="C26" t="s">
        <v>43</v>
      </c>
      <c r="D26" t="str">
        <f t="shared" si="0"/>
        <v>26-Aug-2009</v>
      </c>
      <c r="E26">
        <v>45</v>
      </c>
      <c r="F26" s="13">
        <v>947.66</v>
      </c>
      <c r="G26">
        <v>0.08</v>
      </c>
      <c r="H26" t="s">
        <v>24</v>
      </c>
      <c r="I26" s="13">
        <v>-2175.09</v>
      </c>
      <c r="J26">
        <v>20.98</v>
      </c>
      <c r="K26">
        <v>53.03</v>
      </c>
      <c r="L26" t="s">
        <v>370</v>
      </c>
      <c r="M26" t="s">
        <v>314</v>
      </c>
      <c r="N26" s="5" t="s">
        <v>86</v>
      </c>
      <c r="O26" t="s">
        <v>28</v>
      </c>
      <c r="P26" t="s">
        <v>21</v>
      </c>
      <c r="Q26" t="s">
        <v>22</v>
      </c>
      <c r="R26">
        <v>0.78</v>
      </c>
      <c r="S26" s="1">
        <v>40053</v>
      </c>
      <c r="T26" t="str">
        <f t="shared" si="1"/>
        <v>28-Aug-2009</v>
      </c>
    </row>
    <row r="27" spans="1:20" x14ac:dyDescent="0.3">
      <c r="A27">
        <v>36449</v>
      </c>
      <c r="B27" s="1">
        <v>40426</v>
      </c>
      <c r="C27" t="s">
        <v>31</v>
      </c>
      <c r="D27" t="str">
        <f t="shared" si="0"/>
        <v>05-Sep-2010</v>
      </c>
      <c r="E27">
        <v>43</v>
      </c>
      <c r="F27" s="13">
        <v>927.82</v>
      </c>
      <c r="G27">
        <v>0.02</v>
      </c>
      <c r="H27" t="s">
        <v>19</v>
      </c>
      <c r="I27" s="13">
        <v>255.03</v>
      </c>
      <c r="J27">
        <v>20.239999999999998</v>
      </c>
      <c r="K27">
        <v>6.67</v>
      </c>
      <c r="L27" t="s">
        <v>156</v>
      </c>
      <c r="M27" t="s">
        <v>314</v>
      </c>
      <c r="N27" s="5" t="s">
        <v>86</v>
      </c>
      <c r="O27" t="s">
        <v>28</v>
      </c>
      <c r="P27" t="s">
        <v>32</v>
      </c>
      <c r="Q27" t="s">
        <v>33</v>
      </c>
      <c r="R27">
        <v>0.49</v>
      </c>
      <c r="S27" s="1">
        <v>40428</v>
      </c>
      <c r="T27" t="str">
        <f t="shared" si="1"/>
        <v>07-Sep-2010</v>
      </c>
    </row>
    <row r="28" spans="1:20" x14ac:dyDescent="0.3">
      <c r="A28">
        <v>37313</v>
      </c>
      <c r="B28" s="1">
        <v>41092</v>
      </c>
      <c r="C28" t="s">
        <v>31</v>
      </c>
      <c r="D28" t="str">
        <f t="shared" si="0"/>
        <v>02-Jul-2012</v>
      </c>
      <c r="E28">
        <v>17</v>
      </c>
      <c r="F28" s="13">
        <v>908.41200000000003</v>
      </c>
      <c r="G28">
        <v>7.0000000000000007E-2</v>
      </c>
      <c r="H28" t="s">
        <v>35</v>
      </c>
      <c r="I28" s="13">
        <v>-71.19</v>
      </c>
      <c r="J28">
        <v>65.989999999999995</v>
      </c>
      <c r="K28">
        <v>8.99</v>
      </c>
      <c r="L28" t="s">
        <v>167</v>
      </c>
      <c r="M28" t="s">
        <v>314</v>
      </c>
      <c r="N28" s="5" t="s">
        <v>86</v>
      </c>
      <c r="O28" t="s">
        <v>28</v>
      </c>
      <c r="P28" t="s">
        <v>29</v>
      </c>
      <c r="Q28" t="s">
        <v>30</v>
      </c>
      <c r="R28">
        <v>0.57999999999999996</v>
      </c>
      <c r="S28" s="1">
        <v>41094</v>
      </c>
      <c r="T28" t="str">
        <f t="shared" si="1"/>
        <v>04-Jul-2012</v>
      </c>
    </row>
    <row r="29" spans="1:20" x14ac:dyDescent="0.3">
      <c r="A29">
        <v>58693</v>
      </c>
      <c r="B29" s="1">
        <v>40107</v>
      </c>
      <c r="C29" t="s">
        <v>18</v>
      </c>
      <c r="D29" t="str">
        <f t="shared" si="0"/>
        <v>21-Oct-2009</v>
      </c>
      <c r="E29">
        <v>50</v>
      </c>
      <c r="F29" s="13">
        <v>876.64</v>
      </c>
      <c r="G29">
        <v>0</v>
      </c>
      <c r="H29" t="s">
        <v>19</v>
      </c>
      <c r="I29" s="13">
        <v>-126.68</v>
      </c>
      <c r="J29">
        <v>15.99</v>
      </c>
      <c r="K29">
        <v>13.18</v>
      </c>
      <c r="L29" t="s">
        <v>156</v>
      </c>
      <c r="M29" t="s">
        <v>314</v>
      </c>
      <c r="N29" s="5" t="s">
        <v>86</v>
      </c>
      <c r="O29" t="s">
        <v>28</v>
      </c>
      <c r="P29" t="s">
        <v>21</v>
      </c>
      <c r="Q29" t="s">
        <v>26</v>
      </c>
      <c r="R29">
        <v>0.37</v>
      </c>
      <c r="S29" s="1">
        <v>40111</v>
      </c>
      <c r="T29" t="str">
        <f t="shared" si="1"/>
        <v>25-Oct-2009</v>
      </c>
    </row>
    <row r="30" spans="1:20" x14ac:dyDescent="0.3">
      <c r="A30">
        <v>34661</v>
      </c>
      <c r="B30" s="1">
        <v>40198</v>
      </c>
      <c r="C30" t="s">
        <v>43</v>
      </c>
      <c r="D30" t="str">
        <f t="shared" si="0"/>
        <v>20-Jan-2010</v>
      </c>
      <c r="E30">
        <v>26</v>
      </c>
      <c r="F30" s="13">
        <v>864.16</v>
      </c>
      <c r="G30">
        <v>0.09</v>
      </c>
      <c r="H30" t="s">
        <v>19</v>
      </c>
      <c r="I30" s="13">
        <v>-175.47</v>
      </c>
      <c r="J30">
        <v>33.979999999999997</v>
      </c>
      <c r="K30">
        <v>19.989999999999998</v>
      </c>
      <c r="L30" t="s">
        <v>151</v>
      </c>
      <c r="M30" t="s">
        <v>314</v>
      </c>
      <c r="N30" s="5" t="s">
        <v>86</v>
      </c>
      <c r="O30" t="s">
        <v>28</v>
      </c>
      <c r="P30" t="s">
        <v>32</v>
      </c>
      <c r="Q30" t="s">
        <v>33</v>
      </c>
      <c r="R30">
        <v>0.55000000000000004</v>
      </c>
      <c r="S30" s="1">
        <v>40200</v>
      </c>
      <c r="T30" t="str">
        <f t="shared" si="1"/>
        <v>22-Jan-2010</v>
      </c>
    </row>
    <row r="31" spans="1:20" x14ac:dyDescent="0.3">
      <c r="A31">
        <v>52389</v>
      </c>
      <c r="B31" s="1">
        <v>40837</v>
      </c>
      <c r="C31" t="s">
        <v>43</v>
      </c>
      <c r="D31" t="str">
        <f t="shared" si="0"/>
        <v>21-Oct-2011</v>
      </c>
      <c r="E31">
        <v>31</v>
      </c>
      <c r="F31" s="13">
        <v>655.33000000000004</v>
      </c>
      <c r="G31">
        <v>0.08</v>
      </c>
      <c r="H31" t="s">
        <v>19</v>
      </c>
      <c r="I31" s="13">
        <v>-57.16</v>
      </c>
      <c r="J31">
        <v>21.38</v>
      </c>
      <c r="K31">
        <v>8.99</v>
      </c>
      <c r="L31" t="s">
        <v>319</v>
      </c>
      <c r="M31" t="s">
        <v>314</v>
      </c>
      <c r="N31" s="5" t="s">
        <v>86</v>
      </c>
      <c r="O31" t="s">
        <v>28</v>
      </c>
      <c r="P31" t="s">
        <v>21</v>
      </c>
      <c r="Q31" t="s">
        <v>50</v>
      </c>
      <c r="R31">
        <v>0.59</v>
      </c>
      <c r="S31" s="1">
        <v>40837</v>
      </c>
      <c r="T31" t="str">
        <f t="shared" si="1"/>
        <v>21-Oct-2011</v>
      </c>
    </row>
    <row r="32" spans="1:20" x14ac:dyDescent="0.3">
      <c r="A32">
        <v>59271</v>
      </c>
      <c r="B32" s="1">
        <v>40658</v>
      </c>
      <c r="C32" t="s">
        <v>31</v>
      </c>
      <c r="D32" t="str">
        <f t="shared" si="0"/>
        <v>25-Apr-2011</v>
      </c>
      <c r="E32">
        <v>40</v>
      </c>
      <c r="F32" s="13">
        <v>630.38</v>
      </c>
      <c r="G32">
        <v>0.02</v>
      </c>
      <c r="H32" t="s">
        <v>35</v>
      </c>
      <c r="I32" s="13">
        <v>-186.77</v>
      </c>
      <c r="J32">
        <v>14.81</v>
      </c>
      <c r="K32">
        <v>13.32</v>
      </c>
      <c r="L32" t="s">
        <v>370</v>
      </c>
      <c r="M32" t="s">
        <v>314</v>
      </c>
      <c r="N32" s="5" t="s">
        <v>86</v>
      </c>
      <c r="O32" t="s">
        <v>28</v>
      </c>
      <c r="P32" t="s">
        <v>21</v>
      </c>
      <c r="Q32" t="s">
        <v>25</v>
      </c>
      <c r="R32">
        <v>0.43</v>
      </c>
      <c r="S32" s="1">
        <v>40659</v>
      </c>
      <c r="T32" t="str">
        <f t="shared" si="1"/>
        <v>26-Apr-2011</v>
      </c>
    </row>
    <row r="33" spans="1:20" x14ac:dyDescent="0.3">
      <c r="A33">
        <v>3458</v>
      </c>
      <c r="B33" s="1">
        <v>40168</v>
      </c>
      <c r="C33" t="s">
        <v>23</v>
      </c>
      <c r="D33" t="str">
        <f t="shared" si="0"/>
        <v>21-Dec-2009</v>
      </c>
      <c r="E33">
        <v>41</v>
      </c>
      <c r="F33" s="13">
        <v>627.91</v>
      </c>
      <c r="G33">
        <v>0.03</v>
      </c>
      <c r="H33" t="s">
        <v>19</v>
      </c>
      <c r="I33" s="13">
        <v>222.08</v>
      </c>
      <c r="J33">
        <v>15.28</v>
      </c>
      <c r="K33">
        <v>1.99</v>
      </c>
      <c r="L33" t="s">
        <v>119</v>
      </c>
      <c r="M33" t="s">
        <v>314</v>
      </c>
      <c r="N33" s="5" t="s">
        <v>86</v>
      </c>
      <c r="O33" t="s">
        <v>28</v>
      </c>
      <c r="P33" t="s">
        <v>29</v>
      </c>
      <c r="Q33" t="s">
        <v>41</v>
      </c>
      <c r="R33">
        <v>0.42</v>
      </c>
      <c r="S33" s="1">
        <v>40170</v>
      </c>
      <c r="T33" t="str">
        <f t="shared" si="1"/>
        <v>23-Dec-2009</v>
      </c>
    </row>
    <row r="34" spans="1:20" x14ac:dyDescent="0.3">
      <c r="A34">
        <v>12900</v>
      </c>
      <c r="B34" s="1">
        <v>40301</v>
      </c>
      <c r="C34" t="s">
        <v>23</v>
      </c>
      <c r="D34" t="str">
        <f t="shared" si="0"/>
        <v>03-May-2010</v>
      </c>
      <c r="E34">
        <v>50</v>
      </c>
      <c r="F34" s="13">
        <v>627.12</v>
      </c>
      <c r="G34">
        <v>0.08</v>
      </c>
      <c r="H34" t="s">
        <v>19</v>
      </c>
      <c r="I34" s="13">
        <v>100.04</v>
      </c>
      <c r="J34">
        <v>12.64</v>
      </c>
      <c r="K34">
        <v>4.9800000000000004</v>
      </c>
      <c r="L34" t="s">
        <v>280</v>
      </c>
      <c r="M34" t="s">
        <v>314</v>
      </c>
      <c r="N34" s="5" t="s">
        <v>86</v>
      </c>
      <c r="O34" t="s">
        <v>28</v>
      </c>
      <c r="P34" t="s">
        <v>32</v>
      </c>
      <c r="Q34" t="s">
        <v>33</v>
      </c>
      <c r="R34">
        <v>0.48</v>
      </c>
      <c r="S34" s="1">
        <v>40302</v>
      </c>
      <c r="T34" t="str">
        <f t="shared" si="1"/>
        <v>04-May-2010</v>
      </c>
    </row>
    <row r="35" spans="1:20" x14ac:dyDescent="0.3">
      <c r="A35">
        <v>2048</v>
      </c>
      <c r="B35" s="1">
        <v>40496</v>
      </c>
      <c r="C35" t="s">
        <v>43</v>
      </c>
      <c r="D35" t="str">
        <f t="shared" si="0"/>
        <v>14-Nov-2010</v>
      </c>
      <c r="E35">
        <v>9</v>
      </c>
      <c r="F35" s="13">
        <v>548.36</v>
      </c>
      <c r="G35">
        <v>0.1</v>
      </c>
      <c r="H35" t="s">
        <v>35</v>
      </c>
      <c r="I35" s="13">
        <v>78.63</v>
      </c>
      <c r="J35">
        <v>60.97</v>
      </c>
      <c r="K35">
        <v>4.5</v>
      </c>
      <c r="L35" t="s">
        <v>245</v>
      </c>
      <c r="M35" t="s">
        <v>314</v>
      </c>
      <c r="N35" s="5" t="s">
        <v>86</v>
      </c>
      <c r="O35" t="s">
        <v>28</v>
      </c>
      <c r="P35" t="s">
        <v>21</v>
      </c>
      <c r="Q35" t="s">
        <v>25</v>
      </c>
      <c r="R35">
        <v>0.56000000000000005</v>
      </c>
      <c r="S35" s="1">
        <v>40497</v>
      </c>
      <c r="T35" t="str">
        <f t="shared" si="1"/>
        <v>15-Nov-2010</v>
      </c>
    </row>
    <row r="36" spans="1:20" x14ac:dyDescent="0.3">
      <c r="A36">
        <v>18945</v>
      </c>
      <c r="B36" s="1">
        <v>39830</v>
      </c>
      <c r="C36" t="s">
        <v>38</v>
      </c>
      <c r="D36" t="str">
        <f t="shared" si="0"/>
        <v>17-Jan-2009</v>
      </c>
      <c r="E36">
        <v>33</v>
      </c>
      <c r="F36" s="13">
        <v>528.54</v>
      </c>
      <c r="G36">
        <v>0.06</v>
      </c>
      <c r="H36" t="s">
        <v>19</v>
      </c>
      <c r="I36" s="13">
        <v>168.54</v>
      </c>
      <c r="J36">
        <v>16.48</v>
      </c>
      <c r="K36">
        <v>1.99</v>
      </c>
      <c r="L36" t="s">
        <v>318</v>
      </c>
      <c r="M36" t="s">
        <v>314</v>
      </c>
      <c r="N36" s="5" t="s">
        <v>86</v>
      </c>
      <c r="O36" t="s">
        <v>28</v>
      </c>
      <c r="P36" t="s">
        <v>29</v>
      </c>
      <c r="Q36" t="s">
        <v>41</v>
      </c>
      <c r="R36">
        <v>0.42</v>
      </c>
      <c r="S36" s="1">
        <v>39832</v>
      </c>
      <c r="T36" t="str">
        <f t="shared" si="1"/>
        <v>19-Jan-2009</v>
      </c>
    </row>
    <row r="37" spans="1:20" x14ac:dyDescent="0.3">
      <c r="A37">
        <v>30625</v>
      </c>
      <c r="B37" s="1">
        <v>40217</v>
      </c>
      <c r="C37" t="s">
        <v>43</v>
      </c>
      <c r="D37" t="str">
        <f t="shared" si="0"/>
        <v>08-Feb-2010</v>
      </c>
      <c r="E37">
        <v>37</v>
      </c>
      <c r="F37" s="13">
        <v>478.94</v>
      </c>
      <c r="G37">
        <v>0.04</v>
      </c>
      <c r="H37" t="s">
        <v>19</v>
      </c>
      <c r="I37" s="13">
        <v>10.56</v>
      </c>
      <c r="J37">
        <v>12.53</v>
      </c>
      <c r="K37">
        <v>7.17</v>
      </c>
      <c r="L37" t="s">
        <v>372</v>
      </c>
      <c r="M37" t="s">
        <v>314</v>
      </c>
      <c r="N37" s="5" t="s">
        <v>86</v>
      </c>
      <c r="O37" t="s">
        <v>28</v>
      </c>
      <c r="P37" t="s">
        <v>21</v>
      </c>
      <c r="Q37" t="s">
        <v>26</v>
      </c>
      <c r="R37">
        <v>0.38</v>
      </c>
      <c r="S37" s="1">
        <v>40217</v>
      </c>
      <c r="T37" t="str">
        <f t="shared" si="1"/>
        <v>08-Feb-2010</v>
      </c>
    </row>
    <row r="38" spans="1:20" x14ac:dyDescent="0.3">
      <c r="A38">
        <v>38176</v>
      </c>
      <c r="B38" s="1">
        <v>40405</v>
      </c>
      <c r="C38" t="s">
        <v>23</v>
      </c>
      <c r="D38" t="str">
        <f t="shared" si="0"/>
        <v>15-Aug-2010</v>
      </c>
      <c r="E38">
        <v>48</v>
      </c>
      <c r="F38" s="13">
        <v>428.36</v>
      </c>
      <c r="G38">
        <v>0.06</v>
      </c>
      <c r="H38" t="s">
        <v>35</v>
      </c>
      <c r="I38" s="13">
        <v>74.75</v>
      </c>
      <c r="J38">
        <v>9.11</v>
      </c>
      <c r="K38">
        <v>2.25</v>
      </c>
      <c r="L38" t="s">
        <v>151</v>
      </c>
      <c r="M38" t="s">
        <v>314</v>
      </c>
      <c r="N38" s="5" t="s">
        <v>86</v>
      </c>
      <c r="O38" t="s">
        <v>28</v>
      </c>
      <c r="P38" t="s">
        <v>21</v>
      </c>
      <c r="Q38" t="s">
        <v>50</v>
      </c>
      <c r="R38">
        <v>0.52</v>
      </c>
      <c r="S38" s="1">
        <v>40407</v>
      </c>
      <c r="T38" t="str">
        <f t="shared" si="1"/>
        <v>17-Aug-2010</v>
      </c>
    </row>
    <row r="39" spans="1:20" x14ac:dyDescent="0.3">
      <c r="A39">
        <v>16289</v>
      </c>
      <c r="B39" s="1">
        <v>40376</v>
      </c>
      <c r="C39" t="s">
        <v>23</v>
      </c>
      <c r="D39" t="str">
        <f t="shared" si="0"/>
        <v>17-Jul-2010</v>
      </c>
      <c r="E39">
        <v>37</v>
      </c>
      <c r="F39" s="13">
        <v>426.64</v>
      </c>
      <c r="G39">
        <v>0.09</v>
      </c>
      <c r="H39" t="s">
        <v>19</v>
      </c>
      <c r="I39" s="13">
        <v>96.95</v>
      </c>
      <c r="J39">
        <v>12.22</v>
      </c>
      <c r="K39">
        <v>2.85</v>
      </c>
      <c r="L39" t="s">
        <v>318</v>
      </c>
      <c r="M39" t="s">
        <v>314</v>
      </c>
      <c r="N39" s="5" t="s">
        <v>86</v>
      </c>
      <c r="O39" t="s">
        <v>28</v>
      </c>
      <c r="P39" t="s">
        <v>32</v>
      </c>
      <c r="Q39" t="s">
        <v>33</v>
      </c>
      <c r="R39">
        <v>0.55000000000000004</v>
      </c>
      <c r="S39" s="1">
        <v>40378</v>
      </c>
      <c r="T39" t="str">
        <f t="shared" si="1"/>
        <v>19-Jul-2010</v>
      </c>
    </row>
    <row r="40" spans="1:20" x14ac:dyDescent="0.3">
      <c r="A40">
        <v>6402</v>
      </c>
      <c r="B40" s="1">
        <v>40656</v>
      </c>
      <c r="C40" t="s">
        <v>18</v>
      </c>
      <c r="D40" t="str">
        <f t="shared" si="0"/>
        <v>23-Apr-2011</v>
      </c>
      <c r="E40">
        <v>35</v>
      </c>
      <c r="F40" s="13">
        <v>373.33</v>
      </c>
      <c r="G40">
        <v>0.01</v>
      </c>
      <c r="H40" t="s">
        <v>19</v>
      </c>
      <c r="I40" s="13">
        <v>-22.18</v>
      </c>
      <c r="J40">
        <v>10.23</v>
      </c>
      <c r="K40">
        <v>4.68</v>
      </c>
      <c r="L40" t="s">
        <v>151</v>
      </c>
      <c r="M40" t="s">
        <v>314</v>
      </c>
      <c r="N40" s="5" t="s">
        <v>86</v>
      </c>
      <c r="O40" t="s">
        <v>28</v>
      </c>
      <c r="P40" t="s">
        <v>21</v>
      </c>
      <c r="Q40" t="s">
        <v>67</v>
      </c>
      <c r="R40">
        <v>0.59</v>
      </c>
      <c r="S40" s="1">
        <v>40661</v>
      </c>
      <c r="T40" t="str">
        <f t="shared" si="1"/>
        <v>28-Apr-2011</v>
      </c>
    </row>
    <row r="41" spans="1:20" x14ac:dyDescent="0.3">
      <c r="A41">
        <v>26695</v>
      </c>
      <c r="B41" s="1">
        <v>40335</v>
      </c>
      <c r="C41" t="s">
        <v>31</v>
      </c>
      <c r="D41" t="str">
        <f t="shared" si="0"/>
        <v>06-Jun-2010</v>
      </c>
      <c r="E41">
        <v>43</v>
      </c>
      <c r="F41" s="13">
        <v>367.11</v>
      </c>
      <c r="G41">
        <v>0.01</v>
      </c>
      <c r="H41" t="s">
        <v>19</v>
      </c>
      <c r="I41" s="13">
        <v>163.41999999999999</v>
      </c>
      <c r="J41">
        <v>8.34</v>
      </c>
      <c r="K41">
        <v>1.43</v>
      </c>
      <c r="L41" t="s">
        <v>319</v>
      </c>
      <c r="M41" t="s">
        <v>314</v>
      </c>
      <c r="N41" s="5" t="s">
        <v>86</v>
      </c>
      <c r="O41" t="s">
        <v>28</v>
      </c>
      <c r="P41" t="s">
        <v>21</v>
      </c>
      <c r="Q41" t="s">
        <v>37</v>
      </c>
      <c r="R41">
        <v>0.35</v>
      </c>
      <c r="S41" s="1">
        <v>40337</v>
      </c>
      <c r="T41" t="str">
        <f t="shared" si="1"/>
        <v>08-Jun-2010</v>
      </c>
    </row>
    <row r="42" spans="1:20" x14ac:dyDescent="0.3">
      <c r="A42">
        <v>8578</v>
      </c>
      <c r="B42" s="1">
        <v>40788</v>
      </c>
      <c r="C42" t="s">
        <v>23</v>
      </c>
      <c r="D42" t="str">
        <f t="shared" si="0"/>
        <v>02-Sep-2011</v>
      </c>
      <c r="E42">
        <v>40</v>
      </c>
      <c r="F42" s="13">
        <v>366.87</v>
      </c>
      <c r="G42">
        <v>0.1</v>
      </c>
      <c r="H42" t="s">
        <v>19</v>
      </c>
      <c r="I42" s="13">
        <v>-1.79</v>
      </c>
      <c r="J42">
        <v>9.74</v>
      </c>
      <c r="K42">
        <v>5.71</v>
      </c>
      <c r="L42" t="s">
        <v>119</v>
      </c>
      <c r="M42" t="s">
        <v>314</v>
      </c>
      <c r="N42" s="5" t="s">
        <v>86</v>
      </c>
      <c r="O42" t="s">
        <v>28</v>
      </c>
      <c r="P42" t="s">
        <v>32</v>
      </c>
      <c r="Q42" t="s">
        <v>33</v>
      </c>
      <c r="R42">
        <v>0.41</v>
      </c>
      <c r="S42" s="1">
        <v>40789</v>
      </c>
      <c r="T42" t="str">
        <f t="shared" si="1"/>
        <v>03-Sep-2011</v>
      </c>
    </row>
    <row r="43" spans="1:20" x14ac:dyDescent="0.3">
      <c r="A43">
        <v>16258</v>
      </c>
      <c r="B43" s="1">
        <v>40730</v>
      </c>
      <c r="C43" t="s">
        <v>38</v>
      </c>
      <c r="D43" t="str">
        <f t="shared" si="0"/>
        <v>06-Jul-2011</v>
      </c>
      <c r="E43">
        <v>48</v>
      </c>
      <c r="F43" s="13">
        <v>331.99</v>
      </c>
      <c r="G43">
        <v>0.03</v>
      </c>
      <c r="H43" t="s">
        <v>19</v>
      </c>
      <c r="I43" s="13">
        <v>45.31</v>
      </c>
      <c r="J43">
        <v>7.08</v>
      </c>
      <c r="K43">
        <v>2.35</v>
      </c>
      <c r="L43" t="s">
        <v>316</v>
      </c>
      <c r="M43" t="s">
        <v>314</v>
      </c>
      <c r="N43" s="5" t="s">
        <v>86</v>
      </c>
      <c r="O43" t="s">
        <v>28</v>
      </c>
      <c r="P43" t="s">
        <v>21</v>
      </c>
      <c r="Q43" t="s">
        <v>50</v>
      </c>
      <c r="R43">
        <v>0.47</v>
      </c>
      <c r="S43" s="1">
        <v>40732</v>
      </c>
      <c r="T43" t="str">
        <f t="shared" si="1"/>
        <v>08-Jul-2011</v>
      </c>
    </row>
    <row r="44" spans="1:20" x14ac:dyDescent="0.3">
      <c r="A44">
        <v>50657</v>
      </c>
      <c r="B44" s="1">
        <v>40895</v>
      </c>
      <c r="C44" t="s">
        <v>23</v>
      </c>
      <c r="D44" t="str">
        <f t="shared" si="0"/>
        <v>18-Dec-2011</v>
      </c>
      <c r="E44">
        <v>40</v>
      </c>
      <c r="F44" s="13">
        <v>315.45</v>
      </c>
      <c r="G44">
        <v>0.01</v>
      </c>
      <c r="H44" t="s">
        <v>19</v>
      </c>
      <c r="I44" s="13">
        <v>-305.88</v>
      </c>
      <c r="J44">
        <v>7.38</v>
      </c>
      <c r="K44">
        <v>11.51</v>
      </c>
      <c r="L44" t="s">
        <v>353</v>
      </c>
      <c r="M44" t="s">
        <v>314</v>
      </c>
      <c r="N44" s="5" t="s">
        <v>86</v>
      </c>
      <c r="O44" t="s">
        <v>28</v>
      </c>
      <c r="P44" t="s">
        <v>21</v>
      </c>
      <c r="Q44" t="s">
        <v>26</v>
      </c>
      <c r="R44">
        <v>0.36</v>
      </c>
      <c r="S44" s="1">
        <v>40896</v>
      </c>
      <c r="T44" t="str">
        <f t="shared" si="1"/>
        <v>19-Dec-2011</v>
      </c>
    </row>
    <row r="45" spans="1:20" x14ac:dyDescent="0.3">
      <c r="A45">
        <v>41094</v>
      </c>
      <c r="B45" s="1">
        <v>39819</v>
      </c>
      <c r="C45" t="s">
        <v>18</v>
      </c>
      <c r="D45" t="str">
        <f t="shared" si="0"/>
        <v>06-Jan-2009</v>
      </c>
      <c r="E45">
        <v>46</v>
      </c>
      <c r="F45" s="13">
        <v>298.97000000000003</v>
      </c>
      <c r="G45">
        <v>0.09</v>
      </c>
      <c r="H45" t="s">
        <v>19</v>
      </c>
      <c r="I45" s="13">
        <v>-225.86</v>
      </c>
      <c r="J45">
        <v>6.48</v>
      </c>
      <c r="K45">
        <v>8.73</v>
      </c>
      <c r="L45" t="s">
        <v>339</v>
      </c>
      <c r="M45" t="s">
        <v>314</v>
      </c>
      <c r="N45" s="5" t="s">
        <v>86</v>
      </c>
      <c r="O45" t="s">
        <v>28</v>
      </c>
      <c r="P45" t="s">
        <v>21</v>
      </c>
      <c r="Q45" t="s">
        <v>37</v>
      </c>
      <c r="R45">
        <v>0.37</v>
      </c>
      <c r="S45" s="1">
        <v>39821</v>
      </c>
      <c r="T45" t="str">
        <f t="shared" si="1"/>
        <v>08-Jan-2009</v>
      </c>
    </row>
    <row r="46" spans="1:20" x14ac:dyDescent="0.3">
      <c r="A46">
        <v>1504</v>
      </c>
      <c r="B46" s="1">
        <v>41148</v>
      </c>
      <c r="C46" t="s">
        <v>38</v>
      </c>
      <c r="D46" t="str">
        <f t="shared" si="0"/>
        <v>27-Aug-2012</v>
      </c>
      <c r="E46">
        <v>31</v>
      </c>
      <c r="F46" s="13">
        <v>293.18</v>
      </c>
      <c r="G46">
        <v>0.08</v>
      </c>
      <c r="H46" t="s">
        <v>19</v>
      </c>
      <c r="I46" s="13">
        <v>64.22</v>
      </c>
      <c r="J46">
        <v>10.01</v>
      </c>
      <c r="K46">
        <v>1.99</v>
      </c>
      <c r="L46" t="s">
        <v>339</v>
      </c>
      <c r="M46" t="s">
        <v>314</v>
      </c>
      <c r="N46" s="5" t="s">
        <v>86</v>
      </c>
      <c r="O46" t="s">
        <v>28</v>
      </c>
      <c r="P46" t="s">
        <v>29</v>
      </c>
      <c r="Q46" t="s">
        <v>41</v>
      </c>
      <c r="R46">
        <v>0.41</v>
      </c>
      <c r="S46" s="1">
        <v>41149</v>
      </c>
      <c r="T46" t="str">
        <f t="shared" si="1"/>
        <v>28-Aug-2012</v>
      </c>
    </row>
    <row r="47" spans="1:20" x14ac:dyDescent="0.3">
      <c r="A47">
        <v>9669</v>
      </c>
      <c r="B47" s="1">
        <v>39925</v>
      </c>
      <c r="C47" t="s">
        <v>38</v>
      </c>
      <c r="D47" t="str">
        <f t="shared" si="0"/>
        <v>22-Apr-2009</v>
      </c>
      <c r="E47">
        <v>18</v>
      </c>
      <c r="F47" s="13">
        <v>292.11</v>
      </c>
      <c r="G47">
        <v>0.04</v>
      </c>
      <c r="H47" t="s">
        <v>35</v>
      </c>
      <c r="I47" s="13">
        <v>-91.95</v>
      </c>
      <c r="J47">
        <v>15.42</v>
      </c>
      <c r="K47">
        <v>10.68</v>
      </c>
      <c r="L47" t="s">
        <v>371</v>
      </c>
      <c r="M47" t="s">
        <v>314</v>
      </c>
      <c r="N47" s="5" t="s">
        <v>86</v>
      </c>
      <c r="O47" t="s">
        <v>28</v>
      </c>
      <c r="P47" t="s">
        <v>21</v>
      </c>
      <c r="Q47" t="s">
        <v>22</v>
      </c>
      <c r="R47">
        <v>0.57999999999999996</v>
      </c>
      <c r="S47" s="1">
        <v>39926</v>
      </c>
      <c r="T47" t="str">
        <f t="shared" si="1"/>
        <v>23-Apr-2009</v>
      </c>
    </row>
    <row r="48" spans="1:20" x14ac:dyDescent="0.3">
      <c r="A48">
        <v>55525</v>
      </c>
      <c r="B48" s="1">
        <v>39941</v>
      </c>
      <c r="C48" t="s">
        <v>18</v>
      </c>
      <c r="D48" t="str">
        <f t="shared" si="0"/>
        <v>08-May-2009</v>
      </c>
      <c r="E48">
        <v>1</v>
      </c>
      <c r="F48" s="13">
        <v>291.39999999999998</v>
      </c>
      <c r="G48">
        <v>0.06</v>
      </c>
      <c r="H48" t="s">
        <v>19</v>
      </c>
      <c r="I48" s="13">
        <v>-763.16</v>
      </c>
      <c r="J48">
        <v>300.97000000000003</v>
      </c>
      <c r="K48">
        <v>7.18</v>
      </c>
      <c r="L48" t="s">
        <v>167</v>
      </c>
      <c r="M48" t="s">
        <v>314</v>
      </c>
      <c r="N48" s="5" t="s">
        <v>86</v>
      </c>
      <c r="O48" t="s">
        <v>28</v>
      </c>
      <c r="P48" t="s">
        <v>29</v>
      </c>
      <c r="Q48" t="s">
        <v>41</v>
      </c>
      <c r="R48">
        <v>0.48</v>
      </c>
      <c r="S48" s="1">
        <v>39941</v>
      </c>
      <c r="T48" t="str">
        <f t="shared" si="1"/>
        <v>08-May-2009</v>
      </c>
    </row>
    <row r="49" spans="1:20" x14ac:dyDescent="0.3">
      <c r="A49">
        <v>20036</v>
      </c>
      <c r="B49" s="1">
        <v>40517</v>
      </c>
      <c r="C49" t="s">
        <v>31</v>
      </c>
      <c r="D49" t="str">
        <f t="shared" si="0"/>
        <v>05-Dec-2010</v>
      </c>
      <c r="E49">
        <v>25</v>
      </c>
      <c r="F49" s="13">
        <v>290.45999999999998</v>
      </c>
      <c r="G49">
        <v>0.1</v>
      </c>
      <c r="H49" t="s">
        <v>19</v>
      </c>
      <c r="I49" s="13">
        <v>-31.55</v>
      </c>
      <c r="J49">
        <v>11.97</v>
      </c>
      <c r="K49">
        <v>4.9800000000000004</v>
      </c>
      <c r="L49" t="s">
        <v>318</v>
      </c>
      <c r="M49" t="s">
        <v>314</v>
      </c>
      <c r="N49" s="5" t="s">
        <v>86</v>
      </c>
      <c r="O49" t="s">
        <v>28</v>
      </c>
      <c r="P49" t="s">
        <v>21</v>
      </c>
      <c r="Q49" t="s">
        <v>25</v>
      </c>
      <c r="R49">
        <v>0.57999999999999996</v>
      </c>
      <c r="S49" s="1">
        <v>40517</v>
      </c>
      <c r="T49" t="str">
        <f t="shared" si="1"/>
        <v>05-Dec-2010</v>
      </c>
    </row>
    <row r="50" spans="1:20" x14ac:dyDescent="0.3">
      <c r="A50">
        <v>40775</v>
      </c>
      <c r="B50" s="1">
        <v>40499</v>
      </c>
      <c r="C50" t="s">
        <v>18</v>
      </c>
      <c r="D50" t="str">
        <f t="shared" si="0"/>
        <v>17-Nov-2010</v>
      </c>
      <c r="E50">
        <v>23</v>
      </c>
      <c r="F50" s="13">
        <v>279.63</v>
      </c>
      <c r="G50">
        <v>7.0000000000000007E-2</v>
      </c>
      <c r="H50" t="s">
        <v>19</v>
      </c>
      <c r="I50" s="13">
        <v>61.69</v>
      </c>
      <c r="J50">
        <v>12.58</v>
      </c>
      <c r="K50">
        <v>5.16</v>
      </c>
      <c r="L50" t="s">
        <v>167</v>
      </c>
      <c r="M50" t="s">
        <v>314</v>
      </c>
      <c r="N50" s="5" t="s">
        <v>86</v>
      </c>
      <c r="O50" t="s">
        <v>28</v>
      </c>
      <c r="P50" t="s">
        <v>32</v>
      </c>
      <c r="Q50" t="s">
        <v>33</v>
      </c>
      <c r="R50">
        <v>0.43</v>
      </c>
      <c r="S50" s="1">
        <v>40504</v>
      </c>
      <c r="T50" t="str">
        <f t="shared" si="1"/>
        <v>22-Nov-2010</v>
      </c>
    </row>
    <row r="51" spans="1:20" x14ac:dyDescent="0.3">
      <c r="A51">
        <v>47173</v>
      </c>
      <c r="B51" s="1">
        <v>40057</v>
      </c>
      <c r="C51" t="s">
        <v>31</v>
      </c>
      <c r="D51" t="str">
        <f t="shared" si="0"/>
        <v>01-Sep-2009</v>
      </c>
      <c r="E51">
        <v>41</v>
      </c>
      <c r="F51" s="13">
        <v>277.0745</v>
      </c>
      <c r="G51">
        <v>0.03</v>
      </c>
      <c r="H51" t="s">
        <v>19</v>
      </c>
      <c r="I51" s="13">
        <v>-128.44</v>
      </c>
      <c r="J51">
        <v>7.99</v>
      </c>
      <c r="K51">
        <v>5.03</v>
      </c>
      <c r="L51" t="s">
        <v>353</v>
      </c>
      <c r="M51" t="s">
        <v>314</v>
      </c>
      <c r="N51" s="5" t="s">
        <v>86</v>
      </c>
      <c r="O51" t="s">
        <v>28</v>
      </c>
      <c r="P51" t="s">
        <v>29</v>
      </c>
      <c r="Q51" t="s">
        <v>30</v>
      </c>
      <c r="R51">
        <v>0.6</v>
      </c>
      <c r="S51" s="1">
        <v>40059</v>
      </c>
      <c r="T51" t="str">
        <f t="shared" si="1"/>
        <v>03-Sep-2009</v>
      </c>
    </row>
    <row r="52" spans="1:20" x14ac:dyDescent="0.3">
      <c r="A52">
        <v>3653</v>
      </c>
      <c r="B52" s="1">
        <v>39898</v>
      </c>
      <c r="C52" t="s">
        <v>43</v>
      </c>
      <c r="D52" t="str">
        <f t="shared" si="0"/>
        <v>26-Mar-2009</v>
      </c>
      <c r="E52">
        <v>41</v>
      </c>
      <c r="F52" s="13">
        <v>271.11</v>
      </c>
      <c r="G52">
        <v>0.08</v>
      </c>
      <c r="H52" t="s">
        <v>19</v>
      </c>
      <c r="I52" s="13">
        <v>64.790000000000006</v>
      </c>
      <c r="J52">
        <v>6.68</v>
      </c>
      <c r="K52">
        <v>1.5</v>
      </c>
      <c r="L52" t="s">
        <v>370</v>
      </c>
      <c r="M52" t="s">
        <v>314</v>
      </c>
      <c r="N52" s="5" t="s">
        <v>86</v>
      </c>
      <c r="O52" t="s">
        <v>28</v>
      </c>
      <c r="P52" t="s">
        <v>21</v>
      </c>
      <c r="Q52" t="s">
        <v>50</v>
      </c>
      <c r="R52">
        <v>0.48</v>
      </c>
      <c r="S52" s="1">
        <v>39900</v>
      </c>
      <c r="T52" t="str">
        <f t="shared" si="1"/>
        <v>28-Mar-2009</v>
      </c>
    </row>
    <row r="53" spans="1:20" x14ac:dyDescent="0.3">
      <c r="A53">
        <v>21985</v>
      </c>
      <c r="B53" s="1">
        <v>40051</v>
      </c>
      <c r="C53" t="s">
        <v>43</v>
      </c>
      <c r="D53" t="str">
        <f t="shared" si="0"/>
        <v>26-Aug-2009</v>
      </c>
      <c r="E53">
        <v>1</v>
      </c>
      <c r="F53" s="13">
        <v>255.83</v>
      </c>
      <c r="G53">
        <v>7.0000000000000007E-2</v>
      </c>
      <c r="H53" t="s">
        <v>24</v>
      </c>
      <c r="I53" s="13">
        <v>-132.74</v>
      </c>
      <c r="J53">
        <v>226.67</v>
      </c>
      <c r="K53">
        <v>28.16</v>
      </c>
      <c r="L53" t="s">
        <v>370</v>
      </c>
      <c r="M53" t="s">
        <v>314</v>
      </c>
      <c r="N53" s="5" t="s">
        <v>86</v>
      </c>
      <c r="O53" t="s">
        <v>28</v>
      </c>
      <c r="P53" t="s">
        <v>32</v>
      </c>
      <c r="Q53" t="s">
        <v>56</v>
      </c>
      <c r="R53">
        <v>0.59</v>
      </c>
      <c r="S53" s="1">
        <v>40052</v>
      </c>
      <c r="T53" t="str">
        <f t="shared" si="1"/>
        <v>27-Aug-2009</v>
      </c>
    </row>
    <row r="54" spans="1:20" x14ac:dyDescent="0.3">
      <c r="A54">
        <v>44423</v>
      </c>
      <c r="B54" s="1">
        <v>41119</v>
      </c>
      <c r="C54" t="s">
        <v>43</v>
      </c>
      <c r="D54" t="str">
        <f t="shared" si="0"/>
        <v>29-Jul-2012</v>
      </c>
      <c r="E54">
        <v>39</v>
      </c>
      <c r="F54" s="13">
        <v>248.64</v>
      </c>
      <c r="G54">
        <v>0.08</v>
      </c>
      <c r="H54" t="s">
        <v>19</v>
      </c>
      <c r="I54" s="13">
        <v>-69.27</v>
      </c>
      <c r="J54">
        <v>6.28</v>
      </c>
      <c r="K54">
        <v>5.29</v>
      </c>
      <c r="L54" t="s">
        <v>316</v>
      </c>
      <c r="M54" t="s">
        <v>314</v>
      </c>
      <c r="N54" s="5" t="s">
        <v>86</v>
      </c>
      <c r="O54" t="s">
        <v>28</v>
      </c>
      <c r="P54" t="s">
        <v>32</v>
      </c>
      <c r="Q54" t="s">
        <v>33</v>
      </c>
      <c r="R54">
        <v>0.43</v>
      </c>
      <c r="S54" s="1">
        <v>41120</v>
      </c>
      <c r="T54" t="str">
        <f t="shared" si="1"/>
        <v>30-Jul-2012</v>
      </c>
    </row>
    <row r="55" spans="1:20" x14ac:dyDescent="0.3">
      <c r="A55">
        <v>58273</v>
      </c>
      <c r="B55" s="1">
        <v>40349</v>
      </c>
      <c r="C55" t="s">
        <v>23</v>
      </c>
      <c r="D55" t="str">
        <f t="shared" si="0"/>
        <v>20-Jun-2010</v>
      </c>
      <c r="E55">
        <v>31</v>
      </c>
      <c r="F55" s="13">
        <v>244.9</v>
      </c>
      <c r="G55">
        <v>0.08</v>
      </c>
      <c r="H55" t="s">
        <v>19</v>
      </c>
      <c r="I55" s="13">
        <v>-61.14</v>
      </c>
      <c r="J55">
        <v>8.4600000000000009</v>
      </c>
      <c r="K55">
        <v>3.62</v>
      </c>
      <c r="L55" t="s">
        <v>167</v>
      </c>
      <c r="M55" t="s">
        <v>314</v>
      </c>
      <c r="N55" s="5" t="s">
        <v>86</v>
      </c>
      <c r="O55" t="s">
        <v>28</v>
      </c>
      <c r="P55" t="s">
        <v>29</v>
      </c>
      <c r="Q55" t="s">
        <v>41</v>
      </c>
      <c r="R55">
        <v>0.61</v>
      </c>
      <c r="S55" s="1">
        <v>40349</v>
      </c>
      <c r="T55" t="str">
        <f t="shared" si="1"/>
        <v>20-Jun-2010</v>
      </c>
    </row>
    <row r="56" spans="1:20" x14ac:dyDescent="0.3">
      <c r="A56">
        <v>14976</v>
      </c>
      <c r="B56" s="1">
        <v>40746</v>
      </c>
      <c r="C56" t="s">
        <v>23</v>
      </c>
      <c r="D56" t="str">
        <f t="shared" si="0"/>
        <v>22-Jul-2011</v>
      </c>
      <c r="E56">
        <v>46</v>
      </c>
      <c r="F56" s="13">
        <v>231.35</v>
      </c>
      <c r="G56">
        <v>0.03</v>
      </c>
      <c r="H56" t="s">
        <v>19</v>
      </c>
      <c r="I56" s="13">
        <v>-81.86</v>
      </c>
      <c r="J56">
        <v>4.9800000000000004</v>
      </c>
      <c r="K56">
        <v>4.7</v>
      </c>
      <c r="L56" t="s">
        <v>315</v>
      </c>
      <c r="M56" t="s">
        <v>314</v>
      </c>
      <c r="N56" s="5" t="s">
        <v>86</v>
      </c>
      <c r="O56" t="s">
        <v>28</v>
      </c>
      <c r="P56" t="s">
        <v>21</v>
      </c>
      <c r="Q56" t="s">
        <v>37</v>
      </c>
      <c r="R56">
        <v>0.38</v>
      </c>
      <c r="S56" s="1">
        <v>40748</v>
      </c>
      <c r="T56" t="str">
        <f t="shared" si="1"/>
        <v>24-Jul-2011</v>
      </c>
    </row>
    <row r="57" spans="1:20" x14ac:dyDescent="0.3">
      <c r="A57">
        <v>38176</v>
      </c>
      <c r="B57" s="1">
        <v>40405</v>
      </c>
      <c r="C57" t="s">
        <v>23</v>
      </c>
      <c r="D57" t="str">
        <f t="shared" si="0"/>
        <v>15-Aug-2010</v>
      </c>
      <c r="E57">
        <v>39</v>
      </c>
      <c r="F57" s="13">
        <v>231.08</v>
      </c>
      <c r="G57">
        <v>0.01</v>
      </c>
      <c r="H57" t="s">
        <v>35</v>
      </c>
      <c r="I57" s="13">
        <v>-79.08</v>
      </c>
      <c r="J57">
        <v>5.28</v>
      </c>
      <c r="K57">
        <v>5.57</v>
      </c>
      <c r="L57" t="s">
        <v>151</v>
      </c>
      <c r="M57" t="s">
        <v>314</v>
      </c>
      <c r="N57" s="5" t="s">
        <v>86</v>
      </c>
      <c r="O57" t="s">
        <v>28</v>
      </c>
      <c r="P57" t="s">
        <v>21</v>
      </c>
      <c r="Q57" t="s">
        <v>37</v>
      </c>
      <c r="R57">
        <v>0.4</v>
      </c>
      <c r="S57" s="1">
        <v>40406</v>
      </c>
      <c r="T57" t="str">
        <f t="shared" si="1"/>
        <v>16-Aug-2010</v>
      </c>
    </row>
    <row r="58" spans="1:20" x14ac:dyDescent="0.3">
      <c r="A58">
        <v>47271</v>
      </c>
      <c r="B58" s="1">
        <v>40752</v>
      </c>
      <c r="C58" t="s">
        <v>38</v>
      </c>
      <c r="D58" t="str">
        <f t="shared" si="0"/>
        <v>28-Jul-2011</v>
      </c>
      <c r="E58">
        <v>44</v>
      </c>
      <c r="F58" s="13">
        <v>221.42</v>
      </c>
      <c r="G58">
        <v>0.03</v>
      </c>
      <c r="H58" t="s">
        <v>19</v>
      </c>
      <c r="I58" s="13">
        <v>-142.02000000000001</v>
      </c>
      <c r="J58">
        <v>4.9800000000000004</v>
      </c>
      <c r="K58">
        <v>4.62</v>
      </c>
      <c r="L58" t="s">
        <v>167</v>
      </c>
      <c r="M58" t="s">
        <v>314</v>
      </c>
      <c r="N58" s="5" t="s">
        <v>86</v>
      </c>
      <c r="O58" t="s">
        <v>28</v>
      </c>
      <c r="P58" t="s">
        <v>29</v>
      </c>
      <c r="Q58" t="s">
        <v>41</v>
      </c>
      <c r="R58">
        <v>0.64</v>
      </c>
      <c r="S58" s="1">
        <v>40753</v>
      </c>
      <c r="T58" t="str">
        <f t="shared" si="1"/>
        <v>29-Jul-2011</v>
      </c>
    </row>
    <row r="59" spans="1:20" x14ac:dyDescent="0.3">
      <c r="A59">
        <v>30626</v>
      </c>
      <c r="B59" s="1">
        <v>40658</v>
      </c>
      <c r="C59" t="s">
        <v>43</v>
      </c>
      <c r="D59" t="str">
        <f t="shared" si="0"/>
        <v>25-Apr-2011</v>
      </c>
      <c r="E59">
        <v>23</v>
      </c>
      <c r="F59" s="13">
        <v>220.82</v>
      </c>
      <c r="G59">
        <v>0.1</v>
      </c>
      <c r="H59" t="s">
        <v>35</v>
      </c>
      <c r="I59" s="13">
        <v>77.680000000000007</v>
      </c>
      <c r="J59">
        <v>9.93</v>
      </c>
      <c r="K59">
        <v>1.0900000000000001</v>
      </c>
      <c r="L59" t="s">
        <v>151</v>
      </c>
      <c r="M59" t="s">
        <v>314</v>
      </c>
      <c r="N59" s="5" t="s">
        <v>86</v>
      </c>
      <c r="O59" t="s">
        <v>28</v>
      </c>
      <c r="P59" t="s">
        <v>21</v>
      </c>
      <c r="Q59" t="s">
        <v>50</v>
      </c>
      <c r="R59">
        <v>0.43</v>
      </c>
      <c r="S59" s="1">
        <v>40659</v>
      </c>
      <c r="T59" t="str">
        <f t="shared" si="1"/>
        <v>26-Apr-2011</v>
      </c>
    </row>
    <row r="60" spans="1:20" x14ac:dyDescent="0.3">
      <c r="A60">
        <v>57059</v>
      </c>
      <c r="B60" s="1">
        <v>40695</v>
      </c>
      <c r="C60" t="s">
        <v>38</v>
      </c>
      <c r="D60" t="str">
        <f t="shared" si="0"/>
        <v>01-Jun-2011</v>
      </c>
      <c r="E60">
        <v>50</v>
      </c>
      <c r="F60" s="13">
        <v>212.12</v>
      </c>
      <c r="G60">
        <v>0.01</v>
      </c>
      <c r="H60" t="s">
        <v>19</v>
      </c>
      <c r="I60" s="13">
        <v>-154.63</v>
      </c>
      <c r="J60">
        <v>3.98</v>
      </c>
      <c r="K60">
        <v>5.26</v>
      </c>
      <c r="L60" t="s">
        <v>167</v>
      </c>
      <c r="M60" t="s">
        <v>314</v>
      </c>
      <c r="N60" s="5" t="s">
        <v>86</v>
      </c>
      <c r="O60" t="s">
        <v>28</v>
      </c>
      <c r="P60" t="s">
        <v>21</v>
      </c>
      <c r="Q60" t="s">
        <v>26</v>
      </c>
      <c r="R60">
        <v>0.38</v>
      </c>
      <c r="S60" s="1">
        <v>40697</v>
      </c>
      <c r="T60" t="str">
        <f t="shared" si="1"/>
        <v>03-Jun-2011</v>
      </c>
    </row>
    <row r="61" spans="1:20" x14ac:dyDescent="0.3">
      <c r="A61">
        <v>48609</v>
      </c>
      <c r="B61" s="1">
        <v>40233</v>
      </c>
      <c r="C61" t="s">
        <v>23</v>
      </c>
      <c r="D61" t="str">
        <f t="shared" si="0"/>
        <v>24-Feb-2010</v>
      </c>
      <c r="E61">
        <v>5</v>
      </c>
      <c r="F61" s="13">
        <v>186.5</v>
      </c>
      <c r="G61">
        <v>0.04</v>
      </c>
      <c r="H61" t="s">
        <v>35</v>
      </c>
      <c r="I61" s="13">
        <v>4.16</v>
      </c>
      <c r="J61">
        <v>37.44</v>
      </c>
      <c r="K61">
        <v>4.2699999999999996</v>
      </c>
      <c r="L61" t="s">
        <v>372</v>
      </c>
      <c r="M61" t="s">
        <v>314</v>
      </c>
      <c r="N61" s="5" t="s">
        <v>86</v>
      </c>
      <c r="O61" t="s">
        <v>28</v>
      </c>
      <c r="P61" t="s">
        <v>21</v>
      </c>
      <c r="Q61" t="s">
        <v>50</v>
      </c>
      <c r="R61">
        <v>0.46</v>
      </c>
      <c r="S61" s="1">
        <v>40234</v>
      </c>
      <c r="T61" t="str">
        <f t="shared" si="1"/>
        <v>25-Feb-2010</v>
      </c>
    </row>
    <row r="62" spans="1:20" x14ac:dyDescent="0.3">
      <c r="A62">
        <v>1796</v>
      </c>
      <c r="B62" s="1">
        <v>41233</v>
      </c>
      <c r="C62" t="s">
        <v>23</v>
      </c>
      <c r="D62" t="str">
        <f t="shared" si="0"/>
        <v>20-Nov-2012</v>
      </c>
      <c r="E62">
        <v>43</v>
      </c>
      <c r="F62" s="13">
        <v>183.41</v>
      </c>
      <c r="G62">
        <v>7.0000000000000007E-2</v>
      </c>
      <c r="H62" t="s">
        <v>19</v>
      </c>
      <c r="I62" s="13">
        <v>-125.41</v>
      </c>
      <c r="J62">
        <v>4.13</v>
      </c>
      <c r="K62">
        <v>5.04</v>
      </c>
      <c r="L62" t="s">
        <v>245</v>
      </c>
      <c r="M62" t="s">
        <v>314</v>
      </c>
      <c r="N62" s="5" t="s">
        <v>86</v>
      </c>
      <c r="O62" t="s">
        <v>28</v>
      </c>
      <c r="P62" t="s">
        <v>21</v>
      </c>
      <c r="Q62" t="s">
        <v>26</v>
      </c>
      <c r="R62">
        <v>0.38</v>
      </c>
      <c r="S62" s="1">
        <v>41233</v>
      </c>
      <c r="T62" t="str">
        <f t="shared" si="1"/>
        <v>20-Nov-2012</v>
      </c>
    </row>
    <row r="63" spans="1:20" x14ac:dyDescent="0.3">
      <c r="A63">
        <v>48609</v>
      </c>
      <c r="B63" s="1">
        <v>40233</v>
      </c>
      <c r="C63" t="s">
        <v>23</v>
      </c>
      <c r="D63" t="str">
        <f t="shared" si="0"/>
        <v>24-Feb-2010</v>
      </c>
      <c r="E63">
        <v>26</v>
      </c>
      <c r="F63" s="13">
        <v>176.34</v>
      </c>
      <c r="G63">
        <v>0</v>
      </c>
      <c r="H63" t="s">
        <v>19</v>
      </c>
      <c r="I63" s="13">
        <v>-103.32</v>
      </c>
      <c r="J63">
        <v>6.48</v>
      </c>
      <c r="K63">
        <v>7.86</v>
      </c>
      <c r="L63" t="s">
        <v>372</v>
      </c>
      <c r="M63" t="s">
        <v>314</v>
      </c>
      <c r="N63" s="5" t="s">
        <v>86</v>
      </c>
      <c r="O63" t="s">
        <v>28</v>
      </c>
      <c r="P63" t="s">
        <v>21</v>
      </c>
      <c r="Q63" t="s">
        <v>37</v>
      </c>
      <c r="R63">
        <v>0.37</v>
      </c>
      <c r="S63" s="1">
        <v>40234</v>
      </c>
      <c r="T63" t="str">
        <f t="shared" si="1"/>
        <v>25-Feb-2010</v>
      </c>
    </row>
    <row r="64" spans="1:20" x14ac:dyDescent="0.3">
      <c r="A64">
        <v>41094</v>
      </c>
      <c r="B64" s="1">
        <v>39819</v>
      </c>
      <c r="C64" t="s">
        <v>18</v>
      </c>
      <c r="D64" t="str">
        <f t="shared" si="0"/>
        <v>06-Jan-2009</v>
      </c>
      <c r="E64">
        <v>6</v>
      </c>
      <c r="F64" s="13">
        <v>159.05000000000001</v>
      </c>
      <c r="G64">
        <v>0.05</v>
      </c>
      <c r="H64" t="s">
        <v>19</v>
      </c>
      <c r="I64" s="13">
        <v>-153.46</v>
      </c>
      <c r="J64">
        <v>20.34</v>
      </c>
      <c r="K64">
        <v>35</v>
      </c>
      <c r="L64" t="s">
        <v>339</v>
      </c>
      <c r="M64" t="s">
        <v>314</v>
      </c>
      <c r="N64" s="5" t="s">
        <v>86</v>
      </c>
      <c r="O64" t="s">
        <v>28</v>
      </c>
      <c r="P64" t="s">
        <v>21</v>
      </c>
      <c r="Q64" t="s">
        <v>22</v>
      </c>
      <c r="R64">
        <v>0.84</v>
      </c>
      <c r="S64" s="1">
        <v>39823</v>
      </c>
      <c r="T64" t="str">
        <f t="shared" si="1"/>
        <v>10-Jan-2009</v>
      </c>
    </row>
    <row r="65" spans="1:20" x14ac:dyDescent="0.3">
      <c r="A65">
        <v>27078</v>
      </c>
      <c r="B65" s="1">
        <v>41133</v>
      </c>
      <c r="C65" t="s">
        <v>31</v>
      </c>
      <c r="D65" t="str">
        <f t="shared" si="0"/>
        <v>12-Aug-2012</v>
      </c>
      <c r="E65">
        <v>22</v>
      </c>
      <c r="F65" s="13">
        <v>152.44</v>
      </c>
      <c r="G65">
        <v>0.03</v>
      </c>
      <c r="H65" t="s">
        <v>19</v>
      </c>
      <c r="I65" s="13">
        <v>-40.76</v>
      </c>
      <c r="J65">
        <v>6.48</v>
      </c>
      <c r="K65">
        <v>5.86</v>
      </c>
      <c r="L65" t="s">
        <v>151</v>
      </c>
      <c r="M65" t="s">
        <v>314</v>
      </c>
      <c r="N65" s="5" t="s">
        <v>86</v>
      </c>
      <c r="O65" t="s">
        <v>28</v>
      </c>
      <c r="P65" t="s">
        <v>21</v>
      </c>
      <c r="Q65" t="s">
        <v>37</v>
      </c>
      <c r="R65">
        <v>0.36</v>
      </c>
      <c r="S65" s="1">
        <v>41134</v>
      </c>
      <c r="T65" t="str">
        <f t="shared" si="1"/>
        <v>13-Aug-2012</v>
      </c>
    </row>
    <row r="66" spans="1:20" x14ac:dyDescent="0.3">
      <c r="A66">
        <v>32929</v>
      </c>
      <c r="B66" s="1">
        <v>40665</v>
      </c>
      <c r="C66" t="s">
        <v>18</v>
      </c>
      <c r="D66" t="str">
        <f t="shared" ref="D66:D129" si="2">TEXT(B66, "dd-mmm-yyyy" )</f>
        <v>02-May-2011</v>
      </c>
      <c r="E66">
        <v>13</v>
      </c>
      <c r="F66" s="13">
        <v>152.13999999999999</v>
      </c>
      <c r="G66">
        <v>0.09</v>
      </c>
      <c r="H66" t="s">
        <v>19</v>
      </c>
      <c r="I66" s="13">
        <v>-26.87</v>
      </c>
      <c r="J66">
        <v>12.21</v>
      </c>
      <c r="K66">
        <v>4.8099999999999996</v>
      </c>
      <c r="L66" t="s">
        <v>167</v>
      </c>
      <c r="M66" t="s">
        <v>314</v>
      </c>
      <c r="N66" s="5" t="s">
        <v>86</v>
      </c>
      <c r="O66" t="s">
        <v>28</v>
      </c>
      <c r="P66" t="s">
        <v>21</v>
      </c>
      <c r="Q66" t="s">
        <v>22</v>
      </c>
      <c r="R66">
        <v>0.57999999999999996</v>
      </c>
      <c r="S66" s="1">
        <v>40670</v>
      </c>
      <c r="T66" t="str">
        <f t="shared" ref="T66:T129" si="3">TEXT(S66, "dd-mmm-yyyy")</f>
        <v>07-May-2011</v>
      </c>
    </row>
    <row r="67" spans="1:20" x14ac:dyDescent="0.3">
      <c r="A67">
        <v>55877</v>
      </c>
      <c r="B67" s="1">
        <v>40211</v>
      </c>
      <c r="C67" t="s">
        <v>31</v>
      </c>
      <c r="D67" t="str">
        <f t="shared" si="2"/>
        <v>02-Feb-2010</v>
      </c>
      <c r="E67">
        <v>40</v>
      </c>
      <c r="F67" s="13">
        <v>144.28</v>
      </c>
      <c r="G67">
        <v>0.01</v>
      </c>
      <c r="H67" t="s">
        <v>35</v>
      </c>
      <c r="I67" s="13">
        <v>52.94</v>
      </c>
      <c r="J67">
        <v>3.08</v>
      </c>
      <c r="K67">
        <v>0.99</v>
      </c>
      <c r="L67" t="s">
        <v>317</v>
      </c>
      <c r="M67" t="s">
        <v>314</v>
      </c>
      <c r="N67" s="5" t="s">
        <v>86</v>
      </c>
      <c r="O67" t="s">
        <v>28</v>
      </c>
      <c r="P67" t="s">
        <v>21</v>
      </c>
      <c r="Q67" t="s">
        <v>48</v>
      </c>
      <c r="R67">
        <v>0.37</v>
      </c>
      <c r="S67" s="1">
        <v>40213</v>
      </c>
      <c r="T67" t="str">
        <f t="shared" si="3"/>
        <v>04-Feb-2010</v>
      </c>
    </row>
    <row r="68" spans="1:20" x14ac:dyDescent="0.3">
      <c r="A68">
        <v>59271</v>
      </c>
      <c r="B68" s="1">
        <v>40658</v>
      </c>
      <c r="C68" t="s">
        <v>31</v>
      </c>
      <c r="D68" t="str">
        <f t="shared" si="2"/>
        <v>25-Apr-2011</v>
      </c>
      <c r="E68">
        <v>23</v>
      </c>
      <c r="F68" s="13">
        <v>144.03</v>
      </c>
      <c r="G68">
        <v>0.02</v>
      </c>
      <c r="H68" t="s">
        <v>19</v>
      </c>
      <c r="I68" s="13">
        <v>-37.04</v>
      </c>
      <c r="J68">
        <v>5.98</v>
      </c>
      <c r="K68">
        <v>5.2</v>
      </c>
      <c r="L68" t="s">
        <v>370</v>
      </c>
      <c r="M68" t="s">
        <v>314</v>
      </c>
      <c r="N68" s="5" t="s">
        <v>86</v>
      </c>
      <c r="O68" t="s">
        <v>28</v>
      </c>
      <c r="P68" t="s">
        <v>21</v>
      </c>
      <c r="Q68" t="s">
        <v>37</v>
      </c>
      <c r="R68">
        <v>0.36</v>
      </c>
      <c r="S68" s="1">
        <v>40660</v>
      </c>
      <c r="T68" t="str">
        <f t="shared" si="3"/>
        <v>27-Apr-2011</v>
      </c>
    </row>
    <row r="69" spans="1:20" x14ac:dyDescent="0.3">
      <c r="A69">
        <v>41186</v>
      </c>
      <c r="B69" s="1">
        <v>40504</v>
      </c>
      <c r="C69" t="s">
        <v>23</v>
      </c>
      <c r="D69" t="str">
        <f t="shared" si="2"/>
        <v>22-Nov-2010</v>
      </c>
      <c r="E69">
        <v>13</v>
      </c>
      <c r="F69" s="13">
        <v>142.12</v>
      </c>
      <c r="G69">
        <v>0.01</v>
      </c>
      <c r="H69" t="s">
        <v>35</v>
      </c>
      <c r="I69" s="13">
        <v>54.91</v>
      </c>
      <c r="J69">
        <v>9.7799999999999994</v>
      </c>
      <c r="K69">
        <v>1.39</v>
      </c>
      <c r="L69" t="s">
        <v>353</v>
      </c>
      <c r="M69" t="s">
        <v>314</v>
      </c>
      <c r="N69" s="5" t="s">
        <v>86</v>
      </c>
      <c r="O69" t="s">
        <v>28</v>
      </c>
      <c r="P69" t="s">
        <v>21</v>
      </c>
      <c r="Q69" t="s">
        <v>42</v>
      </c>
      <c r="R69">
        <v>0.39</v>
      </c>
      <c r="S69" s="1">
        <v>40506</v>
      </c>
      <c r="T69" t="str">
        <f t="shared" si="3"/>
        <v>24-Nov-2010</v>
      </c>
    </row>
    <row r="70" spans="1:20" x14ac:dyDescent="0.3">
      <c r="A70">
        <v>43745</v>
      </c>
      <c r="B70" s="1">
        <v>40483</v>
      </c>
      <c r="C70" t="s">
        <v>18</v>
      </c>
      <c r="D70" t="str">
        <f t="shared" si="2"/>
        <v>01-Nov-2010</v>
      </c>
      <c r="E70">
        <v>5</v>
      </c>
      <c r="F70" s="13">
        <v>128.59</v>
      </c>
      <c r="G70">
        <v>7.0000000000000007E-2</v>
      </c>
      <c r="H70" t="s">
        <v>19</v>
      </c>
      <c r="I70" s="13">
        <v>-15.17</v>
      </c>
      <c r="J70">
        <v>25.98</v>
      </c>
      <c r="K70">
        <v>5.37</v>
      </c>
      <c r="L70" t="s">
        <v>280</v>
      </c>
      <c r="M70" t="s">
        <v>314</v>
      </c>
      <c r="N70" s="5" t="s">
        <v>86</v>
      </c>
      <c r="O70" t="s">
        <v>28</v>
      </c>
      <c r="P70" t="s">
        <v>21</v>
      </c>
      <c r="Q70" t="s">
        <v>25</v>
      </c>
      <c r="R70">
        <v>0.5</v>
      </c>
      <c r="S70" s="1">
        <v>40490</v>
      </c>
      <c r="T70" t="str">
        <f t="shared" si="3"/>
        <v>08-Nov-2010</v>
      </c>
    </row>
    <row r="71" spans="1:20" x14ac:dyDescent="0.3">
      <c r="A71">
        <v>55877</v>
      </c>
      <c r="B71" s="1">
        <v>40211</v>
      </c>
      <c r="C71" t="s">
        <v>31</v>
      </c>
      <c r="D71" t="str">
        <f t="shared" si="2"/>
        <v>02-Feb-2010</v>
      </c>
      <c r="E71">
        <v>19</v>
      </c>
      <c r="F71" s="13">
        <v>126.53</v>
      </c>
      <c r="G71">
        <v>0.03</v>
      </c>
      <c r="H71" t="s">
        <v>19</v>
      </c>
      <c r="I71" s="13">
        <v>-73.38</v>
      </c>
      <c r="J71">
        <v>5.98</v>
      </c>
      <c r="K71">
        <v>7.5</v>
      </c>
      <c r="L71" t="s">
        <v>317</v>
      </c>
      <c r="M71" t="s">
        <v>314</v>
      </c>
      <c r="N71" s="5" t="s">
        <v>86</v>
      </c>
      <c r="O71" t="s">
        <v>28</v>
      </c>
      <c r="P71" t="s">
        <v>21</v>
      </c>
      <c r="Q71" t="s">
        <v>37</v>
      </c>
      <c r="R71">
        <v>0.4</v>
      </c>
      <c r="S71" s="1">
        <v>40212</v>
      </c>
      <c r="T71" t="str">
        <f t="shared" si="3"/>
        <v>03-Feb-2010</v>
      </c>
    </row>
    <row r="72" spans="1:20" x14ac:dyDescent="0.3">
      <c r="A72">
        <v>54146</v>
      </c>
      <c r="B72" s="1">
        <v>40469</v>
      </c>
      <c r="C72" t="s">
        <v>18</v>
      </c>
      <c r="D72" t="str">
        <f t="shared" si="2"/>
        <v>18-Oct-2010</v>
      </c>
      <c r="E72">
        <v>3</v>
      </c>
      <c r="F72" s="13">
        <v>124.75</v>
      </c>
      <c r="G72">
        <v>0.06</v>
      </c>
      <c r="H72" t="s">
        <v>19</v>
      </c>
      <c r="I72" s="13">
        <v>-112.64</v>
      </c>
      <c r="J72">
        <v>40.96</v>
      </c>
      <c r="K72">
        <v>1.99</v>
      </c>
      <c r="L72" t="s">
        <v>280</v>
      </c>
      <c r="M72" t="s">
        <v>314</v>
      </c>
      <c r="N72" s="5" t="s">
        <v>86</v>
      </c>
      <c r="O72" t="s">
        <v>28</v>
      </c>
      <c r="P72" t="s">
        <v>29</v>
      </c>
      <c r="Q72" t="s">
        <v>41</v>
      </c>
      <c r="R72">
        <v>0.55000000000000004</v>
      </c>
      <c r="S72" s="1">
        <v>40474</v>
      </c>
      <c r="T72" t="str">
        <f t="shared" si="3"/>
        <v>23-Oct-2010</v>
      </c>
    </row>
    <row r="73" spans="1:20" x14ac:dyDescent="0.3">
      <c r="A73">
        <v>36449</v>
      </c>
      <c r="B73" s="1">
        <v>40426</v>
      </c>
      <c r="C73" t="s">
        <v>31</v>
      </c>
      <c r="D73" t="str">
        <f t="shared" si="2"/>
        <v>05-Sep-2010</v>
      </c>
      <c r="E73">
        <v>27</v>
      </c>
      <c r="F73" s="13">
        <v>123.37</v>
      </c>
      <c r="G73">
        <v>0.09</v>
      </c>
      <c r="H73" t="s">
        <v>19</v>
      </c>
      <c r="I73" s="13">
        <v>-6.69</v>
      </c>
      <c r="J73">
        <v>4.71</v>
      </c>
      <c r="K73">
        <v>0.7</v>
      </c>
      <c r="L73" t="s">
        <v>156</v>
      </c>
      <c r="M73" t="s">
        <v>314</v>
      </c>
      <c r="N73" s="5" t="s">
        <v>86</v>
      </c>
      <c r="O73" t="s">
        <v>28</v>
      </c>
      <c r="P73" t="s">
        <v>21</v>
      </c>
      <c r="Q73" t="s">
        <v>39</v>
      </c>
      <c r="R73">
        <v>0.8</v>
      </c>
      <c r="S73" s="1">
        <v>40429</v>
      </c>
      <c r="T73" t="str">
        <f t="shared" si="3"/>
        <v>08-Sep-2010</v>
      </c>
    </row>
    <row r="74" spans="1:20" x14ac:dyDescent="0.3">
      <c r="A74">
        <v>21799</v>
      </c>
      <c r="B74" s="1">
        <v>40652</v>
      </c>
      <c r="C74" t="s">
        <v>31</v>
      </c>
      <c r="D74" t="str">
        <f t="shared" si="2"/>
        <v>19-Apr-2011</v>
      </c>
      <c r="E74">
        <v>42</v>
      </c>
      <c r="F74" s="13">
        <v>115.99</v>
      </c>
      <c r="G74">
        <v>0.05</v>
      </c>
      <c r="H74" t="s">
        <v>35</v>
      </c>
      <c r="I74" s="13">
        <v>-53.35</v>
      </c>
      <c r="J74">
        <v>2.6</v>
      </c>
      <c r="K74">
        <v>2.4</v>
      </c>
      <c r="L74" t="s">
        <v>370</v>
      </c>
      <c r="M74" t="s">
        <v>314</v>
      </c>
      <c r="N74" s="5" t="s">
        <v>86</v>
      </c>
      <c r="O74" t="s">
        <v>28</v>
      </c>
      <c r="P74" t="s">
        <v>21</v>
      </c>
      <c r="Q74" t="s">
        <v>50</v>
      </c>
      <c r="R74">
        <v>0.57999999999999996</v>
      </c>
      <c r="S74" s="1">
        <v>40653</v>
      </c>
      <c r="T74" t="str">
        <f t="shared" si="3"/>
        <v>20-Apr-2011</v>
      </c>
    </row>
    <row r="75" spans="1:20" x14ac:dyDescent="0.3">
      <c r="A75">
        <v>59171</v>
      </c>
      <c r="B75" s="1">
        <v>40798</v>
      </c>
      <c r="C75" t="s">
        <v>38</v>
      </c>
      <c r="D75" t="str">
        <f t="shared" si="2"/>
        <v>12-Sep-2011</v>
      </c>
      <c r="E75">
        <v>39</v>
      </c>
      <c r="F75" s="13">
        <v>105.07</v>
      </c>
      <c r="G75">
        <v>0.08</v>
      </c>
      <c r="H75" t="s">
        <v>19</v>
      </c>
      <c r="I75" s="13">
        <v>9.11</v>
      </c>
      <c r="J75">
        <v>2.88</v>
      </c>
      <c r="K75">
        <v>0.7</v>
      </c>
      <c r="L75" t="s">
        <v>213</v>
      </c>
      <c r="M75" t="s">
        <v>314</v>
      </c>
      <c r="N75" s="5" t="s">
        <v>86</v>
      </c>
      <c r="O75" t="s">
        <v>28</v>
      </c>
      <c r="P75" t="s">
        <v>21</v>
      </c>
      <c r="Q75" t="s">
        <v>50</v>
      </c>
      <c r="R75">
        <v>0.56000000000000005</v>
      </c>
      <c r="S75" s="1">
        <v>40799</v>
      </c>
      <c r="T75" t="str">
        <f t="shared" si="3"/>
        <v>13-Sep-2011</v>
      </c>
    </row>
    <row r="76" spans="1:20" x14ac:dyDescent="0.3">
      <c r="A76">
        <v>10886</v>
      </c>
      <c r="B76" s="1">
        <v>40048</v>
      </c>
      <c r="C76" t="s">
        <v>43</v>
      </c>
      <c r="D76" t="str">
        <f t="shared" si="2"/>
        <v>23-Aug-2009</v>
      </c>
      <c r="E76">
        <v>36</v>
      </c>
      <c r="F76" s="13">
        <v>65.42</v>
      </c>
      <c r="G76">
        <v>0.04</v>
      </c>
      <c r="H76" t="s">
        <v>19</v>
      </c>
      <c r="I76" s="13">
        <v>-112.92</v>
      </c>
      <c r="J76">
        <v>1.74</v>
      </c>
      <c r="K76">
        <v>4.08</v>
      </c>
      <c r="L76" t="s">
        <v>315</v>
      </c>
      <c r="M76" t="s">
        <v>314</v>
      </c>
      <c r="N76" s="5" t="s">
        <v>86</v>
      </c>
      <c r="O76" t="s">
        <v>28</v>
      </c>
      <c r="P76" t="s">
        <v>32</v>
      </c>
      <c r="Q76" t="s">
        <v>33</v>
      </c>
      <c r="R76">
        <v>0.53</v>
      </c>
      <c r="S76" s="1">
        <v>40050</v>
      </c>
      <c r="T76" t="str">
        <f t="shared" si="3"/>
        <v>25-Aug-2009</v>
      </c>
    </row>
    <row r="77" spans="1:20" x14ac:dyDescent="0.3">
      <c r="A77">
        <v>50657</v>
      </c>
      <c r="B77" s="1">
        <v>40895</v>
      </c>
      <c r="C77" t="s">
        <v>23</v>
      </c>
      <c r="D77" t="str">
        <f t="shared" si="2"/>
        <v>18-Dec-2011</v>
      </c>
      <c r="E77">
        <v>16</v>
      </c>
      <c r="F77" s="13">
        <v>60.02</v>
      </c>
      <c r="G77">
        <v>0.1</v>
      </c>
      <c r="H77" t="s">
        <v>35</v>
      </c>
      <c r="I77" s="13">
        <v>0.94</v>
      </c>
      <c r="J77">
        <v>3.71</v>
      </c>
      <c r="K77">
        <v>1.93</v>
      </c>
      <c r="L77" t="s">
        <v>353</v>
      </c>
      <c r="M77" t="s">
        <v>314</v>
      </c>
      <c r="N77" s="5" t="s">
        <v>86</v>
      </c>
      <c r="O77" t="s">
        <v>28</v>
      </c>
      <c r="P77" t="s">
        <v>21</v>
      </c>
      <c r="Q77" t="s">
        <v>37</v>
      </c>
      <c r="R77">
        <v>0.35</v>
      </c>
      <c r="S77" s="1">
        <v>40897</v>
      </c>
      <c r="T77" t="str">
        <f t="shared" si="3"/>
        <v>20-Dec-2011</v>
      </c>
    </row>
    <row r="78" spans="1:20" x14ac:dyDescent="0.3">
      <c r="A78">
        <v>5378</v>
      </c>
      <c r="B78" s="1">
        <v>41206</v>
      </c>
      <c r="C78" t="s">
        <v>43</v>
      </c>
      <c r="D78" t="str">
        <f t="shared" si="2"/>
        <v>24-Oct-2012</v>
      </c>
      <c r="E78">
        <v>6</v>
      </c>
      <c r="F78" s="13">
        <v>54.28</v>
      </c>
      <c r="G78">
        <v>0.01</v>
      </c>
      <c r="H78" t="s">
        <v>35</v>
      </c>
      <c r="I78" s="13">
        <v>-11.98</v>
      </c>
      <c r="J78">
        <v>6.24</v>
      </c>
      <c r="K78">
        <v>5.22</v>
      </c>
      <c r="L78" t="s">
        <v>371</v>
      </c>
      <c r="M78" t="s">
        <v>314</v>
      </c>
      <c r="N78" s="5" t="s">
        <v>86</v>
      </c>
      <c r="O78" t="s">
        <v>28</v>
      </c>
      <c r="P78" t="s">
        <v>32</v>
      </c>
      <c r="Q78" t="s">
        <v>33</v>
      </c>
      <c r="R78">
        <v>0.6</v>
      </c>
      <c r="S78" s="1">
        <v>41208</v>
      </c>
      <c r="T78" t="str">
        <f t="shared" si="3"/>
        <v>26-Oct-2012</v>
      </c>
    </row>
    <row r="79" spans="1:20" x14ac:dyDescent="0.3">
      <c r="A79">
        <v>4739</v>
      </c>
      <c r="B79" s="1">
        <v>40229</v>
      </c>
      <c r="C79" t="s">
        <v>18</v>
      </c>
      <c r="D79" t="str">
        <f t="shared" si="2"/>
        <v>20-Feb-2010</v>
      </c>
      <c r="E79">
        <v>16</v>
      </c>
      <c r="F79" s="13">
        <v>48.57</v>
      </c>
      <c r="G79">
        <v>0.04</v>
      </c>
      <c r="H79" t="s">
        <v>19</v>
      </c>
      <c r="I79" s="13">
        <v>4.21</v>
      </c>
      <c r="J79">
        <v>2.94</v>
      </c>
      <c r="K79">
        <v>0.7</v>
      </c>
      <c r="L79" t="s">
        <v>370</v>
      </c>
      <c r="M79" t="s">
        <v>314</v>
      </c>
      <c r="N79" s="5" t="s">
        <v>86</v>
      </c>
      <c r="O79" t="s">
        <v>28</v>
      </c>
      <c r="P79" t="s">
        <v>21</v>
      </c>
      <c r="Q79" t="s">
        <v>50</v>
      </c>
      <c r="R79">
        <v>0.57999999999999996</v>
      </c>
      <c r="S79" s="1">
        <v>40233</v>
      </c>
      <c r="T79" t="str">
        <f t="shared" si="3"/>
        <v>24-Feb-2010</v>
      </c>
    </row>
    <row r="80" spans="1:20" x14ac:dyDescent="0.3">
      <c r="A80">
        <v>3458</v>
      </c>
      <c r="B80" s="1">
        <v>40168</v>
      </c>
      <c r="C80" t="s">
        <v>23</v>
      </c>
      <c r="D80" t="str">
        <f t="shared" si="2"/>
        <v>21-Dec-2009</v>
      </c>
      <c r="E80">
        <v>28</v>
      </c>
      <c r="F80" s="13">
        <v>46.89</v>
      </c>
      <c r="G80">
        <v>0.09</v>
      </c>
      <c r="H80" t="s">
        <v>19</v>
      </c>
      <c r="I80" s="13">
        <v>-3.83</v>
      </c>
      <c r="J80">
        <v>1.76</v>
      </c>
      <c r="K80">
        <v>0.7</v>
      </c>
      <c r="L80" t="s">
        <v>119</v>
      </c>
      <c r="M80" t="s">
        <v>314</v>
      </c>
      <c r="N80" s="5" t="s">
        <v>86</v>
      </c>
      <c r="O80" t="s">
        <v>28</v>
      </c>
      <c r="P80" t="s">
        <v>21</v>
      </c>
      <c r="Q80" t="s">
        <v>50</v>
      </c>
      <c r="R80">
        <v>0.56000000000000005</v>
      </c>
      <c r="S80" s="1">
        <v>40171</v>
      </c>
      <c r="T80" t="str">
        <f t="shared" si="3"/>
        <v>24-Dec-2009</v>
      </c>
    </row>
    <row r="81" spans="1:20" x14ac:dyDescent="0.3">
      <c r="A81">
        <v>32929</v>
      </c>
      <c r="B81" s="1">
        <v>40665</v>
      </c>
      <c r="C81" t="s">
        <v>18</v>
      </c>
      <c r="D81" t="str">
        <f t="shared" si="2"/>
        <v>02-May-2011</v>
      </c>
      <c r="E81">
        <v>8</v>
      </c>
      <c r="F81" s="13">
        <v>44.56</v>
      </c>
      <c r="G81">
        <v>0.05</v>
      </c>
      <c r="H81" t="s">
        <v>19</v>
      </c>
      <c r="I81" s="13">
        <v>4.8099999999999996</v>
      </c>
      <c r="J81">
        <v>5.68</v>
      </c>
      <c r="K81">
        <v>1.39</v>
      </c>
      <c r="L81" t="s">
        <v>167</v>
      </c>
      <c r="M81" t="s">
        <v>314</v>
      </c>
      <c r="N81" s="5" t="s">
        <v>86</v>
      </c>
      <c r="O81" t="s">
        <v>28</v>
      </c>
      <c r="P81" t="s">
        <v>21</v>
      </c>
      <c r="Q81" t="s">
        <v>42</v>
      </c>
      <c r="R81">
        <v>0.38</v>
      </c>
      <c r="S81" s="1">
        <v>40669</v>
      </c>
      <c r="T81" t="str">
        <f t="shared" si="3"/>
        <v>06-May-2011</v>
      </c>
    </row>
    <row r="82" spans="1:20" x14ac:dyDescent="0.3">
      <c r="A82">
        <v>45924</v>
      </c>
      <c r="B82" s="1">
        <v>40533</v>
      </c>
      <c r="C82" t="s">
        <v>18</v>
      </c>
      <c r="D82" t="str">
        <f t="shared" si="2"/>
        <v>21-Dec-2010</v>
      </c>
      <c r="E82">
        <v>1</v>
      </c>
      <c r="F82" s="13">
        <v>27.44</v>
      </c>
      <c r="G82">
        <v>0.02</v>
      </c>
      <c r="H82" t="s">
        <v>19</v>
      </c>
      <c r="I82" s="13">
        <v>-11.76</v>
      </c>
      <c r="J82">
        <v>24.95</v>
      </c>
      <c r="K82">
        <v>2.99</v>
      </c>
      <c r="L82" t="s">
        <v>280</v>
      </c>
      <c r="M82" t="s">
        <v>314</v>
      </c>
      <c r="N82" s="5" t="s">
        <v>86</v>
      </c>
      <c r="O82" t="s">
        <v>28</v>
      </c>
      <c r="P82" t="s">
        <v>21</v>
      </c>
      <c r="Q82" t="s">
        <v>26</v>
      </c>
      <c r="R82">
        <v>0.39</v>
      </c>
      <c r="S82" s="1">
        <v>40538</v>
      </c>
      <c r="T82" t="str">
        <f t="shared" si="3"/>
        <v>26-Dec-2010</v>
      </c>
    </row>
    <row r="83" spans="1:20" x14ac:dyDescent="0.3">
      <c r="A83">
        <v>18055</v>
      </c>
      <c r="B83" s="1">
        <v>40213</v>
      </c>
      <c r="C83" t="s">
        <v>43</v>
      </c>
      <c r="D83" t="str">
        <f t="shared" si="2"/>
        <v>04-Feb-2010</v>
      </c>
      <c r="E83">
        <v>3</v>
      </c>
      <c r="F83" s="13">
        <v>19.98</v>
      </c>
      <c r="G83">
        <v>0.02</v>
      </c>
      <c r="H83" t="s">
        <v>19</v>
      </c>
      <c r="I83" s="13">
        <v>-9.61</v>
      </c>
      <c r="J83">
        <v>4.9800000000000004</v>
      </c>
      <c r="K83">
        <v>4.75</v>
      </c>
      <c r="L83" t="s">
        <v>339</v>
      </c>
      <c r="M83" t="s">
        <v>314</v>
      </c>
      <c r="N83" s="5" t="s">
        <v>86</v>
      </c>
      <c r="O83" t="s">
        <v>28</v>
      </c>
      <c r="P83" t="s">
        <v>21</v>
      </c>
      <c r="Q83" t="s">
        <v>37</v>
      </c>
      <c r="R83">
        <v>0.36</v>
      </c>
      <c r="S83" s="1">
        <v>40215</v>
      </c>
      <c r="T83" t="str">
        <f t="shared" si="3"/>
        <v>06-Feb-2010</v>
      </c>
    </row>
    <row r="84" spans="1:20" x14ac:dyDescent="0.3">
      <c r="A84">
        <v>16258</v>
      </c>
      <c r="B84" s="1">
        <v>40730</v>
      </c>
      <c r="C84" t="s">
        <v>38</v>
      </c>
      <c r="D84" t="str">
        <f t="shared" si="2"/>
        <v>06-Jul-2011</v>
      </c>
      <c r="E84">
        <v>1</v>
      </c>
      <c r="F84" s="13">
        <v>9.69</v>
      </c>
      <c r="G84">
        <v>0.05</v>
      </c>
      <c r="H84" t="s">
        <v>19</v>
      </c>
      <c r="I84" s="13">
        <v>-6.78</v>
      </c>
      <c r="J84">
        <v>4.9800000000000004</v>
      </c>
      <c r="K84">
        <v>4.72</v>
      </c>
      <c r="L84" t="s">
        <v>316</v>
      </c>
      <c r="M84" t="s">
        <v>314</v>
      </c>
      <c r="N84" s="5" t="s">
        <v>86</v>
      </c>
      <c r="O84" t="s">
        <v>28</v>
      </c>
      <c r="P84" t="s">
        <v>21</v>
      </c>
      <c r="Q84" t="s">
        <v>37</v>
      </c>
      <c r="R84">
        <v>0.36</v>
      </c>
      <c r="S84" s="1">
        <v>40731</v>
      </c>
      <c r="T84" t="str">
        <f t="shared" si="3"/>
        <v>07-Jul-2011</v>
      </c>
    </row>
    <row r="85" spans="1:20" x14ac:dyDescent="0.3">
      <c r="A85">
        <v>3808</v>
      </c>
      <c r="B85" s="1">
        <v>39926</v>
      </c>
      <c r="C85" t="s">
        <v>43</v>
      </c>
      <c r="D85" t="str">
        <f t="shared" si="2"/>
        <v>23-Apr-2009</v>
      </c>
      <c r="E85">
        <v>2</v>
      </c>
      <c r="F85" s="13">
        <v>6.13</v>
      </c>
      <c r="G85">
        <v>0.08</v>
      </c>
      <c r="H85" t="s">
        <v>19</v>
      </c>
      <c r="I85" s="13">
        <v>-2.83</v>
      </c>
      <c r="J85">
        <v>2.89</v>
      </c>
      <c r="K85">
        <v>0.49</v>
      </c>
      <c r="L85" t="s">
        <v>370</v>
      </c>
      <c r="M85" t="s">
        <v>314</v>
      </c>
      <c r="N85" s="5" t="s">
        <v>86</v>
      </c>
      <c r="O85" t="s">
        <v>28</v>
      </c>
      <c r="P85" t="s">
        <v>21</v>
      </c>
      <c r="Q85" t="s">
        <v>48</v>
      </c>
      <c r="R85">
        <v>0.38</v>
      </c>
      <c r="S85" s="1">
        <v>39926</v>
      </c>
      <c r="T85" t="str">
        <f t="shared" si="3"/>
        <v>23-Apr-2009</v>
      </c>
    </row>
    <row r="86" spans="1:20" x14ac:dyDescent="0.3">
      <c r="A86">
        <v>14117</v>
      </c>
      <c r="B86" s="1">
        <v>40415</v>
      </c>
      <c r="C86" t="s">
        <v>31</v>
      </c>
      <c r="D86" t="str">
        <f t="shared" si="2"/>
        <v>25-Aug-2010</v>
      </c>
      <c r="E86">
        <v>4</v>
      </c>
      <c r="F86" s="13">
        <v>5.31</v>
      </c>
      <c r="G86">
        <v>0</v>
      </c>
      <c r="H86" t="s">
        <v>19</v>
      </c>
      <c r="I86" s="13">
        <v>-1.5</v>
      </c>
      <c r="J86">
        <v>1.1399999999999999</v>
      </c>
      <c r="K86">
        <v>0.7</v>
      </c>
      <c r="L86" t="s">
        <v>151</v>
      </c>
      <c r="M86" t="s">
        <v>314</v>
      </c>
      <c r="N86" s="5" t="s">
        <v>86</v>
      </c>
      <c r="O86" t="s">
        <v>28</v>
      </c>
      <c r="P86" t="s">
        <v>21</v>
      </c>
      <c r="Q86" t="s">
        <v>39</v>
      </c>
      <c r="R86">
        <v>0.38</v>
      </c>
      <c r="S86" s="1">
        <v>40417</v>
      </c>
      <c r="T86" t="str">
        <f t="shared" si="3"/>
        <v>27-Aug-2010</v>
      </c>
    </row>
    <row r="87" spans="1:20" x14ac:dyDescent="0.3">
      <c r="A87">
        <v>43745</v>
      </c>
      <c r="B87" s="1">
        <v>40483</v>
      </c>
      <c r="C87" t="s">
        <v>18</v>
      </c>
      <c r="D87" t="str">
        <f t="shared" si="2"/>
        <v>01-Nov-2010</v>
      </c>
      <c r="E87">
        <v>1</v>
      </c>
      <c r="F87" s="13">
        <v>4.97</v>
      </c>
      <c r="G87">
        <v>0.04</v>
      </c>
      <c r="H87" t="s">
        <v>19</v>
      </c>
      <c r="I87" s="13">
        <v>-4.91</v>
      </c>
      <c r="J87">
        <v>3.55</v>
      </c>
      <c r="K87">
        <v>1.43</v>
      </c>
      <c r="L87" t="s">
        <v>280</v>
      </c>
      <c r="M87" t="s">
        <v>314</v>
      </c>
      <c r="N87" s="5" t="s">
        <v>86</v>
      </c>
      <c r="O87" t="s">
        <v>28</v>
      </c>
      <c r="P87" t="s">
        <v>21</v>
      </c>
      <c r="Q87" t="s">
        <v>39</v>
      </c>
      <c r="R87">
        <v>0.38</v>
      </c>
      <c r="S87" s="1">
        <v>40487</v>
      </c>
      <c r="T87" t="str">
        <f t="shared" si="3"/>
        <v>05-Nov-2010</v>
      </c>
    </row>
    <row r="88" spans="1:20" x14ac:dyDescent="0.3">
      <c r="A88">
        <v>4960</v>
      </c>
      <c r="B88" s="1">
        <v>40599</v>
      </c>
      <c r="C88" t="s">
        <v>18</v>
      </c>
      <c r="D88" t="str">
        <f t="shared" si="2"/>
        <v>25-Feb-2011</v>
      </c>
      <c r="E88">
        <v>30</v>
      </c>
      <c r="F88" s="13">
        <v>8363.65</v>
      </c>
      <c r="G88">
        <v>0.09</v>
      </c>
      <c r="H88" t="s">
        <v>24</v>
      </c>
      <c r="I88" s="13">
        <v>763.33</v>
      </c>
      <c r="J88">
        <v>300.98</v>
      </c>
      <c r="K88">
        <v>64.73</v>
      </c>
      <c r="L88" t="s">
        <v>178</v>
      </c>
      <c r="M88" t="s">
        <v>216</v>
      </c>
      <c r="N88" s="5" t="s">
        <v>86</v>
      </c>
      <c r="O88" t="s">
        <v>28</v>
      </c>
      <c r="P88" t="s">
        <v>32</v>
      </c>
      <c r="Q88" t="s">
        <v>56</v>
      </c>
      <c r="R88">
        <v>0.56000000000000005</v>
      </c>
      <c r="S88" s="1">
        <v>40603</v>
      </c>
      <c r="T88" t="str">
        <f t="shared" si="3"/>
        <v>01-Mar-2011</v>
      </c>
    </row>
    <row r="89" spans="1:20" x14ac:dyDescent="0.3">
      <c r="A89">
        <v>55425</v>
      </c>
      <c r="B89" s="1">
        <v>40848</v>
      </c>
      <c r="C89" t="s">
        <v>43</v>
      </c>
      <c r="D89" t="str">
        <f t="shared" si="2"/>
        <v>01-Nov-2011</v>
      </c>
      <c r="E89">
        <v>42</v>
      </c>
      <c r="F89" s="13">
        <v>4373.8535000000002</v>
      </c>
      <c r="G89">
        <v>0.04</v>
      </c>
      <c r="H89" t="s">
        <v>35</v>
      </c>
      <c r="I89" s="13">
        <v>963.68</v>
      </c>
      <c r="J89">
        <v>125.99</v>
      </c>
      <c r="K89">
        <v>7.69</v>
      </c>
      <c r="L89" t="s">
        <v>237</v>
      </c>
      <c r="M89" t="s">
        <v>216</v>
      </c>
      <c r="N89" s="5" t="s">
        <v>86</v>
      </c>
      <c r="O89" t="s">
        <v>28</v>
      </c>
      <c r="P89" t="s">
        <v>29</v>
      </c>
      <c r="Q89" t="s">
        <v>30</v>
      </c>
      <c r="R89">
        <v>0.59</v>
      </c>
      <c r="S89" s="1">
        <v>40849</v>
      </c>
      <c r="T89" t="str">
        <f t="shared" si="3"/>
        <v>02-Nov-2011</v>
      </c>
    </row>
    <row r="90" spans="1:20" x14ac:dyDescent="0.3">
      <c r="A90">
        <v>41607</v>
      </c>
      <c r="B90" s="1">
        <v>40166</v>
      </c>
      <c r="C90" t="s">
        <v>38</v>
      </c>
      <c r="D90" t="str">
        <f t="shared" si="2"/>
        <v>19-Dec-2009</v>
      </c>
      <c r="E90">
        <v>36</v>
      </c>
      <c r="F90" s="13">
        <v>4115.74</v>
      </c>
      <c r="G90">
        <v>0.1</v>
      </c>
      <c r="H90" t="s">
        <v>19</v>
      </c>
      <c r="I90" s="13">
        <v>1719.47</v>
      </c>
      <c r="J90">
        <v>120.98</v>
      </c>
      <c r="K90">
        <v>9.07</v>
      </c>
      <c r="L90" t="s">
        <v>221</v>
      </c>
      <c r="M90" t="s">
        <v>216</v>
      </c>
      <c r="N90" s="5" t="s">
        <v>86</v>
      </c>
      <c r="O90" t="s">
        <v>28</v>
      </c>
      <c r="P90" t="s">
        <v>21</v>
      </c>
      <c r="Q90" t="s">
        <v>26</v>
      </c>
      <c r="R90">
        <v>0.35</v>
      </c>
      <c r="S90" s="1">
        <v>40168</v>
      </c>
      <c r="T90" t="str">
        <f t="shared" si="3"/>
        <v>21-Dec-2009</v>
      </c>
    </row>
    <row r="91" spans="1:20" x14ac:dyDescent="0.3">
      <c r="A91">
        <v>17157</v>
      </c>
      <c r="B91" s="1">
        <v>41171</v>
      </c>
      <c r="C91" t="s">
        <v>18</v>
      </c>
      <c r="D91" t="str">
        <f t="shared" si="2"/>
        <v>19-Sep-2012</v>
      </c>
      <c r="E91">
        <v>31</v>
      </c>
      <c r="F91" s="13">
        <v>3081.471</v>
      </c>
      <c r="G91">
        <v>0.09</v>
      </c>
      <c r="H91" t="s">
        <v>19</v>
      </c>
      <c r="I91" s="13">
        <v>574.98</v>
      </c>
      <c r="J91">
        <v>125.99</v>
      </c>
      <c r="K91">
        <v>4.2</v>
      </c>
      <c r="L91" t="s">
        <v>116</v>
      </c>
      <c r="M91" t="s">
        <v>216</v>
      </c>
      <c r="N91" s="5" t="s">
        <v>86</v>
      </c>
      <c r="O91" t="s">
        <v>28</v>
      </c>
      <c r="P91" t="s">
        <v>29</v>
      </c>
      <c r="Q91" t="s">
        <v>30</v>
      </c>
      <c r="R91">
        <v>0.56999999999999995</v>
      </c>
      <c r="S91" s="1">
        <v>41175</v>
      </c>
      <c r="T91" t="str">
        <f t="shared" si="3"/>
        <v>23-Sep-2012</v>
      </c>
    </row>
    <row r="92" spans="1:20" x14ac:dyDescent="0.3">
      <c r="A92">
        <v>55940</v>
      </c>
      <c r="B92" s="1">
        <v>39932</v>
      </c>
      <c r="C92" t="s">
        <v>31</v>
      </c>
      <c r="D92" t="str">
        <f t="shared" si="2"/>
        <v>29-Apr-2009</v>
      </c>
      <c r="E92">
        <v>29</v>
      </c>
      <c r="F92" s="13">
        <v>2925.78</v>
      </c>
      <c r="G92">
        <v>0.03</v>
      </c>
      <c r="H92" t="s">
        <v>19</v>
      </c>
      <c r="I92" s="13">
        <v>1041.29</v>
      </c>
      <c r="J92">
        <v>100.98</v>
      </c>
      <c r="K92">
        <v>7.18</v>
      </c>
      <c r="L92" t="s">
        <v>211</v>
      </c>
      <c r="M92" t="s">
        <v>216</v>
      </c>
      <c r="N92" s="5" t="s">
        <v>86</v>
      </c>
      <c r="O92" t="s">
        <v>28</v>
      </c>
      <c r="P92" t="s">
        <v>29</v>
      </c>
      <c r="Q92" t="s">
        <v>41</v>
      </c>
      <c r="R92">
        <v>0.4</v>
      </c>
      <c r="S92" s="1">
        <v>39933</v>
      </c>
      <c r="T92" t="str">
        <f t="shared" si="3"/>
        <v>30-Apr-2009</v>
      </c>
    </row>
    <row r="93" spans="1:20" x14ac:dyDescent="0.3">
      <c r="A93">
        <v>55815</v>
      </c>
      <c r="B93" s="1">
        <v>40556</v>
      </c>
      <c r="C93" t="s">
        <v>23</v>
      </c>
      <c r="D93" t="str">
        <f t="shared" si="2"/>
        <v>13-Jan-2011</v>
      </c>
      <c r="E93">
        <v>28</v>
      </c>
      <c r="F93" s="13">
        <v>2860.19</v>
      </c>
      <c r="G93">
        <v>0.04</v>
      </c>
      <c r="H93" t="s">
        <v>35</v>
      </c>
      <c r="I93" s="13">
        <v>458.4</v>
      </c>
      <c r="J93">
        <v>105.29</v>
      </c>
      <c r="K93">
        <v>10.119999999999999</v>
      </c>
      <c r="L93" t="s">
        <v>233</v>
      </c>
      <c r="M93" t="s">
        <v>216</v>
      </c>
      <c r="N93" s="5" t="s">
        <v>86</v>
      </c>
      <c r="O93" t="s">
        <v>28</v>
      </c>
      <c r="P93" t="s">
        <v>32</v>
      </c>
      <c r="Q93" t="s">
        <v>33</v>
      </c>
      <c r="R93">
        <v>0.79</v>
      </c>
      <c r="S93" s="1">
        <v>40557</v>
      </c>
      <c r="T93" t="str">
        <f t="shared" si="3"/>
        <v>14-Jan-2011</v>
      </c>
    </row>
    <row r="94" spans="1:20" x14ac:dyDescent="0.3">
      <c r="A94">
        <v>38912</v>
      </c>
      <c r="B94" s="1">
        <v>41210</v>
      </c>
      <c r="C94" t="s">
        <v>18</v>
      </c>
      <c r="D94" t="str">
        <f t="shared" si="2"/>
        <v>28-Oct-2012</v>
      </c>
      <c r="E94">
        <v>26</v>
      </c>
      <c r="F94" s="13">
        <v>1514.9635000000001</v>
      </c>
      <c r="G94">
        <v>0.02</v>
      </c>
      <c r="H94" t="s">
        <v>19</v>
      </c>
      <c r="I94" s="13">
        <v>310.19</v>
      </c>
      <c r="J94">
        <v>65.989999999999995</v>
      </c>
      <c r="K94">
        <v>4.99</v>
      </c>
      <c r="L94" t="s">
        <v>234</v>
      </c>
      <c r="M94" t="s">
        <v>216</v>
      </c>
      <c r="N94" s="5" t="s">
        <v>86</v>
      </c>
      <c r="O94" t="s">
        <v>28</v>
      </c>
      <c r="P94" t="s">
        <v>29</v>
      </c>
      <c r="Q94" t="s">
        <v>30</v>
      </c>
      <c r="R94">
        <v>0.56999999999999995</v>
      </c>
      <c r="S94" s="1">
        <v>41217</v>
      </c>
      <c r="T94" t="str">
        <f t="shared" si="3"/>
        <v>04-Nov-2012</v>
      </c>
    </row>
    <row r="95" spans="1:20" x14ac:dyDescent="0.3">
      <c r="A95">
        <v>24003</v>
      </c>
      <c r="B95" s="1">
        <v>40117</v>
      </c>
      <c r="C95" t="s">
        <v>43</v>
      </c>
      <c r="D95" t="str">
        <f t="shared" si="2"/>
        <v>31-Oct-2009</v>
      </c>
      <c r="E95">
        <v>50</v>
      </c>
      <c r="F95" s="13">
        <v>1318.49</v>
      </c>
      <c r="G95">
        <v>0.02</v>
      </c>
      <c r="H95" t="s">
        <v>19</v>
      </c>
      <c r="I95" s="13">
        <v>4.6900000000000004</v>
      </c>
      <c r="J95">
        <v>24.98</v>
      </c>
      <c r="K95">
        <v>8.7899999999999991</v>
      </c>
      <c r="L95" t="s">
        <v>226</v>
      </c>
      <c r="M95" t="s">
        <v>216</v>
      </c>
      <c r="N95" s="5" t="s">
        <v>86</v>
      </c>
      <c r="O95" t="s">
        <v>28</v>
      </c>
      <c r="P95" t="s">
        <v>21</v>
      </c>
      <c r="Q95" t="s">
        <v>22</v>
      </c>
      <c r="R95">
        <v>0.66</v>
      </c>
      <c r="S95" s="1">
        <v>40118</v>
      </c>
      <c r="T95" t="str">
        <f t="shared" si="3"/>
        <v>01-Nov-2009</v>
      </c>
    </row>
    <row r="96" spans="1:20" x14ac:dyDescent="0.3">
      <c r="A96">
        <v>4647</v>
      </c>
      <c r="B96" s="1">
        <v>39946</v>
      </c>
      <c r="C96" t="s">
        <v>38</v>
      </c>
      <c r="D96" t="str">
        <f t="shared" si="2"/>
        <v>13-May-2009</v>
      </c>
      <c r="E96">
        <v>7</v>
      </c>
      <c r="F96" s="13">
        <v>1203.73</v>
      </c>
      <c r="G96">
        <v>0.03</v>
      </c>
      <c r="H96" t="s">
        <v>19</v>
      </c>
      <c r="I96" s="13">
        <v>293.14</v>
      </c>
      <c r="J96">
        <v>162.93</v>
      </c>
      <c r="K96">
        <v>19.989999999999998</v>
      </c>
      <c r="L96" t="s">
        <v>218</v>
      </c>
      <c r="M96" t="s">
        <v>216</v>
      </c>
      <c r="N96" s="5" t="s">
        <v>86</v>
      </c>
      <c r="O96" t="s">
        <v>28</v>
      </c>
      <c r="P96" t="s">
        <v>21</v>
      </c>
      <c r="Q96" t="s">
        <v>42</v>
      </c>
      <c r="R96">
        <v>0.39</v>
      </c>
      <c r="S96" s="1">
        <v>39947</v>
      </c>
      <c r="T96" t="str">
        <f t="shared" si="3"/>
        <v>14-May-2009</v>
      </c>
    </row>
    <row r="97" spans="1:20" x14ac:dyDescent="0.3">
      <c r="A97">
        <v>25927</v>
      </c>
      <c r="B97" s="1">
        <v>39925</v>
      </c>
      <c r="C97" t="s">
        <v>38</v>
      </c>
      <c r="D97" t="str">
        <f t="shared" si="2"/>
        <v>22-Apr-2009</v>
      </c>
      <c r="E97">
        <v>43</v>
      </c>
      <c r="F97" s="13">
        <v>945.9</v>
      </c>
      <c r="G97">
        <v>0.08</v>
      </c>
      <c r="H97" t="s">
        <v>19</v>
      </c>
      <c r="I97" s="13">
        <v>105.7</v>
      </c>
      <c r="J97">
        <v>22.01</v>
      </c>
      <c r="K97">
        <v>5.53</v>
      </c>
      <c r="L97" t="s">
        <v>116</v>
      </c>
      <c r="M97" t="s">
        <v>216</v>
      </c>
      <c r="N97" s="5" t="s">
        <v>86</v>
      </c>
      <c r="O97" t="s">
        <v>28</v>
      </c>
      <c r="P97" t="s">
        <v>21</v>
      </c>
      <c r="Q97" t="s">
        <v>50</v>
      </c>
      <c r="R97">
        <v>0.59</v>
      </c>
      <c r="S97" s="1">
        <v>39927</v>
      </c>
      <c r="T97" t="str">
        <f t="shared" si="3"/>
        <v>24-Apr-2009</v>
      </c>
    </row>
    <row r="98" spans="1:20" x14ac:dyDescent="0.3">
      <c r="A98">
        <v>10338</v>
      </c>
      <c r="B98" s="1">
        <v>40738</v>
      </c>
      <c r="C98" t="s">
        <v>31</v>
      </c>
      <c r="D98" t="str">
        <f t="shared" si="2"/>
        <v>14-Jul-2011</v>
      </c>
      <c r="E98">
        <v>9</v>
      </c>
      <c r="F98" s="13">
        <v>799.98</v>
      </c>
      <c r="G98">
        <v>0.04</v>
      </c>
      <c r="H98" t="s">
        <v>24</v>
      </c>
      <c r="I98" s="13">
        <v>15.36</v>
      </c>
      <c r="J98">
        <v>90.97</v>
      </c>
      <c r="K98">
        <v>14</v>
      </c>
      <c r="L98" t="s">
        <v>221</v>
      </c>
      <c r="M98" t="s">
        <v>216</v>
      </c>
      <c r="N98" s="5" t="s">
        <v>86</v>
      </c>
      <c r="O98" t="s">
        <v>28</v>
      </c>
      <c r="P98" t="s">
        <v>29</v>
      </c>
      <c r="Q98" t="s">
        <v>74</v>
      </c>
      <c r="R98">
        <v>0.36</v>
      </c>
      <c r="S98" s="1">
        <v>40740</v>
      </c>
      <c r="T98" t="str">
        <f t="shared" si="3"/>
        <v>16-Jul-2011</v>
      </c>
    </row>
    <row r="99" spans="1:20" x14ac:dyDescent="0.3">
      <c r="A99">
        <v>28515</v>
      </c>
      <c r="B99" s="1">
        <v>40359</v>
      </c>
      <c r="C99" t="s">
        <v>23</v>
      </c>
      <c r="D99" t="str">
        <f t="shared" si="2"/>
        <v>30-Jun-2010</v>
      </c>
      <c r="E99">
        <v>33</v>
      </c>
      <c r="F99" s="13">
        <v>750.86</v>
      </c>
      <c r="G99">
        <v>0</v>
      </c>
      <c r="H99" t="s">
        <v>19</v>
      </c>
      <c r="I99" s="13">
        <v>302.12</v>
      </c>
      <c r="J99">
        <v>21.38</v>
      </c>
      <c r="K99">
        <v>2.99</v>
      </c>
      <c r="L99" t="s">
        <v>97</v>
      </c>
      <c r="M99" t="s">
        <v>216</v>
      </c>
      <c r="N99" s="5" t="s">
        <v>86</v>
      </c>
      <c r="O99" t="s">
        <v>28</v>
      </c>
      <c r="P99" t="s">
        <v>21</v>
      </c>
      <c r="Q99" t="s">
        <v>26</v>
      </c>
      <c r="R99">
        <v>0.36</v>
      </c>
      <c r="S99" s="1">
        <v>40360</v>
      </c>
      <c r="T99" t="str">
        <f t="shared" si="3"/>
        <v>01-Jul-2010</v>
      </c>
    </row>
    <row r="100" spans="1:20" x14ac:dyDescent="0.3">
      <c r="A100">
        <v>10688</v>
      </c>
      <c r="B100" s="1">
        <v>41041</v>
      </c>
      <c r="C100" t="s">
        <v>38</v>
      </c>
      <c r="D100" t="str">
        <f t="shared" si="2"/>
        <v>12-May-2012</v>
      </c>
      <c r="E100">
        <v>14</v>
      </c>
      <c r="F100" s="13">
        <v>618.84</v>
      </c>
      <c r="G100">
        <v>0.05</v>
      </c>
      <c r="H100" t="s">
        <v>19</v>
      </c>
      <c r="I100" s="13">
        <v>-200.84</v>
      </c>
      <c r="J100">
        <v>41.47</v>
      </c>
      <c r="K100">
        <v>34.200000000000003</v>
      </c>
      <c r="L100" t="s">
        <v>222</v>
      </c>
      <c r="M100" t="s">
        <v>216</v>
      </c>
      <c r="N100" s="5" t="s">
        <v>86</v>
      </c>
      <c r="O100" t="s">
        <v>28</v>
      </c>
      <c r="P100" t="s">
        <v>32</v>
      </c>
      <c r="Q100" t="s">
        <v>33</v>
      </c>
      <c r="R100">
        <v>0.73</v>
      </c>
      <c r="S100" s="1">
        <v>41042</v>
      </c>
      <c r="T100" t="str">
        <f t="shared" si="3"/>
        <v>13-May-2012</v>
      </c>
    </row>
    <row r="101" spans="1:20" x14ac:dyDescent="0.3">
      <c r="A101">
        <v>36294</v>
      </c>
      <c r="B101" s="1">
        <v>41141</v>
      </c>
      <c r="C101" t="s">
        <v>38</v>
      </c>
      <c r="D101" t="str">
        <f t="shared" si="2"/>
        <v>20-Aug-2012</v>
      </c>
      <c r="E101">
        <v>46</v>
      </c>
      <c r="F101" s="13">
        <v>611.16</v>
      </c>
      <c r="G101">
        <v>0.04</v>
      </c>
      <c r="H101" t="s">
        <v>19</v>
      </c>
      <c r="I101" s="13">
        <v>100.22</v>
      </c>
      <c r="J101">
        <v>12.95</v>
      </c>
      <c r="K101">
        <v>4.9800000000000004</v>
      </c>
      <c r="L101" t="s">
        <v>231</v>
      </c>
      <c r="M101" t="s">
        <v>216</v>
      </c>
      <c r="N101" s="5" t="s">
        <v>86</v>
      </c>
      <c r="O101" t="s">
        <v>28</v>
      </c>
      <c r="P101" t="s">
        <v>21</v>
      </c>
      <c r="Q101" t="s">
        <v>26</v>
      </c>
      <c r="R101">
        <v>0.4</v>
      </c>
      <c r="S101" s="1">
        <v>41143</v>
      </c>
      <c r="T101" t="str">
        <f t="shared" si="3"/>
        <v>22-Aug-2012</v>
      </c>
    </row>
    <row r="102" spans="1:20" x14ac:dyDescent="0.3">
      <c r="A102">
        <v>22020</v>
      </c>
      <c r="B102" s="1">
        <v>40315</v>
      </c>
      <c r="C102" t="s">
        <v>43</v>
      </c>
      <c r="D102" t="str">
        <f t="shared" si="2"/>
        <v>17-May-2010</v>
      </c>
      <c r="E102">
        <v>37</v>
      </c>
      <c r="F102" s="13">
        <v>498.28</v>
      </c>
      <c r="G102">
        <v>0.01</v>
      </c>
      <c r="H102" t="s">
        <v>19</v>
      </c>
      <c r="I102" s="13">
        <v>10.18</v>
      </c>
      <c r="J102">
        <v>13.48</v>
      </c>
      <c r="K102">
        <v>4.51</v>
      </c>
      <c r="L102" t="s">
        <v>225</v>
      </c>
      <c r="M102" t="s">
        <v>216</v>
      </c>
      <c r="N102" s="5" t="s">
        <v>86</v>
      </c>
      <c r="O102" t="s">
        <v>28</v>
      </c>
      <c r="P102" t="s">
        <v>21</v>
      </c>
      <c r="Q102" t="s">
        <v>22</v>
      </c>
      <c r="R102">
        <v>0.59</v>
      </c>
      <c r="S102" s="1">
        <v>40316</v>
      </c>
      <c r="T102" t="str">
        <f t="shared" si="3"/>
        <v>18-May-2010</v>
      </c>
    </row>
    <row r="103" spans="1:20" x14ac:dyDescent="0.3">
      <c r="A103">
        <v>46177</v>
      </c>
      <c r="B103" s="1">
        <v>40517</v>
      </c>
      <c r="C103" t="s">
        <v>18</v>
      </c>
      <c r="D103" t="str">
        <f t="shared" si="2"/>
        <v>05-Dec-2010</v>
      </c>
      <c r="E103">
        <v>33</v>
      </c>
      <c r="F103" s="13">
        <v>468.46</v>
      </c>
      <c r="G103">
        <v>0.01</v>
      </c>
      <c r="H103" t="s">
        <v>19</v>
      </c>
      <c r="I103" s="13">
        <v>-292.7</v>
      </c>
      <c r="J103">
        <v>12.99</v>
      </c>
      <c r="K103">
        <v>14.37</v>
      </c>
      <c r="L103" t="s">
        <v>116</v>
      </c>
      <c r="M103" t="s">
        <v>216</v>
      </c>
      <c r="N103" s="5" t="s">
        <v>86</v>
      </c>
      <c r="O103" t="s">
        <v>28</v>
      </c>
      <c r="P103" t="s">
        <v>32</v>
      </c>
      <c r="Q103" t="s">
        <v>33</v>
      </c>
      <c r="R103">
        <v>0.73</v>
      </c>
      <c r="S103" s="1">
        <v>40517</v>
      </c>
      <c r="T103" t="str">
        <f t="shared" si="3"/>
        <v>05-Dec-2010</v>
      </c>
    </row>
    <row r="104" spans="1:20" x14ac:dyDescent="0.3">
      <c r="A104">
        <v>10209</v>
      </c>
      <c r="B104" s="1">
        <v>40511</v>
      </c>
      <c r="C104" t="s">
        <v>38</v>
      </c>
      <c r="D104" t="str">
        <f t="shared" si="2"/>
        <v>29-Nov-2010</v>
      </c>
      <c r="E104">
        <v>14</v>
      </c>
      <c r="F104" s="13">
        <v>461.55</v>
      </c>
      <c r="G104">
        <v>0.09</v>
      </c>
      <c r="H104" t="s">
        <v>19</v>
      </c>
      <c r="I104" s="13">
        <v>-12</v>
      </c>
      <c r="J104">
        <v>33.979999999999997</v>
      </c>
      <c r="K104">
        <v>19.989999999999998</v>
      </c>
      <c r="L104" t="s">
        <v>221</v>
      </c>
      <c r="M104" t="s">
        <v>216</v>
      </c>
      <c r="N104" s="5" t="s">
        <v>86</v>
      </c>
      <c r="O104" t="s">
        <v>28</v>
      </c>
      <c r="P104" t="s">
        <v>32</v>
      </c>
      <c r="Q104" t="s">
        <v>33</v>
      </c>
      <c r="R104">
        <v>0.55000000000000004</v>
      </c>
      <c r="S104" s="1">
        <v>40511</v>
      </c>
      <c r="T104" t="str">
        <f t="shared" si="3"/>
        <v>29-Nov-2010</v>
      </c>
    </row>
    <row r="105" spans="1:20" x14ac:dyDescent="0.3">
      <c r="A105">
        <v>37831</v>
      </c>
      <c r="B105" s="1">
        <v>41116</v>
      </c>
      <c r="C105" t="s">
        <v>31</v>
      </c>
      <c r="D105" t="str">
        <f t="shared" si="2"/>
        <v>26-Jul-2012</v>
      </c>
      <c r="E105">
        <v>30</v>
      </c>
      <c r="F105" s="13">
        <v>453.87</v>
      </c>
      <c r="G105">
        <v>0.08</v>
      </c>
      <c r="H105" t="s">
        <v>19</v>
      </c>
      <c r="I105" s="13">
        <v>76.59</v>
      </c>
      <c r="J105">
        <v>15.98</v>
      </c>
      <c r="K105">
        <v>4</v>
      </c>
      <c r="L105" t="s">
        <v>233</v>
      </c>
      <c r="M105" t="s">
        <v>216</v>
      </c>
      <c r="N105" s="5" t="s">
        <v>86</v>
      </c>
      <c r="O105" t="s">
        <v>28</v>
      </c>
      <c r="P105" t="s">
        <v>29</v>
      </c>
      <c r="Q105" t="s">
        <v>41</v>
      </c>
      <c r="R105">
        <v>0.37</v>
      </c>
      <c r="S105" s="1">
        <v>41118</v>
      </c>
      <c r="T105" t="str">
        <f t="shared" si="3"/>
        <v>28-Jul-2012</v>
      </c>
    </row>
    <row r="106" spans="1:20" x14ac:dyDescent="0.3">
      <c r="A106">
        <v>7938</v>
      </c>
      <c r="B106" s="1">
        <v>40250</v>
      </c>
      <c r="C106" t="s">
        <v>38</v>
      </c>
      <c r="D106" t="str">
        <f t="shared" si="2"/>
        <v>13-Mar-2010</v>
      </c>
      <c r="E106">
        <v>34</v>
      </c>
      <c r="F106" s="13">
        <v>334.66</v>
      </c>
      <c r="G106">
        <v>0.05</v>
      </c>
      <c r="H106" t="s">
        <v>19</v>
      </c>
      <c r="I106" s="13">
        <v>132.56</v>
      </c>
      <c r="J106">
        <v>9.93</v>
      </c>
      <c r="K106">
        <v>1.0900000000000001</v>
      </c>
      <c r="L106" t="s">
        <v>218</v>
      </c>
      <c r="M106" t="s">
        <v>216</v>
      </c>
      <c r="N106" s="5" t="s">
        <v>86</v>
      </c>
      <c r="O106" t="s">
        <v>28</v>
      </c>
      <c r="P106" t="s">
        <v>21</v>
      </c>
      <c r="Q106" t="s">
        <v>50</v>
      </c>
      <c r="R106">
        <v>0.43</v>
      </c>
      <c r="S106" s="1">
        <v>40251</v>
      </c>
      <c r="T106" t="str">
        <f t="shared" si="3"/>
        <v>14-Mar-2010</v>
      </c>
    </row>
    <row r="107" spans="1:20" x14ac:dyDescent="0.3">
      <c r="A107">
        <v>29667</v>
      </c>
      <c r="B107" s="1">
        <v>40018</v>
      </c>
      <c r="C107" t="s">
        <v>31</v>
      </c>
      <c r="D107" t="str">
        <f t="shared" si="2"/>
        <v>24-Jul-2009</v>
      </c>
      <c r="E107">
        <v>14</v>
      </c>
      <c r="F107" s="13">
        <v>215.31</v>
      </c>
      <c r="G107">
        <v>0.09</v>
      </c>
      <c r="H107" t="s">
        <v>19</v>
      </c>
      <c r="I107" s="13">
        <v>-51.75</v>
      </c>
      <c r="J107">
        <v>15.28</v>
      </c>
      <c r="K107">
        <v>10.91</v>
      </c>
      <c r="L107" t="s">
        <v>228</v>
      </c>
      <c r="M107" t="s">
        <v>216</v>
      </c>
      <c r="N107" s="5" t="s">
        <v>86</v>
      </c>
      <c r="O107" t="s">
        <v>28</v>
      </c>
      <c r="P107" t="s">
        <v>21</v>
      </c>
      <c r="Q107" t="s">
        <v>26</v>
      </c>
      <c r="R107">
        <v>0.36</v>
      </c>
      <c r="S107" s="1">
        <v>40019</v>
      </c>
      <c r="T107" t="str">
        <f t="shared" si="3"/>
        <v>25-Jul-2009</v>
      </c>
    </row>
    <row r="108" spans="1:20" x14ac:dyDescent="0.3">
      <c r="A108">
        <v>40896</v>
      </c>
      <c r="B108" s="1">
        <v>40788</v>
      </c>
      <c r="C108" t="s">
        <v>31</v>
      </c>
      <c r="D108" t="str">
        <f t="shared" si="2"/>
        <v>02-Sep-2011</v>
      </c>
      <c r="E108">
        <v>21</v>
      </c>
      <c r="F108" s="13">
        <v>155.72999999999999</v>
      </c>
      <c r="G108">
        <v>0.03</v>
      </c>
      <c r="H108" t="s">
        <v>35</v>
      </c>
      <c r="I108" s="13">
        <v>42.86</v>
      </c>
      <c r="J108">
        <v>7.4</v>
      </c>
      <c r="K108">
        <v>1.71</v>
      </c>
      <c r="L108" t="s">
        <v>235</v>
      </c>
      <c r="M108" t="s">
        <v>216</v>
      </c>
      <c r="N108" s="5" t="s">
        <v>86</v>
      </c>
      <c r="O108" t="s">
        <v>28</v>
      </c>
      <c r="P108" t="s">
        <v>21</v>
      </c>
      <c r="Q108" t="s">
        <v>37</v>
      </c>
      <c r="R108">
        <v>0.4</v>
      </c>
      <c r="S108" s="1">
        <v>40789</v>
      </c>
      <c r="T108" t="str">
        <f t="shared" si="3"/>
        <v>03-Sep-2011</v>
      </c>
    </row>
    <row r="109" spans="1:20" x14ac:dyDescent="0.3">
      <c r="A109">
        <v>37287</v>
      </c>
      <c r="B109" s="1">
        <v>41214</v>
      </c>
      <c r="C109" t="s">
        <v>18</v>
      </c>
      <c r="D109" t="str">
        <f t="shared" si="2"/>
        <v>01-Nov-2012</v>
      </c>
      <c r="E109">
        <v>45</v>
      </c>
      <c r="F109" s="13">
        <v>130.25</v>
      </c>
      <c r="G109">
        <v>0.05</v>
      </c>
      <c r="H109" t="s">
        <v>19</v>
      </c>
      <c r="I109" s="13">
        <v>0.89</v>
      </c>
      <c r="J109">
        <v>2.98</v>
      </c>
      <c r="K109">
        <v>1.58</v>
      </c>
      <c r="L109" t="s">
        <v>232</v>
      </c>
      <c r="M109" t="s">
        <v>216</v>
      </c>
      <c r="N109" s="5" t="s">
        <v>86</v>
      </c>
      <c r="O109" t="s">
        <v>28</v>
      </c>
      <c r="P109" t="s">
        <v>21</v>
      </c>
      <c r="Q109" t="s">
        <v>39</v>
      </c>
      <c r="R109">
        <v>0.39</v>
      </c>
      <c r="S109" s="1">
        <v>41219</v>
      </c>
      <c r="T109" t="str">
        <f t="shared" si="3"/>
        <v>06-Nov-2012</v>
      </c>
    </row>
    <row r="110" spans="1:20" x14ac:dyDescent="0.3">
      <c r="A110">
        <v>31845</v>
      </c>
      <c r="B110" s="1">
        <v>41204</v>
      </c>
      <c r="C110" t="s">
        <v>18</v>
      </c>
      <c r="D110" t="str">
        <f t="shared" si="2"/>
        <v>22-Oct-2012</v>
      </c>
      <c r="E110">
        <v>11</v>
      </c>
      <c r="F110" s="13">
        <v>114.55</v>
      </c>
      <c r="G110">
        <v>0.05</v>
      </c>
      <c r="H110" t="s">
        <v>19</v>
      </c>
      <c r="I110" s="13">
        <v>28.61</v>
      </c>
      <c r="J110">
        <v>10.06</v>
      </c>
      <c r="K110">
        <v>2.06</v>
      </c>
      <c r="L110" t="s">
        <v>230</v>
      </c>
      <c r="M110" t="s">
        <v>216</v>
      </c>
      <c r="N110" s="5" t="s">
        <v>86</v>
      </c>
      <c r="O110" t="s">
        <v>28</v>
      </c>
      <c r="P110" t="s">
        <v>21</v>
      </c>
      <c r="Q110" t="s">
        <v>37</v>
      </c>
      <c r="R110">
        <v>0.39</v>
      </c>
      <c r="S110" s="1">
        <v>41211</v>
      </c>
      <c r="T110" t="str">
        <f t="shared" si="3"/>
        <v>29-Oct-2012</v>
      </c>
    </row>
    <row r="111" spans="1:20" x14ac:dyDescent="0.3">
      <c r="A111">
        <v>24003</v>
      </c>
      <c r="B111" s="1">
        <v>40117</v>
      </c>
      <c r="C111" t="s">
        <v>43</v>
      </c>
      <c r="D111" t="str">
        <f t="shared" si="2"/>
        <v>31-Oct-2009</v>
      </c>
      <c r="E111">
        <v>49</v>
      </c>
      <c r="F111" s="13">
        <v>87.44</v>
      </c>
      <c r="G111">
        <v>0.06</v>
      </c>
      <c r="H111" t="s">
        <v>19</v>
      </c>
      <c r="I111" s="13">
        <v>1.33</v>
      </c>
      <c r="J111">
        <v>1.76</v>
      </c>
      <c r="K111">
        <v>0.7</v>
      </c>
      <c r="L111" t="s">
        <v>226</v>
      </c>
      <c r="M111" t="s">
        <v>216</v>
      </c>
      <c r="N111" s="5" t="s">
        <v>86</v>
      </c>
      <c r="O111" t="s">
        <v>28</v>
      </c>
      <c r="P111" t="s">
        <v>21</v>
      </c>
      <c r="Q111" t="s">
        <v>50</v>
      </c>
      <c r="R111">
        <v>0.56000000000000005</v>
      </c>
      <c r="S111" s="1">
        <v>40119</v>
      </c>
      <c r="T111" t="str">
        <f t="shared" si="3"/>
        <v>02-Nov-2009</v>
      </c>
    </row>
    <row r="112" spans="1:20" x14ac:dyDescent="0.3">
      <c r="A112">
        <v>4647</v>
      </c>
      <c r="B112" s="1">
        <v>39946</v>
      </c>
      <c r="C112" t="s">
        <v>38</v>
      </c>
      <c r="D112" t="str">
        <f t="shared" si="2"/>
        <v>13-May-2009</v>
      </c>
      <c r="E112">
        <v>6</v>
      </c>
      <c r="F112" s="13">
        <v>75.19</v>
      </c>
      <c r="G112">
        <v>0.01</v>
      </c>
      <c r="H112" t="s">
        <v>19</v>
      </c>
      <c r="I112" s="13">
        <v>-6.61</v>
      </c>
      <c r="J112">
        <v>11.58</v>
      </c>
      <c r="K112">
        <v>5.72</v>
      </c>
      <c r="L112" t="s">
        <v>218</v>
      </c>
      <c r="M112" t="s">
        <v>216</v>
      </c>
      <c r="N112" s="5" t="s">
        <v>86</v>
      </c>
      <c r="O112" t="s">
        <v>28</v>
      </c>
      <c r="P112" t="s">
        <v>21</v>
      </c>
      <c r="Q112" t="s">
        <v>42</v>
      </c>
      <c r="R112">
        <v>0.35</v>
      </c>
      <c r="S112" s="1">
        <v>39948</v>
      </c>
      <c r="T112" t="str">
        <f t="shared" si="3"/>
        <v>15-May-2009</v>
      </c>
    </row>
    <row r="113" spans="1:20" x14ac:dyDescent="0.3">
      <c r="A113">
        <v>26243</v>
      </c>
      <c r="B113" s="1">
        <v>40740</v>
      </c>
      <c r="C113" t="s">
        <v>18</v>
      </c>
      <c r="D113" t="str">
        <f t="shared" si="2"/>
        <v>16-Jul-2011</v>
      </c>
      <c r="E113">
        <v>42</v>
      </c>
      <c r="F113" s="13">
        <v>71.319999999999993</v>
      </c>
      <c r="G113">
        <v>0.08</v>
      </c>
      <c r="H113" t="s">
        <v>19</v>
      </c>
      <c r="I113" s="13">
        <v>-4.9000000000000004</v>
      </c>
      <c r="J113">
        <v>1.82</v>
      </c>
      <c r="K113">
        <v>1</v>
      </c>
      <c r="L113" t="s">
        <v>227</v>
      </c>
      <c r="M113" t="s">
        <v>216</v>
      </c>
      <c r="N113" s="5" t="s">
        <v>86</v>
      </c>
      <c r="O113" t="s">
        <v>28</v>
      </c>
      <c r="P113" t="s">
        <v>21</v>
      </c>
      <c r="Q113" t="s">
        <v>50</v>
      </c>
      <c r="R113">
        <v>0.4</v>
      </c>
      <c r="S113" s="1">
        <v>40744</v>
      </c>
      <c r="T113" t="str">
        <f t="shared" si="3"/>
        <v>20-Jul-2011</v>
      </c>
    </row>
    <row r="114" spans="1:20" x14ac:dyDescent="0.3">
      <c r="A114">
        <v>14662</v>
      </c>
      <c r="B114" s="1">
        <v>40863</v>
      </c>
      <c r="C114" t="s">
        <v>23</v>
      </c>
      <c r="D114" t="str">
        <f t="shared" si="2"/>
        <v>16-Nov-2011</v>
      </c>
      <c r="E114">
        <v>24</v>
      </c>
      <c r="F114" s="13">
        <v>39.69</v>
      </c>
      <c r="G114">
        <v>0.05</v>
      </c>
      <c r="H114" t="s">
        <v>19</v>
      </c>
      <c r="I114" s="13">
        <v>-1.78</v>
      </c>
      <c r="J114">
        <v>1.68</v>
      </c>
      <c r="K114">
        <v>1</v>
      </c>
      <c r="L114" t="s">
        <v>219</v>
      </c>
      <c r="M114" t="s">
        <v>216</v>
      </c>
      <c r="N114" s="5" t="s">
        <v>86</v>
      </c>
      <c r="O114" t="s">
        <v>28</v>
      </c>
      <c r="P114" t="s">
        <v>21</v>
      </c>
      <c r="Q114" t="s">
        <v>50</v>
      </c>
      <c r="R114">
        <v>0.35</v>
      </c>
      <c r="S114" s="1">
        <v>40864</v>
      </c>
      <c r="T114" t="str">
        <f t="shared" si="3"/>
        <v>17-Nov-2011</v>
      </c>
    </row>
    <row r="115" spans="1:20" x14ac:dyDescent="0.3">
      <c r="A115">
        <v>43460</v>
      </c>
      <c r="B115" s="1">
        <v>41071</v>
      </c>
      <c r="C115" t="s">
        <v>38</v>
      </c>
      <c r="D115" t="str">
        <f t="shared" si="2"/>
        <v>11-Jun-2012</v>
      </c>
      <c r="E115">
        <v>2</v>
      </c>
      <c r="F115" s="13">
        <v>25.09</v>
      </c>
      <c r="G115">
        <v>7.0000000000000007E-2</v>
      </c>
      <c r="H115" t="s">
        <v>19</v>
      </c>
      <c r="I115" s="13">
        <v>-17.600000000000001</v>
      </c>
      <c r="J115">
        <v>8.0399999999999991</v>
      </c>
      <c r="K115">
        <v>8.94</v>
      </c>
      <c r="L115" t="s">
        <v>228</v>
      </c>
      <c r="M115" t="s">
        <v>216</v>
      </c>
      <c r="N115" s="5" t="s">
        <v>86</v>
      </c>
      <c r="O115" t="s">
        <v>28</v>
      </c>
      <c r="P115" t="s">
        <v>21</v>
      </c>
      <c r="Q115" t="s">
        <v>26</v>
      </c>
      <c r="R115">
        <v>0.4</v>
      </c>
      <c r="S115" s="1">
        <v>41072</v>
      </c>
      <c r="T115" t="str">
        <f t="shared" si="3"/>
        <v>12-Jun-2012</v>
      </c>
    </row>
    <row r="116" spans="1:20" x14ac:dyDescent="0.3">
      <c r="A116">
        <v>39040</v>
      </c>
      <c r="B116" s="1">
        <v>39954</v>
      </c>
      <c r="C116" t="s">
        <v>43</v>
      </c>
      <c r="D116" t="str">
        <f t="shared" si="2"/>
        <v>21-May-2009</v>
      </c>
      <c r="E116">
        <v>7</v>
      </c>
      <c r="F116" s="13">
        <v>19.36</v>
      </c>
      <c r="G116">
        <v>0.04</v>
      </c>
      <c r="H116" t="s">
        <v>35</v>
      </c>
      <c r="I116" s="13">
        <v>-1</v>
      </c>
      <c r="J116">
        <v>1.98</v>
      </c>
      <c r="K116">
        <v>0.7</v>
      </c>
      <c r="L116" t="s">
        <v>228</v>
      </c>
      <c r="M116" t="s">
        <v>216</v>
      </c>
      <c r="N116" s="5" t="s">
        <v>86</v>
      </c>
      <c r="O116" t="s">
        <v>28</v>
      </c>
      <c r="P116" t="s">
        <v>21</v>
      </c>
      <c r="Q116" t="s">
        <v>39</v>
      </c>
      <c r="R116">
        <v>0.83</v>
      </c>
      <c r="S116" s="1">
        <v>39955</v>
      </c>
      <c r="T116" t="str">
        <f t="shared" si="3"/>
        <v>22-May-2009</v>
      </c>
    </row>
    <row r="117" spans="1:20" x14ac:dyDescent="0.3">
      <c r="A117">
        <v>43302</v>
      </c>
      <c r="B117" s="1">
        <v>40778</v>
      </c>
      <c r="C117" t="s">
        <v>18</v>
      </c>
      <c r="D117" t="str">
        <f t="shared" si="2"/>
        <v>23-Aug-2011</v>
      </c>
      <c r="E117">
        <v>4</v>
      </c>
      <c r="F117" s="13">
        <v>8.8699999999999992</v>
      </c>
      <c r="G117">
        <v>0.09</v>
      </c>
      <c r="H117" t="s">
        <v>19</v>
      </c>
      <c r="I117" s="13">
        <v>-5.14</v>
      </c>
      <c r="J117">
        <v>1.95</v>
      </c>
      <c r="K117">
        <v>1.63</v>
      </c>
      <c r="L117" t="s">
        <v>230</v>
      </c>
      <c r="M117" t="s">
        <v>216</v>
      </c>
      <c r="N117" s="5" t="s">
        <v>86</v>
      </c>
      <c r="O117" t="s">
        <v>28</v>
      </c>
      <c r="P117" t="s">
        <v>21</v>
      </c>
      <c r="Q117" t="s">
        <v>50</v>
      </c>
      <c r="R117">
        <v>0.46</v>
      </c>
      <c r="S117" s="1">
        <v>40787</v>
      </c>
      <c r="T117" t="str">
        <f t="shared" si="3"/>
        <v>01-Sep-2011</v>
      </c>
    </row>
    <row r="118" spans="1:20" x14ac:dyDescent="0.3">
      <c r="A118">
        <v>6596</v>
      </c>
      <c r="B118" s="1">
        <v>40745</v>
      </c>
      <c r="C118" t="s">
        <v>18</v>
      </c>
      <c r="D118" t="str">
        <f t="shared" si="2"/>
        <v>21-Jul-2011</v>
      </c>
      <c r="E118">
        <v>36</v>
      </c>
      <c r="F118" s="13">
        <v>18028.07</v>
      </c>
      <c r="G118">
        <v>0.02</v>
      </c>
      <c r="H118" t="s">
        <v>24</v>
      </c>
      <c r="I118" s="13">
        <v>8157.7</v>
      </c>
      <c r="J118">
        <v>500.98</v>
      </c>
      <c r="K118">
        <v>28.14</v>
      </c>
      <c r="L118" t="s">
        <v>143</v>
      </c>
      <c r="M118" t="s">
        <v>135</v>
      </c>
      <c r="N118" s="5" t="s">
        <v>86</v>
      </c>
      <c r="O118" t="s">
        <v>28</v>
      </c>
      <c r="P118" t="s">
        <v>29</v>
      </c>
      <c r="Q118" t="s">
        <v>74</v>
      </c>
      <c r="R118">
        <v>0.38</v>
      </c>
      <c r="S118" s="1">
        <v>40750</v>
      </c>
      <c r="T118" t="str">
        <f t="shared" si="3"/>
        <v>26-Jul-2011</v>
      </c>
    </row>
    <row r="119" spans="1:20" x14ac:dyDescent="0.3">
      <c r="A119">
        <v>6369</v>
      </c>
      <c r="B119" s="1">
        <v>40166</v>
      </c>
      <c r="C119" t="s">
        <v>23</v>
      </c>
      <c r="D119" t="str">
        <f t="shared" si="2"/>
        <v>19-Dec-2009</v>
      </c>
      <c r="E119">
        <v>30</v>
      </c>
      <c r="F119" s="13">
        <v>14922.16</v>
      </c>
      <c r="G119">
        <v>0.1</v>
      </c>
      <c r="H119" t="s">
        <v>24</v>
      </c>
      <c r="I119" s="13">
        <v>545.70000000000005</v>
      </c>
      <c r="J119">
        <v>550.98</v>
      </c>
      <c r="K119">
        <v>45.7</v>
      </c>
      <c r="L119" t="s">
        <v>254</v>
      </c>
      <c r="M119" t="s">
        <v>135</v>
      </c>
      <c r="N119" s="5" t="s">
        <v>86</v>
      </c>
      <c r="O119" t="s">
        <v>28</v>
      </c>
      <c r="P119" t="s">
        <v>32</v>
      </c>
      <c r="Q119" t="s">
        <v>46</v>
      </c>
      <c r="R119">
        <v>0.71</v>
      </c>
      <c r="S119" s="1">
        <v>40168</v>
      </c>
      <c r="T119" t="str">
        <f t="shared" si="3"/>
        <v>21-Dec-2009</v>
      </c>
    </row>
    <row r="120" spans="1:20" x14ac:dyDescent="0.3">
      <c r="A120">
        <v>3654</v>
      </c>
      <c r="B120" s="1">
        <v>41062</v>
      </c>
      <c r="C120" t="s">
        <v>18</v>
      </c>
      <c r="D120" t="str">
        <f t="shared" si="2"/>
        <v>02-Jun-2012</v>
      </c>
      <c r="E120">
        <v>47</v>
      </c>
      <c r="F120" s="13">
        <v>12569.31</v>
      </c>
      <c r="G120">
        <v>0.1</v>
      </c>
      <c r="H120" t="s">
        <v>24</v>
      </c>
      <c r="I120" s="13">
        <v>3160.63</v>
      </c>
      <c r="J120">
        <v>279.81</v>
      </c>
      <c r="K120">
        <v>23.19</v>
      </c>
      <c r="L120" t="s">
        <v>219</v>
      </c>
      <c r="M120" t="s">
        <v>135</v>
      </c>
      <c r="N120" s="5" t="s">
        <v>86</v>
      </c>
      <c r="O120" t="s">
        <v>28</v>
      </c>
      <c r="P120" t="s">
        <v>21</v>
      </c>
      <c r="Q120" t="s">
        <v>25</v>
      </c>
      <c r="R120">
        <v>0.59</v>
      </c>
      <c r="S120" s="1">
        <v>41062</v>
      </c>
      <c r="T120" t="str">
        <f t="shared" si="3"/>
        <v>02-Jun-2012</v>
      </c>
    </row>
    <row r="121" spans="1:20" x14ac:dyDescent="0.3">
      <c r="A121">
        <v>46177</v>
      </c>
      <c r="B121" s="1">
        <v>40517</v>
      </c>
      <c r="C121" t="s">
        <v>18</v>
      </c>
      <c r="D121" t="str">
        <f t="shared" si="2"/>
        <v>05-Dec-2010</v>
      </c>
      <c r="E121">
        <v>48</v>
      </c>
      <c r="F121" s="13">
        <v>9708.64</v>
      </c>
      <c r="G121">
        <v>0.1</v>
      </c>
      <c r="H121" t="s">
        <v>24</v>
      </c>
      <c r="I121" s="13">
        <v>-528.65</v>
      </c>
      <c r="J121">
        <v>218.75</v>
      </c>
      <c r="K121">
        <v>69.64</v>
      </c>
      <c r="L121" t="s">
        <v>116</v>
      </c>
      <c r="M121" t="s">
        <v>135</v>
      </c>
      <c r="N121" s="5" t="s">
        <v>86</v>
      </c>
      <c r="O121" t="s">
        <v>28</v>
      </c>
      <c r="P121" t="s">
        <v>32</v>
      </c>
      <c r="Q121" t="s">
        <v>46</v>
      </c>
      <c r="R121">
        <v>0.77</v>
      </c>
      <c r="S121" s="1">
        <v>40519</v>
      </c>
      <c r="T121" t="str">
        <f t="shared" si="3"/>
        <v>07-Dec-2010</v>
      </c>
    </row>
    <row r="122" spans="1:20" x14ac:dyDescent="0.3">
      <c r="A122">
        <v>26304</v>
      </c>
      <c r="B122" s="1">
        <v>40621</v>
      </c>
      <c r="C122" t="s">
        <v>38</v>
      </c>
      <c r="D122" t="str">
        <f t="shared" si="2"/>
        <v>19-Mar-2011</v>
      </c>
      <c r="E122">
        <v>43</v>
      </c>
      <c r="F122" s="13">
        <v>7452.1369999999997</v>
      </c>
      <c r="G122">
        <v>0.02</v>
      </c>
      <c r="H122" t="s">
        <v>19</v>
      </c>
      <c r="I122" s="13">
        <v>2028.36</v>
      </c>
      <c r="J122">
        <v>205.99</v>
      </c>
      <c r="K122">
        <v>5.99</v>
      </c>
      <c r="L122" t="s">
        <v>140</v>
      </c>
      <c r="M122" t="s">
        <v>135</v>
      </c>
      <c r="N122" s="5" t="s">
        <v>86</v>
      </c>
      <c r="O122" t="s">
        <v>28</v>
      </c>
      <c r="P122" t="s">
        <v>29</v>
      </c>
      <c r="Q122" t="s">
        <v>30</v>
      </c>
      <c r="R122">
        <v>0.59</v>
      </c>
      <c r="S122" s="1">
        <v>40622</v>
      </c>
      <c r="T122" t="str">
        <f t="shared" si="3"/>
        <v>20-Mar-2011</v>
      </c>
    </row>
    <row r="123" spans="1:20" x14ac:dyDescent="0.3">
      <c r="A123">
        <v>3654</v>
      </c>
      <c r="B123" s="1">
        <v>41062</v>
      </c>
      <c r="C123" t="s">
        <v>18</v>
      </c>
      <c r="D123" t="str">
        <f t="shared" si="2"/>
        <v>02-Jun-2012</v>
      </c>
      <c r="E123">
        <v>39</v>
      </c>
      <c r="F123" s="13">
        <v>7338.79</v>
      </c>
      <c r="G123">
        <v>0.03</v>
      </c>
      <c r="H123" t="s">
        <v>19</v>
      </c>
      <c r="I123" s="13">
        <v>4031.62</v>
      </c>
      <c r="J123">
        <v>204.1</v>
      </c>
      <c r="K123">
        <v>13.99</v>
      </c>
      <c r="L123" t="s">
        <v>219</v>
      </c>
      <c r="M123" t="s">
        <v>135</v>
      </c>
      <c r="N123" s="5" t="s">
        <v>86</v>
      </c>
      <c r="O123" t="s">
        <v>28</v>
      </c>
      <c r="P123" t="s">
        <v>29</v>
      </c>
      <c r="Q123" t="s">
        <v>74</v>
      </c>
      <c r="R123">
        <v>0.37</v>
      </c>
      <c r="S123" s="1">
        <v>41067</v>
      </c>
      <c r="T123" t="str">
        <f t="shared" si="3"/>
        <v>07-Jun-2012</v>
      </c>
    </row>
    <row r="124" spans="1:20" x14ac:dyDescent="0.3">
      <c r="A124">
        <v>43302</v>
      </c>
      <c r="B124" s="1">
        <v>40778</v>
      </c>
      <c r="C124" t="s">
        <v>18</v>
      </c>
      <c r="D124" t="str">
        <f t="shared" si="2"/>
        <v>23-Aug-2011</v>
      </c>
      <c r="E124">
        <v>39</v>
      </c>
      <c r="F124" s="13">
        <v>6888.6634999999997</v>
      </c>
      <c r="G124">
        <v>0.03</v>
      </c>
      <c r="H124" t="s">
        <v>19</v>
      </c>
      <c r="I124" s="13">
        <v>1925.58</v>
      </c>
      <c r="J124">
        <v>205.99</v>
      </c>
      <c r="K124">
        <v>5</v>
      </c>
      <c r="L124" t="s">
        <v>230</v>
      </c>
      <c r="M124" t="s">
        <v>135</v>
      </c>
      <c r="N124" s="5" t="s">
        <v>86</v>
      </c>
      <c r="O124" t="s">
        <v>28</v>
      </c>
      <c r="P124" t="s">
        <v>29</v>
      </c>
      <c r="Q124" t="s">
        <v>30</v>
      </c>
      <c r="R124">
        <v>0.59</v>
      </c>
      <c r="S124" s="1">
        <v>40785</v>
      </c>
      <c r="T124" t="str">
        <f t="shared" si="3"/>
        <v>30-Aug-2011</v>
      </c>
    </row>
    <row r="125" spans="1:20" x14ac:dyDescent="0.3">
      <c r="A125">
        <v>38976</v>
      </c>
      <c r="B125" s="1">
        <v>40537</v>
      </c>
      <c r="C125" t="s">
        <v>43</v>
      </c>
      <c r="D125" t="str">
        <f t="shared" si="2"/>
        <v>25-Dec-2010</v>
      </c>
      <c r="E125">
        <v>16</v>
      </c>
      <c r="F125" s="13">
        <v>6813.93</v>
      </c>
      <c r="G125">
        <v>0.09</v>
      </c>
      <c r="H125" t="s">
        <v>24</v>
      </c>
      <c r="I125" s="13">
        <v>358.19</v>
      </c>
      <c r="J125">
        <v>449.99</v>
      </c>
      <c r="K125">
        <v>49</v>
      </c>
      <c r="L125" t="s">
        <v>237</v>
      </c>
      <c r="M125" t="s">
        <v>135</v>
      </c>
      <c r="N125" s="5" t="s">
        <v>86</v>
      </c>
      <c r="O125" t="s">
        <v>28</v>
      </c>
      <c r="P125" t="s">
        <v>29</v>
      </c>
      <c r="Q125" t="s">
        <v>51</v>
      </c>
      <c r="R125">
        <v>0.38</v>
      </c>
      <c r="S125" s="1">
        <v>40538</v>
      </c>
      <c r="T125" t="str">
        <f t="shared" si="3"/>
        <v>26-Dec-2010</v>
      </c>
    </row>
    <row r="126" spans="1:20" x14ac:dyDescent="0.3">
      <c r="A126">
        <v>24644</v>
      </c>
      <c r="B126" s="1">
        <v>40022</v>
      </c>
      <c r="C126" t="s">
        <v>43</v>
      </c>
      <c r="D126" t="str">
        <f t="shared" si="2"/>
        <v>28-Jul-2009</v>
      </c>
      <c r="E126">
        <v>46</v>
      </c>
      <c r="F126" s="13">
        <v>5897.47</v>
      </c>
      <c r="G126">
        <v>0</v>
      </c>
      <c r="H126" t="s">
        <v>24</v>
      </c>
      <c r="I126" s="13">
        <v>-1764.29</v>
      </c>
      <c r="J126">
        <v>122.99</v>
      </c>
      <c r="K126">
        <v>70.2</v>
      </c>
      <c r="L126" t="s">
        <v>244</v>
      </c>
      <c r="M126" t="s">
        <v>135</v>
      </c>
      <c r="N126" s="5" t="s">
        <v>86</v>
      </c>
      <c r="O126" t="s">
        <v>28</v>
      </c>
      <c r="P126" t="s">
        <v>32</v>
      </c>
      <c r="Q126" t="s">
        <v>56</v>
      </c>
      <c r="R126">
        <v>0.74</v>
      </c>
      <c r="S126" s="1">
        <v>40023</v>
      </c>
      <c r="T126" t="str">
        <f t="shared" si="3"/>
        <v>29-Jul-2009</v>
      </c>
    </row>
    <row r="127" spans="1:20" x14ac:dyDescent="0.3">
      <c r="A127">
        <v>50471</v>
      </c>
      <c r="B127" s="1">
        <v>40911</v>
      </c>
      <c r="C127" t="s">
        <v>18</v>
      </c>
      <c r="D127" t="str">
        <f t="shared" si="2"/>
        <v>03-Jan-2012</v>
      </c>
      <c r="E127">
        <v>25</v>
      </c>
      <c r="F127" s="13">
        <v>5859.25</v>
      </c>
      <c r="G127">
        <v>0.02</v>
      </c>
      <c r="H127" t="s">
        <v>24</v>
      </c>
      <c r="I127" s="13">
        <v>1358.53</v>
      </c>
      <c r="J127">
        <v>226.67</v>
      </c>
      <c r="K127">
        <v>28.16</v>
      </c>
      <c r="L127" t="s">
        <v>247</v>
      </c>
      <c r="M127" t="s">
        <v>135</v>
      </c>
      <c r="N127" s="5" t="s">
        <v>86</v>
      </c>
      <c r="O127" t="s">
        <v>28</v>
      </c>
      <c r="P127" t="s">
        <v>32</v>
      </c>
      <c r="Q127" t="s">
        <v>56</v>
      </c>
      <c r="R127">
        <v>0.59</v>
      </c>
      <c r="S127" s="1">
        <v>40913</v>
      </c>
      <c r="T127" t="str">
        <f t="shared" si="3"/>
        <v>05-Jan-2012</v>
      </c>
    </row>
    <row r="128" spans="1:20" x14ac:dyDescent="0.3">
      <c r="A128">
        <v>14406</v>
      </c>
      <c r="B128" s="1">
        <v>40245</v>
      </c>
      <c r="C128" t="s">
        <v>38</v>
      </c>
      <c r="D128" t="str">
        <f t="shared" si="2"/>
        <v>08-Mar-2010</v>
      </c>
      <c r="E128">
        <v>37</v>
      </c>
      <c r="F128" s="13">
        <v>5610.84</v>
      </c>
      <c r="G128">
        <v>7.0000000000000007E-2</v>
      </c>
      <c r="H128" t="s">
        <v>19</v>
      </c>
      <c r="I128" s="13">
        <v>2366.5100000000002</v>
      </c>
      <c r="J128">
        <v>150.97999999999999</v>
      </c>
      <c r="K128">
        <v>13.99</v>
      </c>
      <c r="L128" t="s">
        <v>148</v>
      </c>
      <c r="M128" t="s">
        <v>135</v>
      </c>
      <c r="N128" s="5" t="s">
        <v>86</v>
      </c>
      <c r="O128" t="s">
        <v>28</v>
      </c>
      <c r="P128" t="s">
        <v>29</v>
      </c>
      <c r="Q128" t="s">
        <v>74</v>
      </c>
      <c r="R128">
        <v>0.38</v>
      </c>
      <c r="S128" s="1">
        <v>40247</v>
      </c>
      <c r="T128" t="str">
        <f t="shared" si="3"/>
        <v>10-Mar-2010</v>
      </c>
    </row>
    <row r="129" spans="1:20" x14ac:dyDescent="0.3">
      <c r="A129">
        <v>21379</v>
      </c>
      <c r="B129" s="1">
        <v>40557</v>
      </c>
      <c r="C129" t="s">
        <v>23</v>
      </c>
      <c r="D129" t="str">
        <f t="shared" si="2"/>
        <v>14-Jan-2011</v>
      </c>
      <c r="E129">
        <v>35</v>
      </c>
      <c r="F129" s="13">
        <v>5428.49</v>
      </c>
      <c r="G129">
        <v>0.05</v>
      </c>
      <c r="H129" t="s">
        <v>24</v>
      </c>
      <c r="I129" s="13">
        <v>-1046.78</v>
      </c>
      <c r="J129">
        <v>150.88999999999999</v>
      </c>
      <c r="K129">
        <v>60.2</v>
      </c>
      <c r="L129" t="s">
        <v>148</v>
      </c>
      <c r="M129" t="s">
        <v>135</v>
      </c>
      <c r="N129" s="5" t="s">
        <v>86</v>
      </c>
      <c r="O129" t="s">
        <v>28</v>
      </c>
      <c r="P129" t="s">
        <v>32</v>
      </c>
      <c r="Q129" t="s">
        <v>56</v>
      </c>
      <c r="R129">
        <v>0.77</v>
      </c>
      <c r="S129" s="1">
        <v>40559</v>
      </c>
      <c r="T129" t="str">
        <f t="shared" si="3"/>
        <v>16-Jan-2011</v>
      </c>
    </row>
    <row r="130" spans="1:20" x14ac:dyDescent="0.3">
      <c r="A130">
        <v>9923</v>
      </c>
      <c r="B130" s="1">
        <v>40091</v>
      </c>
      <c r="C130" t="s">
        <v>23</v>
      </c>
      <c r="D130" t="str">
        <f t="shared" ref="D130:D193" si="4">TEXT(B130, "dd-mmm-yyyy" )</f>
        <v>05-Oct-2009</v>
      </c>
      <c r="E130">
        <v>14</v>
      </c>
      <c r="F130" s="13">
        <v>5388.8</v>
      </c>
      <c r="G130">
        <v>0.03</v>
      </c>
      <c r="H130" t="s">
        <v>24</v>
      </c>
      <c r="I130" s="13">
        <v>-115.08</v>
      </c>
      <c r="J130">
        <v>370.98</v>
      </c>
      <c r="K130">
        <v>99</v>
      </c>
      <c r="L130" t="s">
        <v>143</v>
      </c>
      <c r="M130" t="s">
        <v>135</v>
      </c>
      <c r="N130" s="5" t="s">
        <v>86</v>
      </c>
      <c r="O130" t="s">
        <v>28</v>
      </c>
      <c r="P130" t="s">
        <v>21</v>
      </c>
      <c r="Q130" t="s">
        <v>22</v>
      </c>
      <c r="R130">
        <v>0.65</v>
      </c>
      <c r="S130" s="1">
        <v>40092</v>
      </c>
      <c r="T130" t="str">
        <f t="shared" ref="T130:T193" si="5">TEXT(S130, "dd-mmm-yyyy")</f>
        <v>06-Oct-2009</v>
      </c>
    </row>
    <row r="131" spans="1:20" x14ac:dyDescent="0.3">
      <c r="A131">
        <v>14662</v>
      </c>
      <c r="B131" s="1">
        <v>40863</v>
      </c>
      <c r="C131" t="s">
        <v>23</v>
      </c>
      <c r="D131" t="str">
        <f t="shared" si="4"/>
        <v>16-Nov-2011</v>
      </c>
      <c r="E131">
        <v>48</v>
      </c>
      <c r="F131" s="13">
        <v>5139.8819999999996</v>
      </c>
      <c r="G131">
        <v>0.01</v>
      </c>
      <c r="H131" t="s">
        <v>19</v>
      </c>
      <c r="I131" s="13">
        <v>1275.67</v>
      </c>
      <c r="J131">
        <v>125.99</v>
      </c>
      <c r="K131">
        <v>8.99</v>
      </c>
      <c r="L131" t="s">
        <v>219</v>
      </c>
      <c r="M131" t="s">
        <v>135</v>
      </c>
      <c r="N131" s="5" t="s">
        <v>86</v>
      </c>
      <c r="O131" t="s">
        <v>28</v>
      </c>
      <c r="P131" t="s">
        <v>29</v>
      </c>
      <c r="Q131" t="s">
        <v>30</v>
      </c>
      <c r="R131">
        <v>0.59</v>
      </c>
      <c r="S131" s="1">
        <v>40864</v>
      </c>
      <c r="T131" t="str">
        <f t="shared" si="5"/>
        <v>17-Nov-2011</v>
      </c>
    </row>
    <row r="132" spans="1:20" x14ac:dyDescent="0.3">
      <c r="A132">
        <v>12228</v>
      </c>
      <c r="B132" s="1">
        <v>39989</v>
      </c>
      <c r="C132" t="s">
        <v>31</v>
      </c>
      <c r="D132" t="str">
        <f t="shared" si="4"/>
        <v>25-Jun-2009</v>
      </c>
      <c r="E132">
        <v>30</v>
      </c>
      <c r="F132" s="13">
        <v>5015.0510000000004</v>
      </c>
      <c r="G132">
        <v>0.05</v>
      </c>
      <c r="H132" t="s">
        <v>19</v>
      </c>
      <c r="I132" s="13">
        <v>1090.43</v>
      </c>
      <c r="J132">
        <v>200.99</v>
      </c>
      <c r="K132">
        <v>4.2</v>
      </c>
      <c r="L132" t="s">
        <v>145</v>
      </c>
      <c r="M132" t="s">
        <v>135</v>
      </c>
      <c r="N132" s="5" t="s">
        <v>86</v>
      </c>
      <c r="O132" t="s">
        <v>28</v>
      </c>
      <c r="P132" t="s">
        <v>29</v>
      </c>
      <c r="Q132" t="s">
        <v>30</v>
      </c>
      <c r="R132">
        <v>0.59</v>
      </c>
      <c r="S132" s="1">
        <v>39989</v>
      </c>
      <c r="T132" t="str">
        <f t="shared" si="5"/>
        <v>25-Jun-2009</v>
      </c>
    </row>
    <row r="133" spans="1:20" x14ac:dyDescent="0.3">
      <c r="A133">
        <v>1346</v>
      </c>
      <c r="B133" s="1">
        <v>41077</v>
      </c>
      <c r="C133" t="s">
        <v>23</v>
      </c>
      <c r="D133" t="str">
        <f t="shared" si="4"/>
        <v>17-Jun-2012</v>
      </c>
      <c r="E133">
        <v>48</v>
      </c>
      <c r="F133" s="13">
        <v>4789.8900000000003</v>
      </c>
      <c r="G133">
        <v>0.09</v>
      </c>
      <c r="H133" t="s">
        <v>24</v>
      </c>
      <c r="I133" s="13">
        <v>421.15</v>
      </c>
      <c r="J133">
        <v>100.98</v>
      </c>
      <c r="K133">
        <v>26.22</v>
      </c>
      <c r="L133" t="s">
        <v>139</v>
      </c>
      <c r="M133" t="s">
        <v>135</v>
      </c>
      <c r="N133" s="5" t="s">
        <v>86</v>
      </c>
      <c r="O133" t="s">
        <v>28</v>
      </c>
      <c r="P133" t="s">
        <v>32</v>
      </c>
      <c r="Q133" t="s">
        <v>45</v>
      </c>
      <c r="R133">
        <v>0.6</v>
      </c>
      <c r="S133" s="1">
        <v>41079</v>
      </c>
      <c r="T133" t="str">
        <f t="shared" si="5"/>
        <v>19-Jun-2012</v>
      </c>
    </row>
    <row r="134" spans="1:20" x14ac:dyDescent="0.3">
      <c r="A134">
        <v>7751</v>
      </c>
      <c r="B134" s="1">
        <v>41266</v>
      </c>
      <c r="C134" t="s">
        <v>31</v>
      </c>
      <c r="D134" t="str">
        <f t="shared" si="4"/>
        <v>23-Dec-2012</v>
      </c>
      <c r="E134">
        <v>45</v>
      </c>
      <c r="F134" s="13">
        <v>4547.8999999999996</v>
      </c>
      <c r="G134">
        <v>0.01</v>
      </c>
      <c r="H134" t="s">
        <v>24</v>
      </c>
      <c r="I134" s="13">
        <v>-768.14</v>
      </c>
      <c r="J134">
        <v>95.98</v>
      </c>
      <c r="K134">
        <v>58.2</v>
      </c>
      <c r="L134" t="s">
        <v>190</v>
      </c>
      <c r="M134" t="s">
        <v>135</v>
      </c>
      <c r="N134" s="5" t="s">
        <v>86</v>
      </c>
      <c r="O134" t="s">
        <v>28</v>
      </c>
      <c r="P134" t="s">
        <v>32</v>
      </c>
      <c r="Q134" t="s">
        <v>56</v>
      </c>
      <c r="R134">
        <v>0.57999999999999996</v>
      </c>
      <c r="S134" s="1">
        <v>41267</v>
      </c>
      <c r="T134" t="str">
        <f t="shared" si="5"/>
        <v>24-Dec-2012</v>
      </c>
    </row>
    <row r="135" spans="1:20" x14ac:dyDescent="0.3">
      <c r="A135">
        <v>59781</v>
      </c>
      <c r="B135" s="1">
        <v>41255</v>
      </c>
      <c r="C135" t="s">
        <v>31</v>
      </c>
      <c r="D135" t="str">
        <f t="shared" si="4"/>
        <v>12-Dec-2012</v>
      </c>
      <c r="E135">
        <v>24</v>
      </c>
      <c r="F135" s="13">
        <v>4408.2700000000004</v>
      </c>
      <c r="G135">
        <v>0.04</v>
      </c>
      <c r="H135" t="s">
        <v>24</v>
      </c>
      <c r="I135" s="13">
        <v>329.28</v>
      </c>
      <c r="J135">
        <v>180.98</v>
      </c>
      <c r="K135">
        <v>30</v>
      </c>
      <c r="L135" t="s">
        <v>252</v>
      </c>
      <c r="M135" t="s">
        <v>135</v>
      </c>
      <c r="N135" s="5" t="s">
        <v>86</v>
      </c>
      <c r="O135" t="s">
        <v>28</v>
      </c>
      <c r="P135" t="s">
        <v>32</v>
      </c>
      <c r="Q135" t="s">
        <v>56</v>
      </c>
      <c r="R135">
        <v>0.69</v>
      </c>
      <c r="S135" s="1">
        <v>41256</v>
      </c>
      <c r="T135" t="str">
        <f t="shared" si="5"/>
        <v>13-Dec-2012</v>
      </c>
    </row>
    <row r="136" spans="1:20" x14ac:dyDescent="0.3">
      <c r="A136">
        <v>1285</v>
      </c>
      <c r="B136" s="1">
        <v>41060</v>
      </c>
      <c r="C136" t="s">
        <v>43</v>
      </c>
      <c r="D136" t="str">
        <f t="shared" si="4"/>
        <v>31-May-2012</v>
      </c>
      <c r="E136">
        <v>27</v>
      </c>
      <c r="F136" s="13">
        <v>3874.12</v>
      </c>
      <c r="G136">
        <v>0</v>
      </c>
      <c r="H136" t="s">
        <v>24</v>
      </c>
      <c r="I136" s="13">
        <v>-305.98</v>
      </c>
      <c r="J136">
        <v>130.97999999999999</v>
      </c>
      <c r="K136">
        <v>54.74</v>
      </c>
      <c r="L136" t="s">
        <v>138</v>
      </c>
      <c r="M136" t="s">
        <v>135</v>
      </c>
      <c r="N136" s="5" t="s">
        <v>86</v>
      </c>
      <c r="O136" t="s">
        <v>28</v>
      </c>
      <c r="P136" t="s">
        <v>32</v>
      </c>
      <c r="Q136" t="s">
        <v>45</v>
      </c>
      <c r="R136">
        <v>0.69</v>
      </c>
      <c r="S136" s="1">
        <v>41060</v>
      </c>
      <c r="T136" t="str">
        <f t="shared" si="5"/>
        <v>31-May-2012</v>
      </c>
    </row>
    <row r="137" spans="1:20" x14ac:dyDescent="0.3">
      <c r="A137">
        <v>14375</v>
      </c>
      <c r="B137" s="1">
        <v>40209</v>
      </c>
      <c r="C137" t="s">
        <v>38</v>
      </c>
      <c r="D137" t="str">
        <f t="shared" si="4"/>
        <v>31-Jan-2010</v>
      </c>
      <c r="E137">
        <v>50</v>
      </c>
      <c r="F137" s="13">
        <v>3872.38</v>
      </c>
      <c r="G137">
        <v>0.1</v>
      </c>
      <c r="H137" t="s">
        <v>19</v>
      </c>
      <c r="I137" s="13">
        <v>1110.3499999999999</v>
      </c>
      <c r="J137">
        <v>83.93</v>
      </c>
      <c r="K137">
        <v>19.989999999999998</v>
      </c>
      <c r="L137" t="s">
        <v>116</v>
      </c>
      <c r="M137" t="s">
        <v>135</v>
      </c>
      <c r="N137" s="5" t="s">
        <v>86</v>
      </c>
      <c r="O137" t="s">
        <v>28</v>
      </c>
      <c r="P137" t="s">
        <v>21</v>
      </c>
      <c r="Q137" t="s">
        <v>42</v>
      </c>
      <c r="R137">
        <v>0.38</v>
      </c>
      <c r="S137" s="1">
        <v>40210</v>
      </c>
      <c r="T137" t="str">
        <f t="shared" si="5"/>
        <v>01-Feb-2010</v>
      </c>
    </row>
    <row r="138" spans="1:20" x14ac:dyDescent="0.3">
      <c r="A138">
        <v>58884</v>
      </c>
      <c r="B138" s="1">
        <v>40623</v>
      </c>
      <c r="C138" t="s">
        <v>18</v>
      </c>
      <c r="D138" t="str">
        <f t="shared" si="4"/>
        <v>21-Mar-2011</v>
      </c>
      <c r="E138">
        <v>46</v>
      </c>
      <c r="F138" s="13">
        <v>3732.25</v>
      </c>
      <c r="G138">
        <v>0.1</v>
      </c>
      <c r="H138" t="s">
        <v>24</v>
      </c>
      <c r="I138" s="13">
        <v>-1255.8599999999999</v>
      </c>
      <c r="J138">
        <v>85.29</v>
      </c>
      <c r="K138">
        <v>60</v>
      </c>
      <c r="L138" t="s">
        <v>132</v>
      </c>
      <c r="M138" t="s">
        <v>135</v>
      </c>
      <c r="N138" s="5" t="s">
        <v>86</v>
      </c>
      <c r="O138" t="s">
        <v>28</v>
      </c>
      <c r="P138" t="s">
        <v>32</v>
      </c>
      <c r="Q138" t="s">
        <v>46</v>
      </c>
      <c r="R138">
        <v>0.56000000000000005</v>
      </c>
      <c r="S138" s="1">
        <v>40628</v>
      </c>
      <c r="T138" t="str">
        <f t="shared" si="5"/>
        <v>26-Mar-2011</v>
      </c>
    </row>
    <row r="139" spans="1:20" x14ac:dyDescent="0.3">
      <c r="A139">
        <v>26276</v>
      </c>
      <c r="B139" s="1">
        <v>40433</v>
      </c>
      <c r="C139" t="s">
        <v>18</v>
      </c>
      <c r="D139" t="str">
        <f t="shared" si="4"/>
        <v>12-Sep-2010</v>
      </c>
      <c r="E139">
        <v>21</v>
      </c>
      <c r="F139" s="13">
        <v>3685.38</v>
      </c>
      <c r="G139">
        <v>0</v>
      </c>
      <c r="H139" t="s">
        <v>35</v>
      </c>
      <c r="I139" s="13">
        <v>1040.6199999999999</v>
      </c>
      <c r="J139">
        <v>170.98</v>
      </c>
      <c r="K139">
        <v>13.99</v>
      </c>
      <c r="L139" t="s">
        <v>211</v>
      </c>
      <c r="M139" t="s">
        <v>135</v>
      </c>
      <c r="N139" s="5" t="s">
        <v>86</v>
      </c>
      <c r="O139" t="s">
        <v>28</v>
      </c>
      <c r="P139" t="s">
        <v>32</v>
      </c>
      <c r="Q139" t="s">
        <v>33</v>
      </c>
      <c r="R139">
        <v>0.75</v>
      </c>
      <c r="S139" s="1">
        <v>40440</v>
      </c>
      <c r="T139" t="str">
        <f t="shared" si="5"/>
        <v>19-Sep-2010</v>
      </c>
    </row>
    <row r="140" spans="1:20" x14ac:dyDescent="0.3">
      <c r="A140">
        <v>31845</v>
      </c>
      <c r="B140" s="1">
        <v>41204</v>
      </c>
      <c r="C140" t="s">
        <v>18</v>
      </c>
      <c r="D140" t="str">
        <f t="shared" si="4"/>
        <v>22-Oct-2012</v>
      </c>
      <c r="E140">
        <v>36</v>
      </c>
      <c r="F140" s="13">
        <v>3645.12</v>
      </c>
      <c r="G140">
        <v>0.04</v>
      </c>
      <c r="H140" t="s">
        <v>24</v>
      </c>
      <c r="I140" s="13">
        <v>807.29</v>
      </c>
      <c r="J140">
        <v>100.98</v>
      </c>
      <c r="K140">
        <v>15.66</v>
      </c>
      <c r="L140" t="s">
        <v>230</v>
      </c>
      <c r="M140" t="s">
        <v>135</v>
      </c>
      <c r="N140" s="5" t="s">
        <v>86</v>
      </c>
      <c r="O140" t="s">
        <v>28</v>
      </c>
      <c r="P140" t="s">
        <v>21</v>
      </c>
      <c r="Q140" t="s">
        <v>25</v>
      </c>
      <c r="R140">
        <v>0.56999999999999995</v>
      </c>
      <c r="S140" s="1">
        <v>41204</v>
      </c>
      <c r="T140" t="str">
        <f t="shared" si="5"/>
        <v>22-Oct-2012</v>
      </c>
    </row>
    <row r="141" spans="1:20" x14ac:dyDescent="0.3">
      <c r="A141">
        <v>24422</v>
      </c>
      <c r="B141" s="1">
        <v>40906</v>
      </c>
      <c r="C141" t="s">
        <v>43</v>
      </c>
      <c r="D141" t="str">
        <f t="shared" si="4"/>
        <v>29-Dec-2011</v>
      </c>
      <c r="E141">
        <v>20</v>
      </c>
      <c r="F141" s="13">
        <v>3467.28</v>
      </c>
      <c r="G141">
        <v>0.06</v>
      </c>
      <c r="H141" t="s">
        <v>24</v>
      </c>
      <c r="I141" s="13">
        <v>-433.29</v>
      </c>
      <c r="J141">
        <v>179.29</v>
      </c>
      <c r="K141">
        <v>29.21</v>
      </c>
      <c r="L141" t="s">
        <v>222</v>
      </c>
      <c r="M141" t="s">
        <v>135</v>
      </c>
      <c r="N141" s="5" t="s">
        <v>86</v>
      </c>
      <c r="O141" t="s">
        <v>28</v>
      </c>
      <c r="P141" t="s">
        <v>32</v>
      </c>
      <c r="Q141" t="s">
        <v>46</v>
      </c>
      <c r="R141">
        <v>0.76</v>
      </c>
      <c r="S141" s="1">
        <v>40908</v>
      </c>
      <c r="T141" t="str">
        <f t="shared" si="5"/>
        <v>31-Dec-2011</v>
      </c>
    </row>
    <row r="142" spans="1:20" x14ac:dyDescent="0.3">
      <c r="A142">
        <v>31682</v>
      </c>
      <c r="B142" s="1">
        <v>40246</v>
      </c>
      <c r="C142" t="s">
        <v>18</v>
      </c>
      <c r="D142" t="str">
        <f t="shared" si="4"/>
        <v>09-Mar-2010</v>
      </c>
      <c r="E142">
        <v>42</v>
      </c>
      <c r="F142" s="13">
        <v>3186.77</v>
      </c>
      <c r="G142">
        <v>0.09</v>
      </c>
      <c r="H142" t="s">
        <v>19</v>
      </c>
      <c r="I142" s="13">
        <v>455.42</v>
      </c>
      <c r="J142">
        <v>76.72</v>
      </c>
      <c r="K142">
        <v>19.95</v>
      </c>
      <c r="L142" t="s">
        <v>218</v>
      </c>
      <c r="M142" t="s">
        <v>135</v>
      </c>
      <c r="N142" s="5" t="s">
        <v>86</v>
      </c>
      <c r="O142" t="s">
        <v>28</v>
      </c>
      <c r="P142" t="s">
        <v>21</v>
      </c>
      <c r="Q142" t="s">
        <v>25</v>
      </c>
      <c r="R142">
        <v>0.54</v>
      </c>
      <c r="S142" s="1">
        <v>40255</v>
      </c>
      <c r="T142" t="str">
        <f t="shared" si="5"/>
        <v>18-Mar-2010</v>
      </c>
    </row>
    <row r="143" spans="1:20" x14ac:dyDescent="0.3">
      <c r="A143">
        <v>12389</v>
      </c>
      <c r="B143" s="1">
        <v>40029</v>
      </c>
      <c r="C143" t="s">
        <v>38</v>
      </c>
      <c r="D143" t="str">
        <f t="shared" si="4"/>
        <v>04-Aug-2009</v>
      </c>
      <c r="E143">
        <v>34</v>
      </c>
      <c r="F143" s="13">
        <v>2560.59</v>
      </c>
      <c r="G143">
        <v>7.0000000000000007E-2</v>
      </c>
      <c r="H143" t="s">
        <v>19</v>
      </c>
      <c r="I143" s="13">
        <v>670.96</v>
      </c>
      <c r="J143">
        <v>80.98</v>
      </c>
      <c r="K143">
        <v>7.18</v>
      </c>
      <c r="L143" t="s">
        <v>141</v>
      </c>
      <c r="M143" t="s">
        <v>135</v>
      </c>
      <c r="N143" s="5" t="s">
        <v>86</v>
      </c>
      <c r="O143" t="s">
        <v>28</v>
      </c>
      <c r="P143" t="s">
        <v>29</v>
      </c>
      <c r="Q143" t="s">
        <v>41</v>
      </c>
      <c r="R143">
        <v>0.48</v>
      </c>
      <c r="S143" s="1">
        <v>40031</v>
      </c>
      <c r="T143" t="str">
        <f t="shared" si="5"/>
        <v>06-Aug-2009</v>
      </c>
    </row>
    <row r="144" spans="1:20" x14ac:dyDescent="0.3">
      <c r="A144">
        <v>14406</v>
      </c>
      <c r="B144" s="1">
        <v>40245</v>
      </c>
      <c r="C144" t="s">
        <v>38</v>
      </c>
      <c r="D144" t="str">
        <f t="shared" si="4"/>
        <v>08-Mar-2010</v>
      </c>
      <c r="E144">
        <v>35</v>
      </c>
      <c r="F144" s="13">
        <v>2329.6460000000002</v>
      </c>
      <c r="G144">
        <v>0.1</v>
      </c>
      <c r="H144" t="s">
        <v>35</v>
      </c>
      <c r="I144" s="13">
        <v>-310.24</v>
      </c>
      <c r="J144">
        <v>85.99</v>
      </c>
      <c r="K144">
        <v>0.99</v>
      </c>
      <c r="L144" t="s">
        <v>148</v>
      </c>
      <c r="M144" t="s">
        <v>135</v>
      </c>
      <c r="N144" s="5" t="s">
        <v>86</v>
      </c>
      <c r="O144" t="s">
        <v>28</v>
      </c>
      <c r="P144" t="s">
        <v>29</v>
      </c>
      <c r="Q144" t="s">
        <v>30</v>
      </c>
      <c r="R144">
        <v>0.85</v>
      </c>
      <c r="S144" s="1">
        <v>40247</v>
      </c>
      <c r="T144" t="str">
        <f t="shared" si="5"/>
        <v>10-Mar-2010</v>
      </c>
    </row>
    <row r="145" spans="1:20" x14ac:dyDescent="0.3">
      <c r="A145">
        <v>57056</v>
      </c>
      <c r="B145" s="1">
        <v>41221</v>
      </c>
      <c r="C145" t="s">
        <v>18</v>
      </c>
      <c r="D145" t="str">
        <f t="shared" si="4"/>
        <v>08-Nov-2012</v>
      </c>
      <c r="E145">
        <v>29</v>
      </c>
      <c r="F145" s="13">
        <v>2185.61</v>
      </c>
      <c r="G145">
        <v>0.01</v>
      </c>
      <c r="H145" t="s">
        <v>24</v>
      </c>
      <c r="I145" s="13">
        <v>-2897.25</v>
      </c>
      <c r="J145">
        <v>70.89</v>
      </c>
      <c r="K145">
        <v>89.3</v>
      </c>
      <c r="L145" t="s">
        <v>251</v>
      </c>
      <c r="M145" t="s">
        <v>135</v>
      </c>
      <c r="N145" s="5" t="s">
        <v>86</v>
      </c>
      <c r="O145" t="s">
        <v>28</v>
      </c>
      <c r="P145" t="s">
        <v>32</v>
      </c>
      <c r="Q145" t="s">
        <v>46</v>
      </c>
      <c r="R145">
        <v>0.72</v>
      </c>
      <c r="S145" s="1">
        <v>41228</v>
      </c>
      <c r="T145" t="str">
        <f t="shared" si="5"/>
        <v>15-Nov-2012</v>
      </c>
    </row>
    <row r="146" spans="1:20" x14ac:dyDescent="0.3">
      <c r="A146">
        <v>16036</v>
      </c>
      <c r="B146" s="1">
        <v>40913</v>
      </c>
      <c r="C146" t="s">
        <v>38</v>
      </c>
      <c r="D146" t="str">
        <f t="shared" si="4"/>
        <v>05-Jan-2012</v>
      </c>
      <c r="E146">
        <v>28</v>
      </c>
      <c r="F146" s="13">
        <v>2160.27</v>
      </c>
      <c r="G146">
        <v>0.09</v>
      </c>
      <c r="H146" t="s">
        <v>19</v>
      </c>
      <c r="I146" s="13">
        <v>-818.32</v>
      </c>
      <c r="J146">
        <v>80.98</v>
      </c>
      <c r="K146">
        <v>35</v>
      </c>
      <c r="L146" t="s">
        <v>225</v>
      </c>
      <c r="M146" t="s">
        <v>135</v>
      </c>
      <c r="N146" s="5" t="s">
        <v>86</v>
      </c>
      <c r="O146" t="s">
        <v>28</v>
      </c>
      <c r="P146" t="s">
        <v>21</v>
      </c>
      <c r="Q146" t="s">
        <v>22</v>
      </c>
      <c r="R146">
        <v>0.81</v>
      </c>
      <c r="S146" s="1">
        <v>40914</v>
      </c>
      <c r="T146" t="str">
        <f t="shared" si="5"/>
        <v>06-Jan-2012</v>
      </c>
    </row>
    <row r="147" spans="1:20" x14ac:dyDescent="0.3">
      <c r="A147">
        <v>58593</v>
      </c>
      <c r="B147" s="1">
        <v>40794</v>
      </c>
      <c r="C147" t="s">
        <v>43</v>
      </c>
      <c r="D147" t="str">
        <f t="shared" si="4"/>
        <v>08-Sep-2011</v>
      </c>
      <c r="E147">
        <v>29</v>
      </c>
      <c r="F147" s="13">
        <v>2018.45</v>
      </c>
      <c r="G147">
        <v>0.08</v>
      </c>
      <c r="H147" t="s">
        <v>19</v>
      </c>
      <c r="I147" s="13">
        <v>-812.25</v>
      </c>
      <c r="J147">
        <v>70.709999999999994</v>
      </c>
      <c r="K147">
        <v>37.58</v>
      </c>
      <c r="L147" t="s">
        <v>127</v>
      </c>
      <c r="M147" t="s">
        <v>135</v>
      </c>
      <c r="N147" s="5" t="s">
        <v>86</v>
      </c>
      <c r="O147" t="s">
        <v>28</v>
      </c>
      <c r="P147" t="s">
        <v>32</v>
      </c>
      <c r="Q147" t="s">
        <v>33</v>
      </c>
      <c r="R147">
        <v>0.78</v>
      </c>
      <c r="S147" s="1">
        <v>40795</v>
      </c>
      <c r="T147" t="str">
        <f t="shared" si="5"/>
        <v>09-Sep-2011</v>
      </c>
    </row>
    <row r="148" spans="1:20" x14ac:dyDescent="0.3">
      <c r="A148">
        <v>5830</v>
      </c>
      <c r="B148" s="1">
        <v>40261</v>
      </c>
      <c r="C148" t="s">
        <v>38</v>
      </c>
      <c r="D148" t="str">
        <f t="shared" si="4"/>
        <v>24-Mar-2010</v>
      </c>
      <c r="E148">
        <v>49</v>
      </c>
      <c r="F148" s="13">
        <v>2012.14</v>
      </c>
      <c r="G148">
        <v>7.0000000000000007E-2</v>
      </c>
      <c r="H148" t="s">
        <v>19</v>
      </c>
      <c r="I148" s="13">
        <v>241.74</v>
      </c>
      <c r="J148">
        <v>40.97</v>
      </c>
      <c r="K148">
        <v>14.45</v>
      </c>
      <c r="L148" t="s">
        <v>242</v>
      </c>
      <c r="M148" t="s">
        <v>135</v>
      </c>
      <c r="N148" s="5" t="s">
        <v>86</v>
      </c>
      <c r="O148" t="s">
        <v>28</v>
      </c>
      <c r="P148" t="s">
        <v>32</v>
      </c>
      <c r="Q148" t="s">
        <v>33</v>
      </c>
      <c r="R148">
        <v>0.56999999999999995</v>
      </c>
      <c r="S148" s="1">
        <v>40262</v>
      </c>
      <c r="T148" t="str">
        <f t="shared" si="5"/>
        <v>25-Mar-2010</v>
      </c>
    </row>
    <row r="149" spans="1:20" x14ac:dyDescent="0.3">
      <c r="A149">
        <v>21344</v>
      </c>
      <c r="B149" s="1">
        <v>41252</v>
      </c>
      <c r="C149" t="s">
        <v>18</v>
      </c>
      <c r="D149" t="str">
        <f t="shared" si="4"/>
        <v>09-Dec-2012</v>
      </c>
      <c r="E149">
        <v>48</v>
      </c>
      <c r="F149" s="13">
        <v>2011.46</v>
      </c>
      <c r="G149">
        <v>0.01</v>
      </c>
      <c r="H149" t="s">
        <v>19</v>
      </c>
      <c r="I149" s="13">
        <v>171.07</v>
      </c>
      <c r="J149">
        <v>41.32</v>
      </c>
      <c r="K149">
        <v>8.66</v>
      </c>
      <c r="L149" t="s">
        <v>224</v>
      </c>
      <c r="M149" t="s">
        <v>135</v>
      </c>
      <c r="N149" s="5" t="s">
        <v>86</v>
      </c>
      <c r="O149" t="s">
        <v>28</v>
      </c>
      <c r="P149" t="s">
        <v>32</v>
      </c>
      <c r="Q149" t="s">
        <v>33</v>
      </c>
      <c r="R149">
        <v>0.76</v>
      </c>
      <c r="S149" s="1">
        <v>41259</v>
      </c>
      <c r="T149" t="str">
        <f t="shared" si="5"/>
        <v>16-Dec-2012</v>
      </c>
    </row>
    <row r="150" spans="1:20" x14ac:dyDescent="0.3">
      <c r="A150">
        <v>49312</v>
      </c>
      <c r="B150" s="1">
        <v>40595</v>
      </c>
      <c r="C150" t="s">
        <v>43</v>
      </c>
      <c r="D150" t="str">
        <f t="shared" si="4"/>
        <v>21-Feb-2011</v>
      </c>
      <c r="E150">
        <v>19</v>
      </c>
      <c r="F150" s="13">
        <v>1882.18</v>
      </c>
      <c r="G150">
        <v>0.09</v>
      </c>
      <c r="H150" t="s">
        <v>35</v>
      </c>
      <c r="I150" s="13">
        <v>336.26</v>
      </c>
      <c r="J150">
        <v>107.53</v>
      </c>
      <c r="K150">
        <v>5.81</v>
      </c>
      <c r="L150" t="s">
        <v>245</v>
      </c>
      <c r="M150" t="s">
        <v>135</v>
      </c>
      <c r="N150" s="5" t="s">
        <v>86</v>
      </c>
      <c r="O150" t="s">
        <v>28</v>
      </c>
      <c r="P150" t="s">
        <v>32</v>
      </c>
      <c r="Q150" t="s">
        <v>33</v>
      </c>
      <c r="R150">
        <v>0.65</v>
      </c>
      <c r="S150" s="1">
        <v>40597</v>
      </c>
      <c r="T150" t="str">
        <f t="shared" si="5"/>
        <v>23-Feb-2011</v>
      </c>
    </row>
    <row r="151" spans="1:20" x14ac:dyDescent="0.3">
      <c r="A151">
        <v>48452</v>
      </c>
      <c r="B151" s="1">
        <v>40460</v>
      </c>
      <c r="C151" t="s">
        <v>23</v>
      </c>
      <c r="D151" t="str">
        <f t="shared" si="4"/>
        <v>09-Oct-2010</v>
      </c>
      <c r="E151">
        <v>32</v>
      </c>
      <c r="F151" s="13">
        <v>1859.01</v>
      </c>
      <c r="G151">
        <v>0.09</v>
      </c>
      <c r="H151" t="s">
        <v>24</v>
      </c>
      <c r="I151" s="13">
        <v>-588.9</v>
      </c>
      <c r="J151">
        <v>60.98</v>
      </c>
      <c r="K151">
        <v>30</v>
      </c>
      <c r="L151" t="s">
        <v>120</v>
      </c>
      <c r="M151" t="s">
        <v>135</v>
      </c>
      <c r="N151" s="5" t="s">
        <v>86</v>
      </c>
      <c r="O151" t="s">
        <v>28</v>
      </c>
      <c r="P151" t="s">
        <v>32</v>
      </c>
      <c r="Q151" t="s">
        <v>56</v>
      </c>
      <c r="R151">
        <v>0.7</v>
      </c>
      <c r="S151" s="1">
        <v>40462</v>
      </c>
      <c r="T151" t="str">
        <f t="shared" si="5"/>
        <v>11-Oct-2010</v>
      </c>
    </row>
    <row r="152" spans="1:20" x14ac:dyDescent="0.3">
      <c r="A152">
        <v>5511</v>
      </c>
      <c r="B152" s="1">
        <v>40145</v>
      </c>
      <c r="C152" t="s">
        <v>43</v>
      </c>
      <c r="D152" t="str">
        <f t="shared" si="4"/>
        <v>28-Nov-2009</v>
      </c>
      <c r="E152">
        <v>32</v>
      </c>
      <c r="F152" s="13">
        <v>1829.3869999999999</v>
      </c>
      <c r="G152">
        <v>0.02</v>
      </c>
      <c r="H152" t="s">
        <v>19</v>
      </c>
      <c r="I152" s="13">
        <v>482.45</v>
      </c>
      <c r="J152">
        <v>65.989999999999995</v>
      </c>
      <c r="K152">
        <v>3.9</v>
      </c>
      <c r="L152" t="s">
        <v>140</v>
      </c>
      <c r="M152" t="s">
        <v>135</v>
      </c>
      <c r="N152" s="5" t="s">
        <v>86</v>
      </c>
      <c r="O152" t="s">
        <v>28</v>
      </c>
      <c r="P152" t="s">
        <v>29</v>
      </c>
      <c r="Q152" t="s">
        <v>30</v>
      </c>
      <c r="R152">
        <v>0.55000000000000004</v>
      </c>
      <c r="S152" s="1">
        <v>40146</v>
      </c>
      <c r="T152" t="str">
        <f t="shared" si="5"/>
        <v>29-Nov-2009</v>
      </c>
    </row>
    <row r="153" spans="1:20" x14ac:dyDescent="0.3">
      <c r="A153">
        <v>57700</v>
      </c>
      <c r="B153" s="1">
        <v>40859</v>
      </c>
      <c r="C153" t="s">
        <v>38</v>
      </c>
      <c r="D153" t="str">
        <f t="shared" si="4"/>
        <v>12-Nov-2011</v>
      </c>
      <c r="E153">
        <v>38</v>
      </c>
      <c r="F153" s="13">
        <v>1806.43</v>
      </c>
      <c r="G153">
        <v>0.04</v>
      </c>
      <c r="H153" t="s">
        <v>19</v>
      </c>
      <c r="I153" s="13">
        <v>134.85</v>
      </c>
      <c r="J153">
        <v>47.98</v>
      </c>
      <c r="K153">
        <v>3.61</v>
      </c>
      <c r="L153" t="s">
        <v>137</v>
      </c>
      <c r="M153" t="s">
        <v>135</v>
      </c>
      <c r="N153" s="5" t="s">
        <v>86</v>
      </c>
      <c r="O153" t="s">
        <v>28</v>
      </c>
      <c r="P153" t="s">
        <v>29</v>
      </c>
      <c r="Q153" t="s">
        <v>41</v>
      </c>
      <c r="R153">
        <v>0.71</v>
      </c>
      <c r="S153" s="1">
        <v>40859</v>
      </c>
      <c r="T153" t="str">
        <f t="shared" si="5"/>
        <v>12-Nov-2011</v>
      </c>
    </row>
    <row r="154" spans="1:20" x14ac:dyDescent="0.3">
      <c r="A154">
        <v>48452</v>
      </c>
      <c r="B154" s="1">
        <v>40460</v>
      </c>
      <c r="C154" t="s">
        <v>23</v>
      </c>
      <c r="D154" t="str">
        <f t="shared" si="4"/>
        <v>09-Oct-2010</v>
      </c>
      <c r="E154">
        <v>19</v>
      </c>
      <c r="F154" s="13">
        <v>1781.11</v>
      </c>
      <c r="G154">
        <v>0.1</v>
      </c>
      <c r="H154" t="s">
        <v>19</v>
      </c>
      <c r="I154" s="13">
        <v>51.44</v>
      </c>
      <c r="J154">
        <v>99.99</v>
      </c>
      <c r="K154">
        <v>19.989999999999998</v>
      </c>
      <c r="L154" t="s">
        <v>120</v>
      </c>
      <c r="M154" t="s">
        <v>135</v>
      </c>
      <c r="N154" s="5" t="s">
        <v>86</v>
      </c>
      <c r="O154" t="s">
        <v>28</v>
      </c>
      <c r="P154" t="s">
        <v>29</v>
      </c>
      <c r="Q154" t="s">
        <v>41</v>
      </c>
      <c r="R154">
        <v>0.5</v>
      </c>
      <c r="S154" s="1">
        <v>40460</v>
      </c>
      <c r="T154" t="str">
        <f t="shared" si="5"/>
        <v>09-Oct-2010</v>
      </c>
    </row>
    <row r="155" spans="1:20" x14ac:dyDescent="0.3">
      <c r="A155">
        <v>9925</v>
      </c>
      <c r="B155" s="1">
        <v>40938</v>
      </c>
      <c r="C155" t="s">
        <v>43</v>
      </c>
      <c r="D155" t="str">
        <f t="shared" si="4"/>
        <v>30-Jan-2012</v>
      </c>
      <c r="E155">
        <v>43</v>
      </c>
      <c r="F155" s="13">
        <v>1751.68</v>
      </c>
      <c r="G155">
        <v>0.1</v>
      </c>
      <c r="H155" t="s">
        <v>35</v>
      </c>
      <c r="I155" s="13">
        <v>771.83</v>
      </c>
      <c r="J155">
        <v>41.94</v>
      </c>
      <c r="K155">
        <v>2.99</v>
      </c>
      <c r="L155" t="s">
        <v>143</v>
      </c>
      <c r="M155" t="s">
        <v>135</v>
      </c>
      <c r="N155" s="5" t="s">
        <v>86</v>
      </c>
      <c r="O155" t="s">
        <v>28</v>
      </c>
      <c r="P155" t="s">
        <v>21</v>
      </c>
      <c r="Q155" t="s">
        <v>26</v>
      </c>
      <c r="R155">
        <v>0.35</v>
      </c>
      <c r="S155" s="1">
        <v>40941</v>
      </c>
      <c r="T155" t="str">
        <f t="shared" si="5"/>
        <v>02-Feb-2012</v>
      </c>
    </row>
    <row r="156" spans="1:20" x14ac:dyDescent="0.3">
      <c r="A156">
        <v>58407</v>
      </c>
      <c r="B156" s="1">
        <v>40669</v>
      </c>
      <c r="C156" t="s">
        <v>23</v>
      </c>
      <c r="D156" t="str">
        <f t="shared" si="4"/>
        <v>06-May-2011</v>
      </c>
      <c r="E156">
        <v>29</v>
      </c>
      <c r="F156" s="13">
        <v>1669.88</v>
      </c>
      <c r="G156">
        <v>0.02</v>
      </c>
      <c r="H156" t="s">
        <v>19</v>
      </c>
      <c r="I156" s="13">
        <v>548.91999999999996</v>
      </c>
      <c r="J156">
        <v>55.48</v>
      </c>
      <c r="K156">
        <v>14.3</v>
      </c>
      <c r="L156" t="s">
        <v>134</v>
      </c>
      <c r="M156" t="s">
        <v>135</v>
      </c>
      <c r="N156" s="5" t="s">
        <v>86</v>
      </c>
      <c r="O156" t="s">
        <v>28</v>
      </c>
      <c r="P156" t="s">
        <v>21</v>
      </c>
      <c r="Q156" t="s">
        <v>37</v>
      </c>
      <c r="R156">
        <v>0.37</v>
      </c>
      <c r="S156" s="1">
        <v>40672</v>
      </c>
      <c r="T156" t="str">
        <f t="shared" si="5"/>
        <v>09-May-2011</v>
      </c>
    </row>
    <row r="157" spans="1:20" x14ac:dyDescent="0.3">
      <c r="A157">
        <v>4647</v>
      </c>
      <c r="B157" s="1">
        <v>39946</v>
      </c>
      <c r="C157" t="s">
        <v>38</v>
      </c>
      <c r="D157" t="str">
        <f t="shared" si="4"/>
        <v>13-May-2009</v>
      </c>
      <c r="E157">
        <v>33</v>
      </c>
      <c r="F157" s="13">
        <v>1590.163</v>
      </c>
      <c r="G157">
        <v>0.01</v>
      </c>
      <c r="H157" t="s">
        <v>19</v>
      </c>
      <c r="I157" s="13">
        <v>-57.54</v>
      </c>
      <c r="J157">
        <v>55.99</v>
      </c>
      <c r="K157">
        <v>5</v>
      </c>
      <c r="L157" t="s">
        <v>218</v>
      </c>
      <c r="M157" t="s">
        <v>135</v>
      </c>
      <c r="N157" s="5" t="s">
        <v>86</v>
      </c>
      <c r="O157" t="s">
        <v>28</v>
      </c>
      <c r="P157" t="s">
        <v>29</v>
      </c>
      <c r="Q157" t="s">
        <v>30</v>
      </c>
      <c r="R157">
        <v>0.8</v>
      </c>
      <c r="S157" s="1">
        <v>39947</v>
      </c>
      <c r="T157" t="str">
        <f t="shared" si="5"/>
        <v>14-May-2009</v>
      </c>
    </row>
    <row r="158" spans="1:20" x14ac:dyDescent="0.3">
      <c r="A158">
        <v>1285</v>
      </c>
      <c r="B158" s="1">
        <v>41060</v>
      </c>
      <c r="C158" t="s">
        <v>43</v>
      </c>
      <c r="D158" t="str">
        <f t="shared" si="4"/>
        <v>31-May-2012</v>
      </c>
      <c r="E158">
        <v>8</v>
      </c>
      <c r="F158" s="13">
        <v>1452.2159999999999</v>
      </c>
      <c r="G158">
        <v>0.05</v>
      </c>
      <c r="H158" t="s">
        <v>24</v>
      </c>
      <c r="I158" s="13">
        <v>-277.29000000000002</v>
      </c>
      <c r="J158">
        <v>218.75</v>
      </c>
      <c r="K158">
        <v>69.64</v>
      </c>
      <c r="L158" t="s">
        <v>138</v>
      </c>
      <c r="M158" t="s">
        <v>135</v>
      </c>
      <c r="N158" s="5" t="s">
        <v>86</v>
      </c>
      <c r="O158" t="s">
        <v>28</v>
      </c>
      <c r="P158" t="s">
        <v>32</v>
      </c>
      <c r="Q158" t="s">
        <v>46</v>
      </c>
      <c r="R158">
        <v>0.77</v>
      </c>
      <c r="S158" s="1">
        <v>41061</v>
      </c>
      <c r="T158" t="str">
        <f t="shared" si="5"/>
        <v>01-Jun-2012</v>
      </c>
    </row>
    <row r="159" spans="1:20" x14ac:dyDescent="0.3">
      <c r="A159">
        <v>15619</v>
      </c>
      <c r="B159" s="1">
        <v>40722</v>
      </c>
      <c r="C159" t="s">
        <v>18</v>
      </c>
      <c r="D159" t="str">
        <f t="shared" si="4"/>
        <v>28-Jun-2011</v>
      </c>
      <c r="E159">
        <v>9</v>
      </c>
      <c r="F159" s="13">
        <v>1425.21</v>
      </c>
      <c r="G159">
        <v>0.1</v>
      </c>
      <c r="H159" t="s">
        <v>24</v>
      </c>
      <c r="I159" s="13">
        <v>-65.02</v>
      </c>
      <c r="J159">
        <v>160.97999999999999</v>
      </c>
      <c r="K159">
        <v>30</v>
      </c>
      <c r="L159" t="s">
        <v>244</v>
      </c>
      <c r="M159" t="s">
        <v>135</v>
      </c>
      <c r="N159" s="5" t="s">
        <v>86</v>
      </c>
      <c r="O159" t="s">
        <v>28</v>
      </c>
      <c r="P159" t="s">
        <v>32</v>
      </c>
      <c r="Q159" t="s">
        <v>56</v>
      </c>
      <c r="R159">
        <v>0.62</v>
      </c>
      <c r="S159" s="1">
        <v>40729</v>
      </c>
      <c r="T159" t="str">
        <f t="shared" si="5"/>
        <v>05-Jul-2011</v>
      </c>
    </row>
    <row r="160" spans="1:20" x14ac:dyDescent="0.3">
      <c r="A160">
        <v>18432</v>
      </c>
      <c r="B160" s="1">
        <v>40614</v>
      </c>
      <c r="C160" t="s">
        <v>23</v>
      </c>
      <c r="D160" t="str">
        <f t="shared" si="4"/>
        <v>12-Mar-2011</v>
      </c>
      <c r="E160">
        <v>5</v>
      </c>
      <c r="F160" s="13">
        <v>1374.67</v>
      </c>
      <c r="G160">
        <v>0.08</v>
      </c>
      <c r="H160" t="s">
        <v>24</v>
      </c>
      <c r="I160" s="13">
        <v>-126.34</v>
      </c>
      <c r="J160">
        <v>279.81</v>
      </c>
      <c r="K160">
        <v>23.19</v>
      </c>
      <c r="L160" t="s">
        <v>140</v>
      </c>
      <c r="M160" t="s">
        <v>135</v>
      </c>
      <c r="N160" s="5" t="s">
        <v>86</v>
      </c>
      <c r="O160" t="s">
        <v>28</v>
      </c>
      <c r="P160" t="s">
        <v>21</v>
      </c>
      <c r="Q160" t="s">
        <v>25</v>
      </c>
      <c r="R160">
        <v>0.59</v>
      </c>
      <c r="S160" s="1">
        <v>40616</v>
      </c>
      <c r="T160" t="str">
        <f t="shared" si="5"/>
        <v>14-Mar-2011</v>
      </c>
    </row>
    <row r="161" spans="1:20" x14ac:dyDescent="0.3">
      <c r="A161">
        <v>17698</v>
      </c>
      <c r="B161" s="1">
        <v>41042</v>
      </c>
      <c r="C161" t="s">
        <v>23</v>
      </c>
      <c r="D161" t="str">
        <f t="shared" si="4"/>
        <v>13-May-2012</v>
      </c>
      <c r="E161">
        <v>22</v>
      </c>
      <c r="F161" s="13">
        <v>1118.2515000000001</v>
      </c>
      <c r="G161">
        <v>0.1</v>
      </c>
      <c r="H161" t="s">
        <v>19</v>
      </c>
      <c r="I161" s="13">
        <v>-59.59</v>
      </c>
      <c r="J161">
        <v>65.989999999999995</v>
      </c>
      <c r="K161">
        <v>8.99</v>
      </c>
      <c r="L161" t="s">
        <v>248</v>
      </c>
      <c r="M161" t="s">
        <v>135</v>
      </c>
      <c r="N161" s="5" t="s">
        <v>86</v>
      </c>
      <c r="O161" t="s">
        <v>28</v>
      </c>
      <c r="P161" t="s">
        <v>29</v>
      </c>
      <c r="Q161" t="s">
        <v>30</v>
      </c>
      <c r="R161">
        <v>0.57999999999999996</v>
      </c>
      <c r="S161" s="1">
        <v>41044</v>
      </c>
      <c r="T161" t="str">
        <f t="shared" si="5"/>
        <v>15-May-2012</v>
      </c>
    </row>
    <row r="162" spans="1:20" x14ac:dyDescent="0.3">
      <c r="A162">
        <v>4965</v>
      </c>
      <c r="B162" s="1">
        <v>40471</v>
      </c>
      <c r="C162" t="s">
        <v>18</v>
      </c>
      <c r="D162" t="str">
        <f t="shared" si="4"/>
        <v>20-Oct-2010</v>
      </c>
      <c r="E162">
        <v>14</v>
      </c>
      <c r="F162" s="13">
        <v>1068.79</v>
      </c>
      <c r="G162">
        <v>7.0000000000000007E-2</v>
      </c>
      <c r="H162" t="s">
        <v>19</v>
      </c>
      <c r="I162" s="13">
        <v>56.05</v>
      </c>
      <c r="J162">
        <v>76.72</v>
      </c>
      <c r="K162">
        <v>19.95</v>
      </c>
      <c r="L162" t="s">
        <v>240</v>
      </c>
      <c r="M162" t="s">
        <v>135</v>
      </c>
      <c r="N162" s="5" t="s">
        <v>86</v>
      </c>
      <c r="O162" t="s">
        <v>28</v>
      </c>
      <c r="P162" t="s">
        <v>21</v>
      </c>
      <c r="Q162" t="s">
        <v>25</v>
      </c>
      <c r="R162">
        <v>0.54</v>
      </c>
      <c r="S162" s="1">
        <v>40471</v>
      </c>
      <c r="T162" t="str">
        <f t="shared" si="5"/>
        <v>20-Oct-2010</v>
      </c>
    </row>
    <row r="163" spans="1:20" x14ac:dyDescent="0.3">
      <c r="A163">
        <v>27266</v>
      </c>
      <c r="B163" s="1">
        <v>40794</v>
      </c>
      <c r="C163" t="s">
        <v>43</v>
      </c>
      <c r="D163" t="str">
        <f t="shared" si="4"/>
        <v>08-Sep-2011</v>
      </c>
      <c r="E163">
        <v>9</v>
      </c>
      <c r="F163" s="13">
        <v>1031.06</v>
      </c>
      <c r="G163">
        <v>0.03</v>
      </c>
      <c r="H163" t="s">
        <v>19</v>
      </c>
      <c r="I163" s="13">
        <v>39.36</v>
      </c>
      <c r="J163">
        <v>115.79</v>
      </c>
      <c r="K163">
        <v>1.99</v>
      </c>
      <c r="L163" t="s">
        <v>140</v>
      </c>
      <c r="M163" t="s">
        <v>135</v>
      </c>
      <c r="N163" s="5" t="s">
        <v>86</v>
      </c>
      <c r="O163" t="s">
        <v>28</v>
      </c>
      <c r="P163" t="s">
        <v>29</v>
      </c>
      <c r="Q163" t="s">
        <v>41</v>
      </c>
      <c r="R163">
        <v>0.49</v>
      </c>
      <c r="S163" s="1">
        <v>40797</v>
      </c>
      <c r="T163" t="str">
        <f t="shared" si="5"/>
        <v>11-Sep-2011</v>
      </c>
    </row>
    <row r="164" spans="1:20" x14ac:dyDescent="0.3">
      <c r="A164">
        <v>25347</v>
      </c>
      <c r="B164" s="1">
        <v>39976</v>
      </c>
      <c r="C164" t="s">
        <v>18</v>
      </c>
      <c r="D164" t="str">
        <f t="shared" si="4"/>
        <v>12-Jun-2009</v>
      </c>
      <c r="E164">
        <v>28</v>
      </c>
      <c r="F164" s="13">
        <v>967.27</v>
      </c>
      <c r="G164">
        <v>7.0000000000000007E-2</v>
      </c>
      <c r="H164" t="s">
        <v>19</v>
      </c>
      <c r="I164" s="13">
        <v>309.31</v>
      </c>
      <c r="J164">
        <v>35.44</v>
      </c>
      <c r="K164">
        <v>7.5</v>
      </c>
      <c r="L164" t="s">
        <v>139</v>
      </c>
      <c r="M164" t="s">
        <v>135</v>
      </c>
      <c r="N164" s="5" t="s">
        <v>86</v>
      </c>
      <c r="O164" t="s">
        <v>28</v>
      </c>
      <c r="P164" t="s">
        <v>21</v>
      </c>
      <c r="Q164" t="s">
        <v>37</v>
      </c>
      <c r="R164">
        <v>0.38</v>
      </c>
      <c r="S164" s="1">
        <v>39983</v>
      </c>
      <c r="T164" t="str">
        <f t="shared" si="5"/>
        <v>19-Jun-2009</v>
      </c>
    </row>
    <row r="165" spans="1:20" x14ac:dyDescent="0.3">
      <c r="A165">
        <v>325</v>
      </c>
      <c r="B165" s="1">
        <v>40467</v>
      </c>
      <c r="C165" t="s">
        <v>18</v>
      </c>
      <c r="D165" t="str">
        <f t="shared" si="4"/>
        <v>16-Oct-2010</v>
      </c>
      <c r="E165">
        <v>9</v>
      </c>
      <c r="F165" s="13">
        <v>884.12750000000005</v>
      </c>
      <c r="G165">
        <v>0.06</v>
      </c>
      <c r="H165" t="s">
        <v>19</v>
      </c>
      <c r="I165" s="13">
        <v>-178.71</v>
      </c>
      <c r="J165">
        <v>115.99</v>
      </c>
      <c r="K165">
        <v>4.2300000000000004</v>
      </c>
      <c r="L165" t="s">
        <v>222</v>
      </c>
      <c r="M165" t="s">
        <v>135</v>
      </c>
      <c r="N165" s="5" t="s">
        <v>86</v>
      </c>
      <c r="O165" t="s">
        <v>28</v>
      </c>
      <c r="P165" t="s">
        <v>29</v>
      </c>
      <c r="Q165" t="s">
        <v>30</v>
      </c>
      <c r="R165">
        <v>0.56000000000000005</v>
      </c>
      <c r="S165" s="1">
        <v>40471</v>
      </c>
      <c r="T165" t="str">
        <f t="shared" si="5"/>
        <v>20-Oct-2010</v>
      </c>
    </row>
    <row r="166" spans="1:20" x14ac:dyDescent="0.3">
      <c r="A166">
        <v>6885</v>
      </c>
      <c r="B166" s="1">
        <v>41079</v>
      </c>
      <c r="C166" t="s">
        <v>18</v>
      </c>
      <c r="D166" t="str">
        <f t="shared" si="4"/>
        <v>19-Jun-2012</v>
      </c>
      <c r="E166">
        <v>40</v>
      </c>
      <c r="F166" s="13">
        <v>879.54</v>
      </c>
      <c r="G166">
        <v>0.09</v>
      </c>
      <c r="H166" t="s">
        <v>19</v>
      </c>
      <c r="I166" s="13">
        <v>166.93</v>
      </c>
      <c r="J166">
        <v>23.99</v>
      </c>
      <c r="K166">
        <v>6.3</v>
      </c>
      <c r="L166" t="s">
        <v>230</v>
      </c>
      <c r="M166" t="s">
        <v>135</v>
      </c>
      <c r="N166" s="5" t="s">
        <v>86</v>
      </c>
      <c r="O166" t="s">
        <v>28</v>
      </c>
      <c r="P166" t="s">
        <v>29</v>
      </c>
      <c r="Q166" t="s">
        <v>74</v>
      </c>
      <c r="R166">
        <v>0.38</v>
      </c>
      <c r="S166" s="1">
        <v>41079</v>
      </c>
      <c r="T166" t="str">
        <f t="shared" si="5"/>
        <v>19-Jun-2012</v>
      </c>
    </row>
    <row r="167" spans="1:20" x14ac:dyDescent="0.3">
      <c r="A167">
        <v>8007</v>
      </c>
      <c r="B167" s="1">
        <v>40950</v>
      </c>
      <c r="C167" t="s">
        <v>18</v>
      </c>
      <c r="D167" t="str">
        <f t="shared" si="4"/>
        <v>11-Feb-2012</v>
      </c>
      <c r="E167">
        <v>5</v>
      </c>
      <c r="F167" s="13">
        <v>820.56449999999995</v>
      </c>
      <c r="G167">
        <v>0.09</v>
      </c>
      <c r="H167" t="s">
        <v>19</v>
      </c>
      <c r="I167" s="13">
        <v>-800.25</v>
      </c>
      <c r="J167">
        <v>205.99</v>
      </c>
      <c r="K167">
        <v>8.99</v>
      </c>
      <c r="L167" t="s">
        <v>144</v>
      </c>
      <c r="M167" t="s">
        <v>135</v>
      </c>
      <c r="N167" s="5" t="s">
        <v>86</v>
      </c>
      <c r="O167" t="s">
        <v>28</v>
      </c>
      <c r="P167" t="s">
        <v>29</v>
      </c>
      <c r="Q167" t="s">
        <v>30</v>
      </c>
      <c r="R167">
        <v>0.6</v>
      </c>
      <c r="S167" s="1">
        <v>40950</v>
      </c>
      <c r="T167" t="str">
        <f t="shared" si="5"/>
        <v>11-Feb-2012</v>
      </c>
    </row>
    <row r="168" spans="1:20" x14ac:dyDescent="0.3">
      <c r="A168">
        <v>51107</v>
      </c>
      <c r="B168" s="1">
        <v>41177</v>
      </c>
      <c r="C168" t="s">
        <v>31</v>
      </c>
      <c r="D168" t="str">
        <f t="shared" si="4"/>
        <v>25-Sep-2012</v>
      </c>
      <c r="E168">
        <v>36</v>
      </c>
      <c r="F168" s="13">
        <v>772.67</v>
      </c>
      <c r="G168">
        <v>0</v>
      </c>
      <c r="H168" t="s">
        <v>19</v>
      </c>
      <c r="I168" s="13">
        <v>286.87</v>
      </c>
      <c r="J168">
        <v>21.38</v>
      </c>
      <c r="K168">
        <v>2.99</v>
      </c>
      <c r="L168" t="s">
        <v>256</v>
      </c>
      <c r="M168" t="s">
        <v>135</v>
      </c>
      <c r="N168" s="5" t="s">
        <v>86</v>
      </c>
      <c r="O168" t="s">
        <v>28</v>
      </c>
      <c r="P168" t="s">
        <v>21</v>
      </c>
      <c r="Q168" t="s">
        <v>26</v>
      </c>
      <c r="R168">
        <v>0.37</v>
      </c>
      <c r="S168" s="1">
        <v>41178</v>
      </c>
      <c r="T168" t="str">
        <f t="shared" si="5"/>
        <v>26-Sep-2012</v>
      </c>
    </row>
    <row r="169" spans="1:20" x14ac:dyDescent="0.3">
      <c r="A169">
        <v>30884</v>
      </c>
      <c r="B169" s="1">
        <v>40447</v>
      </c>
      <c r="C169" t="s">
        <v>18</v>
      </c>
      <c r="D169" t="str">
        <f t="shared" si="4"/>
        <v>26-Sep-2010</v>
      </c>
      <c r="E169">
        <v>6</v>
      </c>
      <c r="F169" s="13">
        <v>763.44799999999998</v>
      </c>
      <c r="G169">
        <v>0.05</v>
      </c>
      <c r="H169" t="s">
        <v>24</v>
      </c>
      <c r="I169" s="13">
        <v>-352.96</v>
      </c>
      <c r="J169">
        <v>146.05000000000001</v>
      </c>
      <c r="K169">
        <v>80.2</v>
      </c>
      <c r="L169" t="s">
        <v>218</v>
      </c>
      <c r="M169" t="s">
        <v>135</v>
      </c>
      <c r="N169" s="5" t="s">
        <v>86</v>
      </c>
      <c r="O169" t="s">
        <v>28</v>
      </c>
      <c r="P169" t="s">
        <v>32</v>
      </c>
      <c r="Q169" t="s">
        <v>46</v>
      </c>
      <c r="R169">
        <v>0.71</v>
      </c>
      <c r="S169" s="1">
        <v>40452</v>
      </c>
      <c r="T169" t="str">
        <f t="shared" si="5"/>
        <v>01-Oct-2010</v>
      </c>
    </row>
    <row r="170" spans="1:20" x14ac:dyDescent="0.3">
      <c r="A170">
        <v>18849</v>
      </c>
      <c r="B170" s="1">
        <v>41126</v>
      </c>
      <c r="C170" t="s">
        <v>23</v>
      </c>
      <c r="D170" t="str">
        <f t="shared" si="4"/>
        <v>05-Aug-2012</v>
      </c>
      <c r="E170">
        <v>6</v>
      </c>
      <c r="F170" s="13">
        <v>751.71</v>
      </c>
      <c r="G170">
        <v>0.09</v>
      </c>
      <c r="H170" t="s">
        <v>19</v>
      </c>
      <c r="I170" s="13">
        <v>50.83</v>
      </c>
      <c r="J170">
        <v>131.12</v>
      </c>
      <c r="K170">
        <v>0.99</v>
      </c>
      <c r="L170" t="s">
        <v>245</v>
      </c>
      <c r="M170" t="s">
        <v>135</v>
      </c>
      <c r="N170" s="5" t="s">
        <v>86</v>
      </c>
      <c r="O170" t="s">
        <v>28</v>
      </c>
      <c r="P170" t="s">
        <v>21</v>
      </c>
      <c r="Q170" t="s">
        <v>25</v>
      </c>
      <c r="R170">
        <v>0.55000000000000004</v>
      </c>
      <c r="S170" s="1">
        <v>41126</v>
      </c>
      <c r="T170" t="str">
        <f t="shared" si="5"/>
        <v>05-Aug-2012</v>
      </c>
    </row>
    <row r="171" spans="1:20" x14ac:dyDescent="0.3">
      <c r="A171">
        <v>17408</v>
      </c>
      <c r="B171" s="1">
        <v>39960</v>
      </c>
      <c r="C171" t="s">
        <v>31</v>
      </c>
      <c r="D171" t="str">
        <f t="shared" si="4"/>
        <v>27-May-2009</v>
      </c>
      <c r="E171">
        <v>41</v>
      </c>
      <c r="F171" s="13">
        <v>728.12699999999995</v>
      </c>
      <c r="G171">
        <v>0.02</v>
      </c>
      <c r="H171" t="s">
        <v>19</v>
      </c>
      <c r="I171" s="13">
        <v>49.79</v>
      </c>
      <c r="J171">
        <v>20.99</v>
      </c>
      <c r="K171">
        <v>4.8099999999999996</v>
      </c>
      <c r="L171" t="s">
        <v>243</v>
      </c>
      <c r="M171" t="s">
        <v>135</v>
      </c>
      <c r="N171" s="5" t="s">
        <v>86</v>
      </c>
      <c r="O171" t="s">
        <v>28</v>
      </c>
      <c r="P171" t="s">
        <v>29</v>
      </c>
      <c r="Q171" t="s">
        <v>30</v>
      </c>
      <c r="R171">
        <v>0.57999999999999996</v>
      </c>
      <c r="S171" s="1">
        <v>39962</v>
      </c>
      <c r="T171" t="str">
        <f t="shared" si="5"/>
        <v>29-May-2009</v>
      </c>
    </row>
    <row r="172" spans="1:20" x14ac:dyDescent="0.3">
      <c r="A172">
        <v>43302</v>
      </c>
      <c r="B172" s="1">
        <v>40778</v>
      </c>
      <c r="C172" t="s">
        <v>18</v>
      </c>
      <c r="D172" t="str">
        <f t="shared" si="4"/>
        <v>23-Aug-2011</v>
      </c>
      <c r="E172">
        <v>43</v>
      </c>
      <c r="F172" s="13">
        <v>720.61300000000006</v>
      </c>
      <c r="G172">
        <v>7.0000000000000007E-2</v>
      </c>
      <c r="H172" t="s">
        <v>19</v>
      </c>
      <c r="I172" s="13">
        <v>329.68</v>
      </c>
      <c r="J172">
        <v>20.99</v>
      </c>
      <c r="K172">
        <v>0.99</v>
      </c>
      <c r="L172" t="s">
        <v>230</v>
      </c>
      <c r="M172" t="s">
        <v>135</v>
      </c>
      <c r="N172" s="5" t="s">
        <v>86</v>
      </c>
      <c r="O172" t="s">
        <v>28</v>
      </c>
      <c r="P172" t="s">
        <v>29</v>
      </c>
      <c r="Q172" t="s">
        <v>30</v>
      </c>
      <c r="R172">
        <v>0.37</v>
      </c>
      <c r="S172" s="1">
        <v>40787</v>
      </c>
      <c r="T172" t="str">
        <f t="shared" si="5"/>
        <v>01-Sep-2011</v>
      </c>
    </row>
    <row r="173" spans="1:20" x14ac:dyDescent="0.3">
      <c r="A173">
        <v>9861</v>
      </c>
      <c r="B173" s="1">
        <v>41210</v>
      </c>
      <c r="C173" t="s">
        <v>18</v>
      </c>
      <c r="D173" t="str">
        <f t="shared" si="4"/>
        <v>28-Oct-2012</v>
      </c>
      <c r="E173">
        <v>47</v>
      </c>
      <c r="F173" s="13">
        <v>706.68</v>
      </c>
      <c r="G173">
        <v>0.1</v>
      </c>
      <c r="H173" t="s">
        <v>19</v>
      </c>
      <c r="I173" s="13">
        <v>6.6</v>
      </c>
      <c r="J173">
        <v>15.94</v>
      </c>
      <c r="K173">
        <v>5.45</v>
      </c>
      <c r="L173" t="s">
        <v>143</v>
      </c>
      <c r="M173" t="s">
        <v>135</v>
      </c>
      <c r="N173" s="5" t="s">
        <v>86</v>
      </c>
      <c r="O173" t="s">
        <v>28</v>
      </c>
      <c r="P173" t="s">
        <v>21</v>
      </c>
      <c r="Q173" t="s">
        <v>50</v>
      </c>
      <c r="R173">
        <v>0.55000000000000004</v>
      </c>
      <c r="S173" s="1">
        <v>41214</v>
      </c>
      <c r="T173" t="str">
        <f t="shared" si="5"/>
        <v>01-Nov-2012</v>
      </c>
    </row>
    <row r="174" spans="1:20" x14ac:dyDescent="0.3">
      <c r="A174">
        <v>2084</v>
      </c>
      <c r="B174" s="1">
        <v>40253</v>
      </c>
      <c r="C174" t="s">
        <v>23</v>
      </c>
      <c r="D174" t="str">
        <f t="shared" si="4"/>
        <v>16-Mar-2010</v>
      </c>
      <c r="E174">
        <v>16</v>
      </c>
      <c r="F174" s="13">
        <v>692.73</v>
      </c>
      <c r="G174">
        <v>0.01</v>
      </c>
      <c r="H174" t="s">
        <v>19</v>
      </c>
      <c r="I174" s="13">
        <v>94.97</v>
      </c>
      <c r="J174">
        <v>40.99</v>
      </c>
      <c r="K174">
        <v>17.48</v>
      </c>
      <c r="L174" t="s">
        <v>203</v>
      </c>
      <c r="M174" t="s">
        <v>135</v>
      </c>
      <c r="N174" s="5" t="s">
        <v>86</v>
      </c>
      <c r="O174" t="s">
        <v>28</v>
      </c>
      <c r="P174" t="s">
        <v>21</v>
      </c>
      <c r="Q174" t="s">
        <v>37</v>
      </c>
      <c r="R174">
        <v>0.36</v>
      </c>
      <c r="S174" s="1">
        <v>40255</v>
      </c>
      <c r="T174" t="str">
        <f t="shared" si="5"/>
        <v>18-Mar-2010</v>
      </c>
    </row>
    <row r="175" spans="1:20" x14ac:dyDescent="0.3">
      <c r="A175">
        <v>9925</v>
      </c>
      <c r="B175" s="1">
        <v>40938</v>
      </c>
      <c r="C175" t="s">
        <v>43</v>
      </c>
      <c r="D175" t="str">
        <f t="shared" si="4"/>
        <v>30-Jan-2012</v>
      </c>
      <c r="E175">
        <v>31</v>
      </c>
      <c r="F175" s="13">
        <v>684.5</v>
      </c>
      <c r="G175">
        <v>0.02</v>
      </c>
      <c r="H175" t="s">
        <v>19</v>
      </c>
      <c r="I175" s="13">
        <v>-27.99</v>
      </c>
      <c r="J175">
        <v>21.38</v>
      </c>
      <c r="K175">
        <v>8.99</v>
      </c>
      <c r="L175" t="s">
        <v>143</v>
      </c>
      <c r="M175" t="s">
        <v>135</v>
      </c>
      <c r="N175" s="5" t="s">
        <v>86</v>
      </c>
      <c r="O175" t="s">
        <v>28</v>
      </c>
      <c r="P175" t="s">
        <v>21</v>
      </c>
      <c r="Q175" t="s">
        <v>50</v>
      </c>
      <c r="R175">
        <v>0.59</v>
      </c>
      <c r="S175" s="1">
        <v>40940</v>
      </c>
      <c r="T175" t="str">
        <f t="shared" si="5"/>
        <v>01-Feb-2012</v>
      </c>
    </row>
    <row r="176" spans="1:20" x14ac:dyDescent="0.3">
      <c r="A176">
        <v>16967</v>
      </c>
      <c r="B176" s="1">
        <v>40774</v>
      </c>
      <c r="C176" t="s">
        <v>18</v>
      </c>
      <c r="D176" t="str">
        <f t="shared" si="4"/>
        <v>19-Aug-2011</v>
      </c>
      <c r="E176">
        <v>34</v>
      </c>
      <c r="F176" s="13">
        <v>676.26</v>
      </c>
      <c r="G176">
        <v>0.06</v>
      </c>
      <c r="H176" t="s">
        <v>19</v>
      </c>
      <c r="I176" s="13">
        <v>181.98</v>
      </c>
      <c r="J176">
        <v>19.98</v>
      </c>
      <c r="K176">
        <v>5.77</v>
      </c>
      <c r="L176" t="s">
        <v>145</v>
      </c>
      <c r="M176" t="s">
        <v>135</v>
      </c>
      <c r="N176" s="5" t="s">
        <v>86</v>
      </c>
      <c r="O176" t="s">
        <v>28</v>
      </c>
      <c r="P176" t="s">
        <v>21</v>
      </c>
      <c r="Q176" t="s">
        <v>37</v>
      </c>
      <c r="R176">
        <v>0.38</v>
      </c>
      <c r="S176" s="1">
        <v>40774</v>
      </c>
      <c r="T176" t="str">
        <f t="shared" si="5"/>
        <v>19-Aug-2011</v>
      </c>
    </row>
    <row r="177" spans="1:20" x14ac:dyDescent="0.3">
      <c r="A177">
        <v>38341</v>
      </c>
      <c r="B177" s="1">
        <v>39951</v>
      </c>
      <c r="C177" t="s">
        <v>38</v>
      </c>
      <c r="D177" t="str">
        <f t="shared" si="4"/>
        <v>18-May-2009</v>
      </c>
      <c r="E177">
        <v>38</v>
      </c>
      <c r="F177" s="13">
        <v>623.12649999999996</v>
      </c>
      <c r="G177">
        <v>0.09</v>
      </c>
      <c r="H177" t="s">
        <v>19</v>
      </c>
      <c r="I177" s="13">
        <v>122.29</v>
      </c>
      <c r="J177">
        <v>20.99</v>
      </c>
      <c r="K177">
        <v>0.99</v>
      </c>
      <c r="L177" t="s">
        <v>246</v>
      </c>
      <c r="M177" t="s">
        <v>135</v>
      </c>
      <c r="N177" s="5" t="s">
        <v>86</v>
      </c>
      <c r="O177" t="s">
        <v>28</v>
      </c>
      <c r="P177" t="s">
        <v>29</v>
      </c>
      <c r="Q177" t="s">
        <v>30</v>
      </c>
      <c r="R177">
        <v>0.56999999999999995</v>
      </c>
      <c r="S177" s="1">
        <v>39951</v>
      </c>
      <c r="T177" t="str">
        <f t="shared" si="5"/>
        <v>18-May-2009</v>
      </c>
    </row>
    <row r="178" spans="1:20" x14ac:dyDescent="0.3">
      <c r="A178">
        <v>17698</v>
      </c>
      <c r="B178" s="1">
        <v>41042</v>
      </c>
      <c r="C178" t="s">
        <v>23</v>
      </c>
      <c r="D178" t="str">
        <f t="shared" si="4"/>
        <v>13-May-2012</v>
      </c>
      <c r="E178">
        <v>40</v>
      </c>
      <c r="F178" s="13">
        <v>609.4</v>
      </c>
      <c r="G178">
        <v>0.04</v>
      </c>
      <c r="H178" t="s">
        <v>19</v>
      </c>
      <c r="I178" s="13">
        <v>-89.23</v>
      </c>
      <c r="J178">
        <v>15.28</v>
      </c>
      <c r="K178">
        <v>10.91</v>
      </c>
      <c r="L178" t="s">
        <v>248</v>
      </c>
      <c r="M178" t="s">
        <v>135</v>
      </c>
      <c r="N178" s="5" t="s">
        <v>86</v>
      </c>
      <c r="O178" t="s">
        <v>28</v>
      </c>
      <c r="P178" t="s">
        <v>21</v>
      </c>
      <c r="Q178" t="s">
        <v>26</v>
      </c>
      <c r="R178">
        <v>0.36</v>
      </c>
      <c r="S178" s="1">
        <v>41043</v>
      </c>
      <c r="T178" t="str">
        <f t="shared" si="5"/>
        <v>14-May-2012</v>
      </c>
    </row>
    <row r="179" spans="1:20" x14ac:dyDescent="0.3">
      <c r="A179">
        <v>22053</v>
      </c>
      <c r="B179" s="1">
        <v>40411</v>
      </c>
      <c r="C179" t="s">
        <v>43</v>
      </c>
      <c r="D179" t="str">
        <f t="shared" si="4"/>
        <v>21-Aug-2010</v>
      </c>
      <c r="E179">
        <v>32</v>
      </c>
      <c r="F179" s="13">
        <v>563.08000000000004</v>
      </c>
      <c r="G179">
        <v>0.1</v>
      </c>
      <c r="H179" t="s">
        <v>19</v>
      </c>
      <c r="I179" s="13">
        <v>112.97</v>
      </c>
      <c r="J179">
        <v>18.989999999999998</v>
      </c>
      <c r="K179">
        <v>5.23</v>
      </c>
      <c r="L179" t="s">
        <v>142</v>
      </c>
      <c r="M179" t="s">
        <v>135</v>
      </c>
      <c r="N179" s="5" t="s">
        <v>86</v>
      </c>
      <c r="O179" t="s">
        <v>28</v>
      </c>
      <c r="P179" t="s">
        <v>21</v>
      </c>
      <c r="Q179" t="s">
        <v>26</v>
      </c>
      <c r="R179">
        <v>0.37</v>
      </c>
      <c r="S179" s="1">
        <v>40413</v>
      </c>
      <c r="T179" t="str">
        <f t="shared" si="5"/>
        <v>23-Aug-2010</v>
      </c>
    </row>
    <row r="180" spans="1:20" x14ac:dyDescent="0.3">
      <c r="A180">
        <v>50338</v>
      </c>
      <c r="B180" s="1">
        <v>39895</v>
      </c>
      <c r="C180" t="s">
        <v>31</v>
      </c>
      <c r="D180" t="str">
        <f t="shared" si="4"/>
        <v>23-Mar-2009</v>
      </c>
      <c r="E180">
        <v>36</v>
      </c>
      <c r="F180" s="13">
        <v>551.44000000000005</v>
      </c>
      <c r="G180">
        <v>0</v>
      </c>
      <c r="H180" t="s">
        <v>19</v>
      </c>
      <c r="I180" s="13">
        <v>28.7</v>
      </c>
      <c r="J180">
        <v>13.99</v>
      </c>
      <c r="K180">
        <v>7.51</v>
      </c>
      <c r="L180" t="s">
        <v>123</v>
      </c>
      <c r="M180" t="s">
        <v>135</v>
      </c>
      <c r="N180" s="5" t="s">
        <v>86</v>
      </c>
      <c r="O180" t="s">
        <v>28</v>
      </c>
      <c r="P180" t="s">
        <v>29</v>
      </c>
      <c r="Q180" t="s">
        <v>74</v>
      </c>
      <c r="R180">
        <v>0.39</v>
      </c>
      <c r="S180" s="1">
        <v>39897</v>
      </c>
      <c r="T180" t="str">
        <f t="shared" si="5"/>
        <v>25-Mar-2009</v>
      </c>
    </row>
    <row r="181" spans="1:20" x14ac:dyDescent="0.3">
      <c r="A181">
        <v>7458</v>
      </c>
      <c r="B181" s="1">
        <v>41003</v>
      </c>
      <c r="C181" t="s">
        <v>43</v>
      </c>
      <c r="D181" t="str">
        <f t="shared" si="4"/>
        <v>04-Apr-2012</v>
      </c>
      <c r="E181">
        <v>46</v>
      </c>
      <c r="F181" s="13">
        <v>511.07</v>
      </c>
      <c r="G181">
        <v>0.01</v>
      </c>
      <c r="H181" t="s">
        <v>19</v>
      </c>
      <c r="I181" s="13">
        <v>-165.74</v>
      </c>
      <c r="J181">
        <v>10.97</v>
      </c>
      <c r="K181">
        <v>6.5</v>
      </c>
      <c r="L181" t="s">
        <v>238</v>
      </c>
      <c r="M181" t="s">
        <v>135</v>
      </c>
      <c r="N181" s="5" t="s">
        <v>86</v>
      </c>
      <c r="O181" t="s">
        <v>28</v>
      </c>
      <c r="P181" t="s">
        <v>29</v>
      </c>
      <c r="Q181" t="s">
        <v>41</v>
      </c>
      <c r="R181">
        <v>0.64</v>
      </c>
      <c r="S181" s="1">
        <v>41004</v>
      </c>
      <c r="T181" t="str">
        <f t="shared" si="5"/>
        <v>05-Apr-2012</v>
      </c>
    </row>
    <row r="182" spans="1:20" x14ac:dyDescent="0.3">
      <c r="A182">
        <v>25825</v>
      </c>
      <c r="B182" s="1">
        <v>41109</v>
      </c>
      <c r="C182" t="s">
        <v>31</v>
      </c>
      <c r="D182" t="str">
        <f t="shared" si="4"/>
        <v>19-Jul-2012</v>
      </c>
      <c r="E182">
        <v>45</v>
      </c>
      <c r="F182" s="13">
        <v>483.74</v>
      </c>
      <c r="G182">
        <v>0.02</v>
      </c>
      <c r="H182" t="s">
        <v>19</v>
      </c>
      <c r="I182" s="13">
        <v>206.27</v>
      </c>
      <c r="J182">
        <v>10.31</v>
      </c>
      <c r="K182">
        <v>1.79</v>
      </c>
      <c r="L182" t="s">
        <v>141</v>
      </c>
      <c r="M182" t="s">
        <v>135</v>
      </c>
      <c r="N182" s="5" t="s">
        <v>86</v>
      </c>
      <c r="O182" t="s">
        <v>28</v>
      </c>
      <c r="P182" t="s">
        <v>21</v>
      </c>
      <c r="Q182" t="s">
        <v>37</v>
      </c>
      <c r="R182">
        <v>0.38</v>
      </c>
      <c r="S182" s="1">
        <v>41112</v>
      </c>
      <c r="T182" t="str">
        <f t="shared" si="5"/>
        <v>22-Jul-2012</v>
      </c>
    </row>
    <row r="183" spans="1:20" x14ac:dyDescent="0.3">
      <c r="A183">
        <v>6885</v>
      </c>
      <c r="B183" s="1">
        <v>41079</v>
      </c>
      <c r="C183" t="s">
        <v>18</v>
      </c>
      <c r="D183" t="str">
        <f t="shared" si="4"/>
        <v>19-Jun-2012</v>
      </c>
      <c r="E183">
        <v>4</v>
      </c>
      <c r="F183" s="13">
        <v>481.27</v>
      </c>
      <c r="G183">
        <v>0.02</v>
      </c>
      <c r="H183" t="s">
        <v>24</v>
      </c>
      <c r="I183" s="13">
        <v>-181.27</v>
      </c>
      <c r="J183">
        <v>113.98</v>
      </c>
      <c r="K183">
        <v>30</v>
      </c>
      <c r="L183" t="s">
        <v>230</v>
      </c>
      <c r="M183" t="s">
        <v>135</v>
      </c>
      <c r="N183" s="5" t="s">
        <v>86</v>
      </c>
      <c r="O183" t="s">
        <v>28</v>
      </c>
      <c r="P183" t="s">
        <v>32</v>
      </c>
      <c r="Q183" t="s">
        <v>56</v>
      </c>
      <c r="R183">
        <v>0.69</v>
      </c>
      <c r="S183" s="1">
        <v>41081</v>
      </c>
      <c r="T183" t="str">
        <f t="shared" si="5"/>
        <v>21-Jun-2012</v>
      </c>
    </row>
    <row r="184" spans="1:20" x14ac:dyDescent="0.3">
      <c r="A184">
        <v>14406</v>
      </c>
      <c r="B184" s="1">
        <v>40245</v>
      </c>
      <c r="C184" t="s">
        <v>38</v>
      </c>
      <c r="D184" t="str">
        <f t="shared" si="4"/>
        <v>08-Mar-2010</v>
      </c>
      <c r="E184">
        <v>20</v>
      </c>
      <c r="F184" s="13">
        <v>455.34</v>
      </c>
      <c r="G184">
        <v>0.06</v>
      </c>
      <c r="H184" t="s">
        <v>24</v>
      </c>
      <c r="I184" s="13">
        <v>-932.55</v>
      </c>
      <c r="J184">
        <v>20.98</v>
      </c>
      <c r="K184">
        <v>53.03</v>
      </c>
      <c r="L184" t="s">
        <v>148</v>
      </c>
      <c r="M184" t="s">
        <v>135</v>
      </c>
      <c r="N184" s="5" t="s">
        <v>86</v>
      </c>
      <c r="O184" t="s">
        <v>28</v>
      </c>
      <c r="P184" t="s">
        <v>21</v>
      </c>
      <c r="Q184" t="s">
        <v>22</v>
      </c>
      <c r="R184">
        <v>0.78</v>
      </c>
      <c r="S184" s="1">
        <v>40247</v>
      </c>
      <c r="T184" t="str">
        <f t="shared" si="5"/>
        <v>10-Mar-2010</v>
      </c>
    </row>
    <row r="185" spans="1:20" x14ac:dyDescent="0.3">
      <c r="A185">
        <v>18432</v>
      </c>
      <c r="B185" s="1">
        <v>40614</v>
      </c>
      <c r="C185" t="s">
        <v>23</v>
      </c>
      <c r="D185" t="str">
        <f t="shared" si="4"/>
        <v>12-Mar-2011</v>
      </c>
      <c r="E185">
        <v>42</v>
      </c>
      <c r="F185" s="13">
        <v>451.32</v>
      </c>
      <c r="G185">
        <v>0.04</v>
      </c>
      <c r="H185" t="s">
        <v>19</v>
      </c>
      <c r="I185" s="13">
        <v>1.1599999999999999</v>
      </c>
      <c r="J185">
        <v>10.64</v>
      </c>
      <c r="K185">
        <v>5.16</v>
      </c>
      <c r="L185" t="s">
        <v>140</v>
      </c>
      <c r="M185" t="s">
        <v>135</v>
      </c>
      <c r="N185" s="5" t="s">
        <v>86</v>
      </c>
      <c r="O185" t="s">
        <v>28</v>
      </c>
      <c r="P185" t="s">
        <v>32</v>
      </c>
      <c r="Q185" t="s">
        <v>33</v>
      </c>
      <c r="R185">
        <v>0.56999999999999995</v>
      </c>
      <c r="S185" s="1">
        <v>40614</v>
      </c>
      <c r="T185" t="str">
        <f t="shared" si="5"/>
        <v>12-Mar-2011</v>
      </c>
    </row>
    <row r="186" spans="1:20" x14ac:dyDescent="0.3">
      <c r="A186">
        <v>1699</v>
      </c>
      <c r="B186" s="1">
        <v>40541</v>
      </c>
      <c r="C186" t="s">
        <v>43</v>
      </c>
      <c r="D186" t="str">
        <f t="shared" si="4"/>
        <v>29-Dec-2010</v>
      </c>
      <c r="E186">
        <v>40</v>
      </c>
      <c r="F186" s="13">
        <v>430.88</v>
      </c>
      <c r="G186">
        <v>0.05</v>
      </c>
      <c r="H186" t="s">
        <v>19</v>
      </c>
      <c r="I186" s="13">
        <v>39</v>
      </c>
      <c r="J186">
        <v>11.09</v>
      </c>
      <c r="K186">
        <v>5.25</v>
      </c>
      <c r="L186" t="s">
        <v>140</v>
      </c>
      <c r="M186" t="s">
        <v>135</v>
      </c>
      <c r="N186" s="5" t="s">
        <v>86</v>
      </c>
      <c r="O186" t="s">
        <v>28</v>
      </c>
      <c r="P186" t="s">
        <v>21</v>
      </c>
      <c r="Q186" t="s">
        <v>42</v>
      </c>
      <c r="R186">
        <v>0.36</v>
      </c>
      <c r="S186" s="1">
        <v>40625</v>
      </c>
      <c r="T186" t="str">
        <f t="shared" si="5"/>
        <v>23-Mar-2011</v>
      </c>
    </row>
    <row r="187" spans="1:20" x14ac:dyDescent="0.3">
      <c r="A187">
        <v>10209</v>
      </c>
      <c r="B187" s="1">
        <v>40511</v>
      </c>
      <c r="C187" t="s">
        <v>38</v>
      </c>
      <c r="D187" t="str">
        <f t="shared" si="4"/>
        <v>29-Nov-2010</v>
      </c>
      <c r="E187">
        <v>48</v>
      </c>
      <c r="F187" s="13">
        <v>418.82</v>
      </c>
      <c r="G187">
        <v>0.02</v>
      </c>
      <c r="H187" t="s">
        <v>19</v>
      </c>
      <c r="I187" s="13">
        <v>-60.21</v>
      </c>
      <c r="J187">
        <v>8.6</v>
      </c>
      <c r="K187">
        <v>6.19</v>
      </c>
      <c r="L187" t="s">
        <v>221</v>
      </c>
      <c r="M187" t="s">
        <v>135</v>
      </c>
      <c r="N187" s="5" t="s">
        <v>86</v>
      </c>
      <c r="O187" t="s">
        <v>28</v>
      </c>
      <c r="P187" t="s">
        <v>21</v>
      </c>
      <c r="Q187" t="s">
        <v>26</v>
      </c>
      <c r="R187">
        <v>0.38</v>
      </c>
      <c r="S187" s="1">
        <v>40513</v>
      </c>
      <c r="T187" t="str">
        <f t="shared" si="5"/>
        <v>01-Dec-2010</v>
      </c>
    </row>
    <row r="188" spans="1:20" x14ac:dyDescent="0.3">
      <c r="A188">
        <v>16967</v>
      </c>
      <c r="B188" s="1">
        <v>40774</v>
      </c>
      <c r="C188" t="s">
        <v>18</v>
      </c>
      <c r="D188" t="str">
        <f t="shared" si="4"/>
        <v>19-Aug-2011</v>
      </c>
      <c r="E188">
        <v>5</v>
      </c>
      <c r="F188" s="13">
        <v>397.55</v>
      </c>
      <c r="G188">
        <v>0.08</v>
      </c>
      <c r="H188" t="s">
        <v>19</v>
      </c>
      <c r="I188" s="13">
        <v>-152.47</v>
      </c>
      <c r="J188">
        <v>83.1</v>
      </c>
      <c r="K188">
        <v>6.13</v>
      </c>
      <c r="L188" t="s">
        <v>145</v>
      </c>
      <c r="M188" t="s">
        <v>135</v>
      </c>
      <c r="N188" s="5" t="s">
        <v>86</v>
      </c>
      <c r="O188" t="s">
        <v>28</v>
      </c>
      <c r="P188" t="s">
        <v>29</v>
      </c>
      <c r="Q188" t="s">
        <v>41</v>
      </c>
      <c r="R188">
        <v>0.45</v>
      </c>
      <c r="S188" s="1">
        <v>40776</v>
      </c>
      <c r="T188" t="str">
        <f t="shared" si="5"/>
        <v>21-Aug-2011</v>
      </c>
    </row>
    <row r="189" spans="1:20" x14ac:dyDescent="0.3">
      <c r="A189">
        <v>43813</v>
      </c>
      <c r="B189" s="1">
        <v>40015</v>
      </c>
      <c r="C189" t="s">
        <v>31</v>
      </c>
      <c r="D189" t="str">
        <f t="shared" si="4"/>
        <v>21-Jul-2009</v>
      </c>
      <c r="E189">
        <v>23</v>
      </c>
      <c r="F189" s="13">
        <v>384.21</v>
      </c>
      <c r="G189">
        <v>0.04</v>
      </c>
      <c r="H189" t="s">
        <v>19</v>
      </c>
      <c r="I189" s="13">
        <v>-266.22000000000003</v>
      </c>
      <c r="J189">
        <v>15.51</v>
      </c>
      <c r="K189">
        <v>17.78</v>
      </c>
      <c r="L189" t="s">
        <v>218</v>
      </c>
      <c r="M189" t="s">
        <v>135</v>
      </c>
      <c r="N189" s="5" t="s">
        <v>86</v>
      </c>
      <c r="O189" t="s">
        <v>28</v>
      </c>
      <c r="P189" t="s">
        <v>21</v>
      </c>
      <c r="Q189" t="s">
        <v>22</v>
      </c>
      <c r="R189">
        <v>0.59</v>
      </c>
      <c r="S189" s="1">
        <v>40017</v>
      </c>
      <c r="T189" t="str">
        <f t="shared" si="5"/>
        <v>23-Jul-2009</v>
      </c>
    </row>
    <row r="190" spans="1:20" x14ac:dyDescent="0.3">
      <c r="A190">
        <v>20455</v>
      </c>
      <c r="B190" s="1">
        <v>40357</v>
      </c>
      <c r="C190" t="s">
        <v>43</v>
      </c>
      <c r="D190" t="str">
        <f t="shared" si="4"/>
        <v>28-Jun-2010</v>
      </c>
      <c r="E190">
        <v>7</v>
      </c>
      <c r="F190" s="13">
        <v>381.1995</v>
      </c>
      <c r="G190">
        <v>0.08</v>
      </c>
      <c r="H190" t="s">
        <v>35</v>
      </c>
      <c r="I190" s="13">
        <v>-233.56</v>
      </c>
      <c r="J190">
        <v>65.989999999999995</v>
      </c>
      <c r="K190">
        <v>8.99</v>
      </c>
      <c r="L190" t="s">
        <v>149</v>
      </c>
      <c r="M190" t="s">
        <v>135</v>
      </c>
      <c r="N190" s="5" t="s">
        <v>86</v>
      </c>
      <c r="O190" t="s">
        <v>28</v>
      </c>
      <c r="P190" t="s">
        <v>29</v>
      </c>
      <c r="Q190" t="s">
        <v>30</v>
      </c>
      <c r="R190">
        <v>0.57999999999999996</v>
      </c>
      <c r="S190" s="1">
        <v>40358</v>
      </c>
      <c r="T190" t="str">
        <f t="shared" si="5"/>
        <v>29-Jun-2010</v>
      </c>
    </row>
    <row r="191" spans="1:20" x14ac:dyDescent="0.3">
      <c r="A191">
        <v>28515</v>
      </c>
      <c r="B191" s="1">
        <v>40359</v>
      </c>
      <c r="C191" t="s">
        <v>23</v>
      </c>
      <c r="D191" t="str">
        <f t="shared" si="4"/>
        <v>30-Jun-2010</v>
      </c>
      <c r="E191">
        <v>48</v>
      </c>
      <c r="F191" s="13">
        <v>379.78</v>
      </c>
      <c r="G191">
        <v>0.1</v>
      </c>
      <c r="H191" t="s">
        <v>19</v>
      </c>
      <c r="I191" s="13">
        <v>-71.59</v>
      </c>
      <c r="J191">
        <v>8.32</v>
      </c>
      <c r="K191">
        <v>2.38</v>
      </c>
      <c r="L191" t="s">
        <v>97</v>
      </c>
      <c r="M191" t="s">
        <v>135</v>
      </c>
      <c r="N191" s="5" t="s">
        <v>86</v>
      </c>
      <c r="O191" t="s">
        <v>28</v>
      </c>
      <c r="P191" t="s">
        <v>29</v>
      </c>
      <c r="Q191" t="s">
        <v>41</v>
      </c>
      <c r="R191">
        <v>0.74</v>
      </c>
      <c r="S191" s="1">
        <v>40361</v>
      </c>
      <c r="T191" t="str">
        <f t="shared" si="5"/>
        <v>02-Jul-2010</v>
      </c>
    </row>
    <row r="192" spans="1:20" x14ac:dyDescent="0.3">
      <c r="A192">
        <v>52006</v>
      </c>
      <c r="B192" s="1">
        <v>39988</v>
      </c>
      <c r="C192" t="s">
        <v>38</v>
      </c>
      <c r="D192" t="str">
        <f t="shared" si="4"/>
        <v>24-Jun-2009</v>
      </c>
      <c r="E192">
        <v>42</v>
      </c>
      <c r="F192" s="13">
        <v>375.76</v>
      </c>
      <c r="G192">
        <v>0</v>
      </c>
      <c r="H192" t="s">
        <v>19</v>
      </c>
      <c r="I192" s="13">
        <v>-241.63</v>
      </c>
      <c r="J192">
        <v>8.3699999999999992</v>
      </c>
      <c r="K192">
        <v>10.16</v>
      </c>
      <c r="L192" t="s">
        <v>218</v>
      </c>
      <c r="M192" t="s">
        <v>135</v>
      </c>
      <c r="N192" s="5" t="s">
        <v>86</v>
      </c>
      <c r="O192" t="s">
        <v>28</v>
      </c>
      <c r="P192" t="s">
        <v>32</v>
      </c>
      <c r="Q192" t="s">
        <v>33</v>
      </c>
      <c r="R192">
        <v>0.59</v>
      </c>
      <c r="S192" s="1">
        <v>39990</v>
      </c>
      <c r="T192" t="str">
        <f t="shared" si="5"/>
        <v>26-Jun-2009</v>
      </c>
    </row>
    <row r="193" spans="1:20" x14ac:dyDescent="0.3">
      <c r="A193">
        <v>33959</v>
      </c>
      <c r="B193" s="1">
        <v>40025</v>
      </c>
      <c r="C193" t="s">
        <v>43</v>
      </c>
      <c r="D193" t="str">
        <f t="shared" si="4"/>
        <v>31-Jul-2009</v>
      </c>
      <c r="E193">
        <v>23</v>
      </c>
      <c r="F193" s="13">
        <v>367.53</v>
      </c>
      <c r="G193">
        <v>0.03</v>
      </c>
      <c r="H193" t="s">
        <v>24</v>
      </c>
      <c r="I193" s="13">
        <v>11.65</v>
      </c>
      <c r="J193">
        <v>15.23</v>
      </c>
      <c r="K193">
        <v>27.75</v>
      </c>
      <c r="L193" t="s">
        <v>234</v>
      </c>
      <c r="M193" t="s">
        <v>135</v>
      </c>
      <c r="N193" s="5" t="s">
        <v>86</v>
      </c>
      <c r="O193" t="s">
        <v>28</v>
      </c>
      <c r="P193" t="s">
        <v>32</v>
      </c>
      <c r="Q193" t="s">
        <v>46</v>
      </c>
      <c r="R193">
        <v>0.76</v>
      </c>
      <c r="S193" s="1">
        <v>40026</v>
      </c>
      <c r="T193" t="str">
        <f t="shared" si="5"/>
        <v>01-Aug-2009</v>
      </c>
    </row>
    <row r="194" spans="1:20" x14ac:dyDescent="0.3">
      <c r="A194">
        <v>10338</v>
      </c>
      <c r="B194" s="1">
        <v>40738</v>
      </c>
      <c r="C194" t="s">
        <v>31</v>
      </c>
      <c r="D194" t="str">
        <f t="shared" ref="D194:D257" si="6">TEXT(B194, "dd-mmm-yyyy" )</f>
        <v>14-Jul-2011</v>
      </c>
      <c r="E194">
        <v>7</v>
      </c>
      <c r="F194" s="13">
        <v>363.57</v>
      </c>
      <c r="G194">
        <v>0.02</v>
      </c>
      <c r="H194" t="s">
        <v>24</v>
      </c>
      <c r="I194" s="13">
        <v>33.99</v>
      </c>
      <c r="J194">
        <v>44.43</v>
      </c>
      <c r="K194">
        <v>46.59</v>
      </c>
      <c r="L194" t="s">
        <v>221</v>
      </c>
      <c r="M194" t="s">
        <v>135</v>
      </c>
      <c r="N194" s="5" t="s">
        <v>86</v>
      </c>
      <c r="O194" t="s">
        <v>28</v>
      </c>
      <c r="P194" t="s">
        <v>32</v>
      </c>
      <c r="Q194" t="s">
        <v>46</v>
      </c>
      <c r="R194">
        <v>0.67</v>
      </c>
      <c r="S194" s="1">
        <v>40740</v>
      </c>
      <c r="T194" t="str">
        <f t="shared" ref="T194:T257" si="7">TEXT(S194, "dd-mmm-yyyy")</f>
        <v>16-Jul-2011</v>
      </c>
    </row>
    <row r="195" spans="1:20" x14ac:dyDescent="0.3">
      <c r="A195">
        <v>36390</v>
      </c>
      <c r="B195" s="1">
        <v>41194</v>
      </c>
      <c r="C195" t="s">
        <v>23</v>
      </c>
      <c r="D195" t="str">
        <f t="shared" si="6"/>
        <v>12-Oct-2012</v>
      </c>
      <c r="E195">
        <v>3</v>
      </c>
      <c r="F195" s="13">
        <v>329.63</v>
      </c>
      <c r="G195">
        <v>0.05</v>
      </c>
      <c r="H195" t="s">
        <v>19</v>
      </c>
      <c r="I195" s="13">
        <v>-541.33000000000004</v>
      </c>
      <c r="J195">
        <v>125.99</v>
      </c>
      <c r="K195">
        <v>8.99</v>
      </c>
      <c r="L195" t="s">
        <v>44</v>
      </c>
      <c r="M195" t="s">
        <v>135</v>
      </c>
      <c r="N195" s="5" t="s">
        <v>86</v>
      </c>
      <c r="O195" t="s">
        <v>28</v>
      </c>
      <c r="P195" t="s">
        <v>29</v>
      </c>
      <c r="Q195" t="s">
        <v>30</v>
      </c>
      <c r="R195">
        <v>0.59</v>
      </c>
      <c r="S195" s="1">
        <v>41196</v>
      </c>
      <c r="T195" t="str">
        <f t="shared" si="7"/>
        <v>14-Oct-2012</v>
      </c>
    </row>
    <row r="196" spans="1:20" x14ac:dyDescent="0.3">
      <c r="A196">
        <v>18951</v>
      </c>
      <c r="B196" s="1">
        <v>40723</v>
      </c>
      <c r="C196" t="s">
        <v>43</v>
      </c>
      <c r="D196" t="str">
        <f t="shared" si="6"/>
        <v>29-Jun-2011</v>
      </c>
      <c r="E196">
        <v>10</v>
      </c>
      <c r="F196" s="13">
        <v>324.3175</v>
      </c>
      <c r="G196">
        <v>0.03</v>
      </c>
      <c r="H196" t="s">
        <v>35</v>
      </c>
      <c r="I196" s="13">
        <v>-169.74</v>
      </c>
      <c r="J196">
        <v>35.99</v>
      </c>
      <c r="K196">
        <v>5</v>
      </c>
      <c r="L196" t="s">
        <v>228</v>
      </c>
      <c r="M196" t="s">
        <v>135</v>
      </c>
      <c r="N196" s="5" t="s">
        <v>86</v>
      </c>
      <c r="O196" t="s">
        <v>28</v>
      </c>
      <c r="P196" t="s">
        <v>29</v>
      </c>
      <c r="Q196" t="s">
        <v>30</v>
      </c>
      <c r="R196">
        <v>0.85</v>
      </c>
      <c r="S196" s="1">
        <v>40725</v>
      </c>
      <c r="T196" t="str">
        <f t="shared" si="7"/>
        <v>01-Jul-2011</v>
      </c>
    </row>
    <row r="197" spans="1:20" x14ac:dyDescent="0.3">
      <c r="A197">
        <v>3078</v>
      </c>
      <c r="B197" s="1">
        <v>40220</v>
      </c>
      <c r="C197" t="s">
        <v>23</v>
      </c>
      <c r="D197" t="str">
        <f t="shared" si="6"/>
        <v>11-Feb-2010</v>
      </c>
      <c r="E197">
        <v>1</v>
      </c>
      <c r="F197" s="13">
        <v>316.61</v>
      </c>
      <c r="G197">
        <v>0.1</v>
      </c>
      <c r="H197" t="s">
        <v>24</v>
      </c>
      <c r="I197" s="13">
        <v>-187.29</v>
      </c>
      <c r="J197">
        <v>291.73</v>
      </c>
      <c r="K197">
        <v>48.8</v>
      </c>
      <c r="L197" t="s">
        <v>240</v>
      </c>
      <c r="M197" t="s">
        <v>135</v>
      </c>
      <c r="N197" s="5" t="s">
        <v>86</v>
      </c>
      <c r="O197" t="s">
        <v>28</v>
      </c>
      <c r="P197" t="s">
        <v>32</v>
      </c>
      <c r="Q197" t="s">
        <v>56</v>
      </c>
      <c r="R197">
        <v>0.56000000000000005</v>
      </c>
      <c r="S197" s="1">
        <v>40222</v>
      </c>
      <c r="T197" t="str">
        <f t="shared" si="7"/>
        <v>13-Feb-2010</v>
      </c>
    </row>
    <row r="198" spans="1:20" x14ac:dyDescent="0.3">
      <c r="A198">
        <v>53953</v>
      </c>
      <c r="B198" s="1">
        <v>39899</v>
      </c>
      <c r="C198" t="s">
        <v>31</v>
      </c>
      <c r="D198" t="str">
        <f t="shared" si="6"/>
        <v>27-Mar-2009</v>
      </c>
      <c r="E198">
        <v>36</v>
      </c>
      <c r="F198" s="13">
        <v>307.64999999999998</v>
      </c>
      <c r="G198">
        <v>7.0000000000000007E-2</v>
      </c>
      <c r="H198" t="s">
        <v>19</v>
      </c>
      <c r="I198" s="13">
        <v>91.73</v>
      </c>
      <c r="J198">
        <v>8.9499999999999993</v>
      </c>
      <c r="K198">
        <v>2.0099999999999998</v>
      </c>
      <c r="L198" t="s">
        <v>130</v>
      </c>
      <c r="M198" t="s">
        <v>135</v>
      </c>
      <c r="N198" s="5" t="s">
        <v>86</v>
      </c>
      <c r="O198" t="s">
        <v>28</v>
      </c>
      <c r="P198" t="s">
        <v>21</v>
      </c>
      <c r="Q198" t="s">
        <v>37</v>
      </c>
      <c r="R198">
        <v>0.39</v>
      </c>
      <c r="S198" s="1">
        <v>39900</v>
      </c>
      <c r="T198" t="str">
        <f t="shared" si="7"/>
        <v>28-Mar-2009</v>
      </c>
    </row>
    <row r="199" spans="1:20" x14ac:dyDescent="0.3">
      <c r="A199">
        <v>6695</v>
      </c>
      <c r="B199" s="1">
        <v>41087</v>
      </c>
      <c r="C199" t="s">
        <v>18</v>
      </c>
      <c r="D199" t="str">
        <f t="shared" si="6"/>
        <v>27-Jun-2012</v>
      </c>
      <c r="E199">
        <v>49</v>
      </c>
      <c r="F199" s="13">
        <v>295.24</v>
      </c>
      <c r="G199">
        <v>0.08</v>
      </c>
      <c r="H199" t="s">
        <v>35</v>
      </c>
      <c r="I199" s="13">
        <v>-279.93</v>
      </c>
      <c r="J199">
        <v>5.81</v>
      </c>
      <c r="K199">
        <v>8.49</v>
      </c>
      <c r="L199" t="s">
        <v>220</v>
      </c>
      <c r="M199" t="s">
        <v>135</v>
      </c>
      <c r="N199" s="5" t="s">
        <v>86</v>
      </c>
      <c r="O199" t="s">
        <v>28</v>
      </c>
      <c r="P199" t="s">
        <v>21</v>
      </c>
      <c r="Q199" t="s">
        <v>26</v>
      </c>
      <c r="R199">
        <v>0.39</v>
      </c>
      <c r="S199" s="1">
        <v>41087</v>
      </c>
      <c r="T199" t="str">
        <f t="shared" si="7"/>
        <v>27-Jun-2012</v>
      </c>
    </row>
    <row r="200" spans="1:20" x14ac:dyDescent="0.3">
      <c r="A200">
        <v>18534</v>
      </c>
      <c r="B200" s="1">
        <v>40907</v>
      </c>
      <c r="C200" t="s">
        <v>18</v>
      </c>
      <c r="D200" t="str">
        <f t="shared" si="6"/>
        <v>30-Dec-2011</v>
      </c>
      <c r="E200">
        <v>36</v>
      </c>
      <c r="F200" s="13">
        <v>282.58</v>
      </c>
      <c r="G200">
        <v>0.1</v>
      </c>
      <c r="H200" t="s">
        <v>35</v>
      </c>
      <c r="I200" s="13">
        <v>21.68</v>
      </c>
      <c r="J200">
        <v>8.33</v>
      </c>
      <c r="K200">
        <v>1.99</v>
      </c>
      <c r="L200" t="s">
        <v>235</v>
      </c>
      <c r="M200" t="s">
        <v>135</v>
      </c>
      <c r="N200" s="5" t="s">
        <v>86</v>
      </c>
      <c r="O200" t="s">
        <v>28</v>
      </c>
      <c r="P200" t="s">
        <v>29</v>
      </c>
      <c r="Q200" t="s">
        <v>41</v>
      </c>
      <c r="R200">
        <v>0.52</v>
      </c>
      <c r="S200" s="1">
        <v>40907</v>
      </c>
      <c r="T200" t="str">
        <f t="shared" si="7"/>
        <v>30-Dec-2011</v>
      </c>
    </row>
    <row r="201" spans="1:20" x14ac:dyDescent="0.3">
      <c r="A201">
        <v>15878</v>
      </c>
      <c r="B201" s="1">
        <v>40486</v>
      </c>
      <c r="C201" t="s">
        <v>23</v>
      </c>
      <c r="D201" t="str">
        <f t="shared" si="6"/>
        <v>04-Nov-2010</v>
      </c>
      <c r="E201">
        <v>36</v>
      </c>
      <c r="F201" s="13">
        <v>275.06</v>
      </c>
      <c r="G201">
        <v>0.05</v>
      </c>
      <c r="H201" t="s">
        <v>19</v>
      </c>
      <c r="I201" s="13">
        <v>-237.87</v>
      </c>
      <c r="J201">
        <v>7.28</v>
      </c>
      <c r="K201">
        <v>11.15</v>
      </c>
      <c r="L201" t="s">
        <v>147</v>
      </c>
      <c r="M201" t="s">
        <v>135</v>
      </c>
      <c r="N201" s="5" t="s">
        <v>86</v>
      </c>
      <c r="O201" t="s">
        <v>28</v>
      </c>
      <c r="P201" t="s">
        <v>21</v>
      </c>
      <c r="Q201" t="s">
        <v>37</v>
      </c>
      <c r="R201">
        <v>0.37</v>
      </c>
      <c r="S201" s="1">
        <v>40488</v>
      </c>
      <c r="T201" t="str">
        <f t="shared" si="7"/>
        <v>06-Nov-2010</v>
      </c>
    </row>
    <row r="202" spans="1:20" x14ac:dyDescent="0.3">
      <c r="A202">
        <v>41766</v>
      </c>
      <c r="B202" s="1">
        <v>41163</v>
      </c>
      <c r="C202" t="s">
        <v>43</v>
      </c>
      <c r="D202" t="str">
        <f t="shared" si="6"/>
        <v>11-Sep-2012</v>
      </c>
      <c r="E202">
        <v>7</v>
      </c>
      <c r="F202" s="13">
        <v>273.42</v>
      </c>
      <c r="G202">
        <v>0</v>
      </c>
      <c r="H202" t="s">
        <v>19</v>
      </c>
      <c r="I202" s="13">
        <v>10.06</v>
      </c>
      <c r="J202">
        <v>34.54</v>
      </c>
      <c r="K202">
        <v>14.72</v>
      </c>
      <c r="L202" t="s">
        <v>239</v>
      </c>
      <c r="M202" t="s">
        <v>135</v>
      </c>
      <c r="N202" s="5" t="s">
        <v>86</v>
      </c>
      <c r="O202" t="s">
        <v>28</v>
      </c>
      <c r="P202" t="s">
        <v>21</v>
      </c>
      <c r="Q202" t="s">
        <v>26</v>
      </c>
      <c r="R202">
        <v>0.37</v>
      </c>
      <c r="S202" s="1">
        <v>41164</v>
      </c>
      <c r="T202" t="str">
        <f t="shared" si="7"/>
        <v>12-Sep-2012</v>
      </c>
    </row>
    <row r="203" spans="1:20" x14ac:dyDescent="0.3">
      <c r="A203">
        <v>53123</v>
      </c>
      <c r="B203" s="1">
        <v>40056</v>
      </c>
      <c r="C203" t="s">
        <v>31</v>
      </c>
      <c r="D203" t="str">
        <f t="shared" si="6"/>
        <v>31-Aug-2009</v>
      </c>
      <c r="E203">
        <v>25</v>
      </c>
      <c r="F203" s="13">
        <v>265.75</v>
      </c>
      <c r="G203">
        <v>0.06</v>
      </c>
      <c r="H203" t="s">
        <v>19</v>
      </c>
      <c r="I203" s="13">
        <v>14</v>
      </c>
      <c r="J203">
        <v>10.98</v>
      </c>
      <c r="K203">
        <v>5.14</v>
      </c>
      <c r="L203" t="s">
        <v>248</v>
      </c>
      <c r="M203" t="s">
        <v>135</v>
      </c>
      <c r="N203" s="5" t="s">
        <v>86</v>
      </c>
      <c r="O203" t="s">
        <v>28</v>
      </c>
      <c r="P203" t="s">
        <v>21</v>
      </c>
      <c r="Q203" t="s">
        <v>26</v>
      </c>
      <c r="R203">
        <v>0.36</v>
      </c>
      <c r="S203" s="1">
        <v>40058</v>
      </c>
      <c r="T203" t="str">
        <f t="shared" si="7"/>
        <v>02-Sep-2009</v>
      </c>
    </row>
    <row r="204" spans="1:20" x14ac:dyDescent="0.3">
      <c r="A204">
        <v>37829</v>
      </c>
      <c r="B204" s="1">
        <v>40450</v>
      </c>
      <c r="C204" t="s">
        <v>31</v>
      </c>
      <c r="D204" t="str">
        <f t="shared" si="6"/>
        <v>29-Sep-2010</v>
      </c>
      <c r="E204">
        <v>28</v>
      </c>
      <c r="F204" s="13">
        <v>257.89999999999998</v>
      </c>
      <c r="G204">
        <v>0</v>
      </c>
      <c r="H204" t="s">
        <v>19</v>
      </c>
      <c r="I204" s="13">
        <v>-84.69</v>
      </c>
      <c r="J204">
        <v>8.74</v>
      </c>
      <c r="K204">
        <v>8.2899999999999991</v>
      </c>
      <c r="L204" t="s">
        <v>227</v>
      </c>
      <c r="M204" t="s">
        <v>135</v>
      </c>
      <c r="N204" s="5" t="s">
        <v>86</v>
      </c>
      <c r="O204" t="s">
        <v>28</v>
      </c>
      <c r="P204" t="s">
        <v>21</v>
      </c>
      <c r="Q204" t="s">
        <v>42</v>
      </c>
      <c r="R204">
        <v>0.38</v>
      </c>
      <c r="S204" s="1">
        <v>40452</v>
      </c>
      <c r="T204" t="str">
        <f t="shared" si="7"/>
        <v>01-Oct-2010</v>
      </c>
    </row>
    <row r="205" spans="1:20" x14ac:dyDescent="0.3">
      <c r="A205">
        <v>14662</v>
      </c>
      <c r="B205" s="1">
        <v>40863</v>
      </c>
      <c r="C205" t="s">
        <v>23</v>
      </c>
      <c r="D205" t="str">
        <f t="shared" si="6"/>
        <v>16-Nov-2011</v>
      </c>
      <c r="E205">
        <v>48</v>
      </c>
      <c r="F205" s="13">
        <v>257.75</v>
      </c>
      <c r="G205">
        <v>0.02</v>
      </c>
      <c r="H205" t="s">
        <v>19</v>
      </c>
      <c r="I205" s="13">
        <v>-66.260000000000005</v>
      </c>
      <c r="J205">
        <v>4.9800000000000004</v>
      </c>
      <c r="K205">
        <v>4.75</v>
      </c>
      <c r="L205" t="s">
        <v>219</v>
      </c>
      <c r="M205" t="s">
        <v>135</v>
      </c>
      <c r="N205" s="5" t="s">
        <v>86</v>
      </c>
      <c r="O205" t="s">
        <v>28</v>
      </c>
      <c r="P205" t="s">
        <v>21</v>
      </c>
      <c r="Q205" t="s">
        <v>37</v>
      </c>
      <c r="R205">
        <v>0.36</v>
      </c>
      <c r="S205" s="1">
        <v>40864</v>
      </c>
      <c r="T205" t="str">
        <f t="shared" si="7"/>
        <v>17-Nov-2011</v>
      </c>
    </row>
    <row r="206" spans="1:20" x14ac:dyDescent="0.3">
      <c r="A206">
        <v>49223</v>
      </c>
      <c r="B206" s="1">
        <v>40818</v>
      </c>
      <c r="C206" t="s">
        <v>38</v>
      </c>
      <c r="D206" t="str">
        <f t="shared" si="6"/>
        <v>02-Oct-2011</v>
      </c>
      <c r="E206">
        <v>24</v>
      </c>
      <c r="F206" s="13">
        <v>238.25</v>
      </c>
      <c r="G206">
        <v>0.05</v>
      </c>
      <c r="H206" t="s">
        <v>19</v>
      </c>
      <c r="I206" s="13">
        <v>-83.55</v>
      </c>
      <c r="J206">
        <v>9.3800000000000008</v>
      </c>
      <c r="K206">
        <v>7.28</v>
      </c>
      <c r="L206" t="s">
        <v>132</v>
      </c>
      <c r="M206" t="s">
        <v>135</v>
      </c>
      <c r="N206" s="5" t="s">
        <v>86</v>
      </c>
      <c r="O206" t="s">
        <v>28</v>
      </c>
      <c r="P206" t="s">
        <v>21</v>
      </c>
      <c r="Q206" t="s">
        <v>22</v>
      </c>
      <c r="R206">
        <v>0.56999999999999995</v>
      </c>
      <c r="S206" s="1">
        <v>40818</v>
      </c>
      <c r="T206" t="str">
        <f t="shared" si="7"/>
        <v>02-Oct-2011</v>
      </c>
    </row>
    <row r="207" spans="1:20" x14ac:dyDescent="0.3">
      <c r="A207">
        <v>7458</v>
      </c>
      <c r="B207" s="1">
        <v>41003</v>
      </c>
      <c r="C207" t="s">
        <v>43</v>
      </c>
      <c r="D207" t="str">
        <f t="shared" si="6"/>
        <v>04-Apr-2012</v>
      </c>
      <c r="E207">
        <v>16</v>
      </c>
      <c r="F207" s="13">
        <v>226.81</v>
      </c>
      <c r="G207">
        <v>0.05</v>
      </c>
      <c r="H207" t="s">
        <v>19</v>
      </c>
      <c r="I207" s="13">
        <v>-5.37</v>
      </c>
      <c r="J207">
        <v>14.45</v>
      </c>
      <c r="K207">
        <v>7.17</v>
      </c>
      <c r="L207" t="s">
        <v>238</v>
      </c>
      <c r="M207" t="s">
        <v>135</v>
      </c>
      <c r="N207" s="5" t="s">
        <v>86</v>
      </c>
      <c r="O207" t="s">
        <v>28</v>
      </c>
      <c r="P207" t="s">
        <v>21</v>
      </c>
      <c r="Q207" t="s">
        <v>26</v>
      </c>
      <c r="R207">
        <v>0.38</v>
      </c>
      <c r="S207" s="1">
        <v>41005</v>
      </c>
      <c r="T207" t="str">
        <f t="shared" si="7"/>
        <v>06-Apr-2012</v>
      </c>
    </row>
    <row r="208" spans="1:20" x14ac:dyDescent="0.3">
      <c r="A208">
        <v>18432</v>
      </c>
      <c r="B208" s="1">
        <v>40614</v>
      </c>
      <c r="C208" t="s">
        <v>23</v>
      </c>
      <c r="D208" t="str">
        <f t="shared" si="6"/>
        <v>12-Mar-2011</v>
      </c>
      <c r="E208">
        <v>15</v>
      </c>
      <c r="F208" s="13">
        <v>217.66</v>
      </c>
      <c r="G208">
        <v>0.1</v>
      </c>
      <c r="H208" t="s">
        <v>35</v>
      </c>
      <c r="I208" s="13">
        <v>-24.91</v>
      </c>
      <c r="J208">
        <v>14.42</v>
      </c>
      <c r="K208">
        <v>6.75</v>
      </c>
      <c r="L208" t="s">
        <v>140</v>
      </c>
      <c r="M208" t="s">
        <v>135</v>
      </c>
      <c r="N208" s="5" t="s">
        <v>86</v>
      </c>
      <c r="O208" t="s">
        <v>28</v>
      </c>
      <c r="P208" t="s">
        <v>21</v>
      </c>
      <c r="Q208" t="s">
        <v>25</v>
      </c>
      <c r="R208">
        <v>0.52</v>
      </c>
      <c r="S208" s="1">
        <v>40614</v>
      </c>
      <c r="T208" t="str">
        <f t="shared" si="7"/>
        <v>12-Mar-2011</v>
      </c>
    </row>
    <row r="209" spans="1:20" x14ac:dyDescent="0.3">
      <c r="A209">
        <v>3361</v>
      </c>
      <c r="B209" s="1">
        <v>41143</v>
      </c>
      <c r="C209" t="s">
        <v>31</v>
      </c>
      <c r="D209" t="str">
        <f t="shared" si="6"/>
        <v>22-Aug-2012</v>
      </c>
      <c r="E209">
        <v>49</v>
      </c>
      <c r="F209" s="13">
        <v>213.71</v>
      </c>
      <c r="G209">
        <v>0.06</v>
      </c>
      <c r="H209" t="s">
        <v>19</v>
      </c>
      <c r="I209" s="13">
        <v>-208.02</v>
      </c>
      <c r="J209">
        <v>4.28</v>
      </c>
      <c r="K209">
        <v>6.72</v>
      </c>
      <c r="L209" t="s">
        <v>141</v>
      </c>
      <c r="M209" t="s">
        <v>135</v>
      </c>
      <c r="N209" s="5" t="s">
        <v>86</v>
      </c>
      <c r="O209" t="s">
        <v>28</v>
      </c>
      <c r="P209" t="s">
        <v>21</v>
      </c>
      <c r="Q209" t="s">
        <v>37</v>
      </c>
      <c r="R209">
        <v>0.4</v>
      </c>
      <c r="S209" s="1">
        <v>41143</v>
      </c>
      <c r="T209" t="str">
        <f t="shared" si="7"/>
        <v>22-Aug-2012</v>
      </c>
    </row>
    <row r="210" spans="1:20" x14ac:dyDescent="0.3">
      <c r="A210">
        <v>25280</v>
      </c>
      <c r="B210" s="1">
        <v>40684</v>
      </c>
      <c r="C210" t="s">
        <v>31</v>
      </c>
      <c r="D210" t="str">
        <f t="shared" si="6"/>
        <v>21-May-2011</v>
      </c>
      <c r="E210">
        <v>47</v>
      </c>
      <c r="F210" s="13">
        <v>202.64</v>
      </c>
      <c r="G210">
        <v>0.03</v>
      </c>
      <c r="H210" t="s">
        <v>19</v>
      </c>
      <c r="I210" s="13">
        <v>28.75</v>
      </c>
      <c r="J210">
        <v>4.13</v>
      </c>
      <c r="K210">
        <v>1.17</v>
      </c>
      <c r="L210" t="s">
        <v>239</v>
      </c>
      <c r="M210" t="s">
        <v>135</v>
      </c>
      <c r="N210" s="5" t="s">
        <v>86</v>
      </c>
      <c r="O210" t="s">
        <v>28</v>
      </c>
      <c r="P210" t="s">
        <v>21</v>
      </c>
      <c r="Q210" t="s">
        <v>50</v>
      </c>
      <c r="R210">
        <v>0.56999999999999995</v>
      </c>
      <c r="S210" s="1">
        <v>40685</v>
      </c>
      <c r="T210" t="str">
        <f t="shared" si="7"/>
        <v>22-May-2011</v>
      </c>
    </row>
    <row r="211" spans="1:20" x14ac:dyDescent="0.3">
      <c r="A211">
        <v>24039</v>
      </c>
      <c r="B211" s="1">
        <v>41107</v>
      </c>
      <c r="C211" t="s">
        <v>31</v>
      </c>
      <c r="D211" t="str">
        <f t="shared" si="6"/>
        <v>17-Jul-2012</v>
      </c>
      <c r="E211">
        <v>5</v>
      </c>
      <c r="F211" s="13">
        <v>199.16</v>
      </c>
      <c r="G211">
        <v>0.1</v>
      </c>
      <c r="H211" t="s">
        <v>19</v>
      </c>
      <c r="I211" s="13">
        <v>-64.87</v>
      </c>
      <c r="J211">
        <v>40.98</v>
      </c>
      <c r="K211">
        <v>1.99</v>
      </c>
      <c r="L211" t="s">
        <v>142</v>
      </c>
      <c r="M211" t="s">
        <v>135</v>
      </c>
      <c r="N211" s="5" t="s">
        <v>86</v>
      </c>
      <c r="O211" t="s">
        <v>28</v>
      </c>
      <c r="P211" t="s">
        <v>29</v>
      </c>
      <c r="Q211" t="s">
        <v>41</v>
      </c>
      <c r="R211">
        <v>0.44</v>
      </c>
      <c r="S211" s="1">
        <v>41109</v>
      </c>
      <c r="T211" t="str">
        <f t="shared" si="7"/>
        <v>19-Jul-2012</v>
      </c>
    </row>
    <row r="212" spans="1:20" x14ac:dyDescent="0.3">
      <c r="A212">
        <v>47750</v>
      </c>
      <c r="B212" s="1">
        <v>40344</v>
      </c>
      <c r="C212" t="s">
        <v>18</v>
      </c>
      <c r="D212" t="str">
        <f t="shared" si="6"/>
        <v>15-Jun-2010</v>
      </c>
      <c r="E212">
        <v>1</v>
      </c>
      <c r="F212" s="13">
        <v>195.04</v>
      </c>
      <c r="G212">
        <v>0.08</v>
      </c>
      <c r="H212" t="s">
        <v>19</v>
      </c>
      <c r="I212" s="13">
        <v>-149.41</v>
      </c>
      <c r="J212">
        <v>167.27</v>
      </c>
      <c r="K212">
        <v>35</v>
      </c>
      <c r="L212" t="s">
        <v>109</v>
      </c>
      <c r="M212" t="s">
        <v>135</v>
      </c>
      <c r="N212" s="5" t="s">
        <v>86</v>
      </c>
      <c r="O212" t="s">
        <v>28</v>
      </c>
      <c r="P212" t="s">
        <v>21</v>
      </c>
      <c r="Q212" t="s">
        <v>22</v>
      </c>
      <c r="R212">
        <v>0.85</v>
      </c>
      <c r="S212" s="1">
        <v>40344</v>
      </c>
      <c r="T212" t="str">
        <f t="shared" si="7"/>
        <v>15-Jun-2010</v>
      </c>
    </row>
    <row r="213" spans="1:20" x14ac:dyDescent="0.3">
      <c r="A213">
        <v>12389</v>
      </c>
      <c r="B213" s="1">
        <v>40029</v>
      </c>
      <c r="C213" t="s">
        <v>38</v>
      </c>
      <c r="D213" t="str">
        <f t="shared" si="6"/>
        <v>04-Aug-2009</v>
      </c>
      <c r="E213">
        <v>16</v>
      </c>
      <c r="F213" s="13">
        <v>189.04</v>
      </c>
      <c r="G213">
        <v>0.08</v>
      </c>
      <c r="H213" t="s">
        <v>19</v>
      </c>
      <c r="I213" s="13">
        <v>-74.77</v>
      </c>
      <c r="J213">
        <v>11.35</v>
      </c>
      <c r="K213">
        <v>8.6</v>
      </c>
      <c r="L213" t="s">
        <v>141</v>
      </c>
      <c r="M213" t="s">
        <v>135</v>
      </c>
      <c r="N213" s="5" t="s">
        <v>86</v>
      </c>
      <c r="O213" t="s">
        <v>28</v>
      </c>
      <c r="P213" t="s">
        <v>21</v>
      </c>
      <c r="Q213" t="s">
        <v>22</v>
      </c>
      <c r="R213">
        <v>0.56999999999999995</v>
      </c>
      <c r="S213" s="1">
        <v>40030</v>
      </c>
      <c r="T213" t="str">
        <f t="shared" si="7"/>
        <v>05-Aug-2009</v>
      </c>
    </row>
    <row r="214" spans="1:20" x14ac:dyDescent="0.3">
      <c r="A214">
        <v>46849</v>
      </c>
      <c r="B214" s="1">
        <v>40525</v>
      </c>
      <c r="C214" t="s">
        <v>31</v>
      </c>
      <c r="D214" t="str">
        <f t="shared" si="6"/>
        <v>13-Dec-2010</v>
      </c>
      <c r="E214">
        <v>23</v>
      </c>
      <c r="F214" s="13">
        <v>188.54</v>
      </c>
      <c r="G214">
        <v>0.09</v>
      </c>
      <c r="H214" t="s">
        <v>19</v>
      </c>
      <c r="I214" s="13">
        <v>9.82</v>
      </c>
      <c r="J214">
        <v>8.33</v>
      </c>
      <c r="K214">
        <v>1.99</v>
      </c>
      <c r="L214" t="s">
        <v>128</v>
      </c>
      <c r="M214" t="s">
        <v>135</v>
      </c>
      <c r="N214" s="5" t="s">
        <v>86</v>
      </c>
      <c r="O214" t="s">
        <v>28</v>
      </c>
      <c r="P214" t="s">
        <v>29</v>
      </c>
      <c r="Q214" t="s">
        <v>41</v>
      </c>
      <c r="R214">
        <v>0.52</v>
      </c>
      <c r="S214" s="1">
        <v>40526</v>
      </c>
      <c r="T214" t="str">
        <f t="shared" si="7"/>
        <v>14-Dec-2010</v>
      </c>
    </row>
    <row r="215" spans="1:20" x14ac:dyDescent="0.3">
      <c r="A215">
        <v>48452</v>
      </c>
      <c r="B215" s="1">
        <v>40460</v>
      </c>
      <c r="C215" t="s">
        <v>23</v>
      </c>
      <c r="D215" t="str">
        <f t="shared" si="6"/>
        <v>09-Oct-2010</v>
      </c>
      <c r="E215">
        <v>44</v>
      </c>
      <c r="F215" s="13">
        <v>185.32</v>
      </c>
      <c r="G215">
        <v>0.03</v>
      </c>
      <c r="H215" t="s">
        <v>19</v>
      </c>
      <c r="I215" s="13">
        <v>-192.56</v>
      </c>
      <c r="J215">
        <v>4.18</v>
      </c>
      <c r="K215">
        <v>6.92</v>
      </c>
      <c r="L215" t="s">
        <v>120</v>
      </c>
      <c r="M215" t="s">
        <v>135</v>
      </c>
      <c r="N215" s="5" t="s">
        <v>86</v>
      </c>
      <c r="O215" t="s">
        <v>28</v>
      </c>
      <c r="P215" t="s">
        <v>32</v>
      </c>
      <c r="Q215" t="s">
        <v>33</v>
      </c>
      <c r="R215">
        <v>0.49</v>
      </c>
      <c r="S215" s="1">
        <v>40461</v>
      </c>
      <c r="T215" t="str">
        <f t="shared" si="7"/>
        <v>10-Oct-2010</v>
      </c>
    </row>
    <row r="216" spans="1:20" x14ac:dyDescent="0.3">
      <c r="A216">
        <v>58372</v>
      </c>
      <c r="B216" s="1">
        <v>40635</v>
      </c>
      <c r="C216" t="s">
        <v>18</v>
      </c>
      <c r="D216" t="str">
        <f t="shared" si="6"/>
        <v>02-Apr-2011</v>
      </c>
      <c r="E216">
        <v>48</v>
      </c>
      <c r="F216" s="13">
        <v>184.1</v>
      </c>
      <c r="G216">
        <v>0.04</v>
      </c>
      <c r="H216" t="s">
        <v>19</v>
      </c>
      <c r="I216" s="13">
        <v>43.2</v>
      </c>
      <c r="J216">
        <v>3.98</v>
      </c>
      <c r="K216">
        <v>0.7</v>
      </c>
      <c r="L216" t="s">
        <v>205</v>
      </c>
      <c r="M216" t="s">
        <v>135</v>
      </c>
      <c r="N216" s="5" t="s">
        <v>86</v>
      </c>
      <c r="O216" t="s">
        <v>28</v>
      </c>
      <c r="P216" t="s">
        <v>21</v>
      </c>
      <c r="Q216" t="s">
        <v>50</v>
      </c>
      <c r="R216">
        <v>0.52</v>
      </c>
      <c r="S216" s="1">
        <v>40640</v>
      </c>
      <c r="T216" t="str">
        <f t="shared" si="7"/>
        <v>07-Apr-2011</v>
      </c>
    </row>
    <row r="217" spans="1:20" x14ac:dyDescent="0.3">
      <c r="A217">
        <v>37792</v>
      </c>
      <c r="B217" s="1">
        <v>40906</v>
      </c>
      <c r="C217" t="s">
        <v>23</v>
      </c>
      <c r="D217" t="str">
        <f t="shared" si="6"/>
        <v>29-Dec-2011</v>
      </c>
      <c r="E217">
        <v>49</v>
      </c>
      <c r="F217" s="13">
        <v>183.08</v>
      </c>
      <c r="G217">
        <v>0.01</v>
      </c>
      <c r="H217" t="s">
        <v>19</v>
      </c>
      <c r="I217" s="13">
        <v>82.49</v>
      </c>
      <c r="J217">
        <v>3.69</v>
      </c>
      <c r="K217">
        <v>0.5</v>
      </c>
      <c r="L217" t="s">
        <v>227</v>
      </c>
      <c r="M217" t="s">
        <v>135</v>
      </c>
      <c r="N217" s="5" t="s">
        <v>86</v>
      </c>
      <c r="O217" t="s">
        <v>28</v>
      </c>
      <c r="P217" t="s">
        <v>21</v>
      </c>
      <c r="Q217" t="s">
        <v>48</v>
      </c>
      <c r="R217">
        <v>0.38</v>
      </c>
      <c r="S217" s="1">
        <v>40908</v>
      </c>
      <c r="T217" t="str">
        <f t="shared" si="7"/>
        <v>31-Dec-2011</v>
      </c>
    </row>
    <row r="218" spans="1:20" x14ac:dyDescent="0.3">
      <c r="A218">
        <v>45155</v>
      </c>
      <c r="B218" s="1">
        <v>40589</v>
      </c>
      <c r="C218" t="s">
        <v>18</v>
      </c>
      <c r="D218" t="str">
        <f t="shared" si="6"/>
        <v>15-Feb-2011</v>
      </c>
      <c r="E218">
        <v>44</v>
      </c>
      <c r="F218" s="13">
        <v>181.61</v>
      </c>
      <c r="G218">
        <v>0.03</v>
      </c>
      <c r="H218" t="s">
        <v>19</v>
      </c>
      <c r="I218" s="13">
        <v>-150.26</v>
      </c>
      <c r="J218">
        <v>4.13</v>
      </c>
      <c r="K218">
        <v>5.34</v>
      </c>
      <c r="L218" t="s">
        <v>124</v>
      </c>
      <c r="M218" t="s">
        <v>135</v>
      </c>
      <c r="N218" s="5" t="s">
        <v>86</v>
      </c>
      <c r="O218" t="s">
        <v>28</v>
      </c>
      <c r="P218" t="s">
        <v>21</v>
      </c>
      <c r="Q218" t="s">
        <v>26</v>
      </c>
      <c r="R218">
        <v>0.38</v>
      </c>
      <c r="S218" s="1">
        <v>40596</v>
      </c>
      <c r="T218" t="str">
        <f t="shared" si="7"/>
        <v>22-Feb-2011</v>
      </c>
    </row>
    <row r="219" spans="1:20" x14ac:dyDescent="0.3">
      <c r="A219">
        <v>3680</v>
      </c>
      <c r="B219" s="1">
        <v>41252</v>
      </c>
      <c r="C219" t="s">
        <v>31</v>
      </c>
      <c r="D219" t="str">
        <f t="shared" si="6"/>
        <v>09-Dec-2012</v>
      </c>
      <c r="E219">
        <v>27</v>
      </c>
      <c r="F219" s="13">
        <v>177.95</v>
      </c>
      <c r="G219">
        <v>0.09</v>
      </c>
      <c r="H219" t="s">
        <v>19</v>
      </c>
      <c r="I219" s="13">
        <v>-61.75</v>
      </c>
      <c r="J219">
        <v>6.48</v>
      </c>
      <c r="K219">
        <v>6</v>
      </c>
      <c r="L219" t="s">
        <v>241</v>
      </c>
      <c r="M219" t="s">
        <v>135</v>
      </c>
      <c r="N219" s="5" t="s">
        <v>86</v>
      </c>
      <c r="O219" t="s">
        <v>28</v>
      </c>
      <c r="P219" t="s">
        <v>21</v>
      </c>
      <c r="Q219" t="s">
        <v>37</v>
      </c>
      <c r="R219">
        <v>0.37</v>
      </c>
      <c r="S219" s="1">
        <v>41254</v>
      </c>
      <c r="T219" t="str">
        <f t="shared" si="7"/>
        <v>11-Dec-2012</v>
      </c>
    </row>
    <row r="220" spans="1:20" x14ac:dyDescent="0.3">
      <c r="A220">
        <v>12355</v>
      </c>
      <c r="B220" s="1">
        <v>40691</v>
      </c>
      <c r="C220" t="s">
        <v>31</v>
      </c>
      <c r="D220" t="str">
        <f t="shared" si="6"/>
        <v>28-May-2011</v>
      </c>
      <c r="E220">
        <v>45</v>
      </c>
      <c r="F220" s="13">
        <v>168.66</v>
      </c>
      <c r="G220">
        <v>0.08</v>
      </c>
      <c r="H220" t="s">
        <v>19</v>
      </c>
      <c r="I220" s="13">
        <v>-167.06</v>
      </c>
      <c r="J220">
        <v>3.95</v>
      </c>
      <c r="K220">
        <v>5.13</v>
      </c>
      <c r="L220" t="s">
        <v>146</v>
      </c>
      <c r="M220" t="s">
        <v>135</v>
      </c>
      <c r="N220" s="5" t="s">
        <v>86</v>
      </c>
      <c r="O220" t="s">
        <v>28</v>
      </c>
      <c r="P220" t="s">
        <v>21</v>
      </c>
      <c r="Q220" t="s">
        <v>25</v>
      </c>
      <c r="R220">
        <v>0.59</v>
      </c>
      <c r="S220" s="1">
        <v>40693</v>
      </c>
      <c r="T220" t="str">
        <f t="shared" si="7"/>
        <v>30-May-2011</v>
      </c>
    </row>
    <row r="221" spans="1:20" x14ac:dyDescent="0.3">
      <c r="A221">
        <v>49312</v>
      </c>
      <c r="B221" s="1">
        <v>40595</v>
      </c>
      <c r="C221" t="s">
        <v>43</v>
      </c>
      <c r="D221" t="str">
        <f t="shared" si="6"/>
        <v>21-Feb-2011</v>
      </c>
      <c r="E221">
        <v>30</v>
      </c>
      <c r="F221" s="13">
        <v>164.41</v>
      </c>
      <c r="G221">
        <v>0</v>
      </c>
      <c r="H221" t="s">
        <v>19</v>
      </c>
      <c r="I221" s="13">
        <v>-128.52000000000001</v>
      </c>
      <c r="J221">
        <v>4.9800000000000004</v>
      </c>
      <c r="K221">
        <v>7.54</v>
      </c>
      <c r="L221" t="s">
        <v>245</v>
      </c>
      <c r="M221" t="s">
        <v>135</v>
      </c>
      <c r="N221" s="5" t="s">
        <v>86</v>
      </c>
      <c r="O221" t="s">
        <v>28</v>
      </c>
      <c r="P221" t="s">
        <v>21</v>
      </c>
      <c r="Q221" t="s">
        <v>37</v>
      </c>
      <c r="R221">
        <v>0.38</v>
      </c>
      <c r="S221" s="1">
        <v>40596</v>
      </c>
      <c r="T221" t="str">
        <f t="shared" si="7"/>
        <v>22-Feb-2011</v>
      </c>
    </row>
    <row r="222" spans="1:20" x14ac:dyDescent="0.3">
      <c r="A222">
        <v>54533</v>
      </c>
      <c r="B222" s="1">
        <v>40895</v>
      </c>
      <c r="C222" t="s">
        <v>38</v>
      </c>
      <c r="D222" t="str">
        <f t="shared" si="6"/>
        <v>18-Dec-2011</v>
      </c>
      <c r="E222">
        <v>21</v>
      </c>
      <c r="F222" s="13">
        <v>162.25</v>
      </c>
      <c r="G222">
        <v>0.03</v>
      </c>
      <c r="H222" t="s">
        <v>19</v>
      </c>
      <c r="I222" s="13">
        <v>-42.72</v>
      </c>
      <c r="J222">
        <v>7.1</v>
      </c>
      <c r="K222">
        <v>6.05</v>
      </c>
      <c r="L222" t="s">
        <v>249</v>
      </c>
      <c r="M222" t="s">
        <v>135</v>
      </c>
      <c r="N222" s="5" t="s">
        <v>86</v>
      </c>
      <c r="O222" t="s">
        <v>28</v>
      </c>
      <c r="P222" t="s">
        <v>21</v>
      </c>
      <c r="Q222" t="s">
        <v>26</v>
      </c>
      <c r="R222">
        <v>0.39</v>
      </c>
      <c r="S222" s="1">
        <v>40896</v>
      </c>
      <c r="T222" t="str">
        <f t="shared" si="7"/>
        <v>19-Dec-2011</v>
      </c>
    </row>
    <row r="223" spans="1:20" x14ac:dyDescent="0.3">
      <c r="A223">
        <v>25825</v>
      </c>
      <c r="B223" s="1">
        <v>41109</v>
      </c>
      <c r="C223" t="s">
        <v>31</v>
      </c>
      <c r="D223" t="str">
        <f t="shared" si="6"/>
        <v>19-Jul-2012</v>
      </c>
      <c r="E223">
        <v>27</v>
      </c>
      <c r="F223" s="13">
        <v>159.65</v>
      </c>
      <c r="G223">
        <v>0.06</v>
      </c>
      <c r="H223" t="s">
        <v>19</v>
      </c>
      <c r="I223" s="13">
        <v>-1.79</v>
      </c>
      <c r="J223">
        <v>5.85</v>
      </c>
      <c r="K223">
        <v>2.27</v>
      </c>
      <c r="L223" t="s">
        <v>141</v>
      </c>
      <c r="M223" t="s">
        <v>135</v>
      </c>
      <c r="N223" s="5" t="s">
        <v>86</v>
      </c>
      <c r="O223" t="s">
        <v>28</v>
      </c>
      <c r="P223" t="s">
        <v>21</v>
      </c>
      <c r="Q223" t="s">
        <v>50</v>
      </c>
      <c r="R223">
        <v>0.56000000000000005</v>
      </c>
      <c r="S223" s="1">
        <v>41109</v>
      </c>
      <c r="T223" t="str">
        <f t="shared" si="7"/>
        <v>19-Jul-2012</v>
      </c>
    </row>
    <row r="224" spans="1:20" x14ac:dyDescent="0.3">
      <c r="A224">
        <v>12228</v>
      </c>
      <c r="B224" s="1">
        <v>39989</v>
      </c>
      <c r="C224" t="s">
        <v>31</v>
      </c>
      <c r="D224" t="str">
        <f t="shared" si="6"/>
        <v>25-Jun-2009</v>
      </c>
      <c r="E224">
        <v>1</v>
      </c>
      <c r="F224" s="13">
        <v>159.51</v>
      </c>
      <c r="G224">
        <v>0.04</v>
      </c>
      <c r="H224" t="s">
        <v>24</v>
      </c>
      <c r="I224" s="13">
        <v>-103.63</v>
      </c>
      <c r="J224">
        <v>130.97999999999999</v>
      </c>
      <c r="K224">
        <v>30</v>
      </c>
      <c r="L224" t="s">
        <v>145</v>
      </c>
      <c r="M224" t="s">
        <v>135</v>
      </c>
      <c r="N224" s="5" t="s">
        <v>86</v>
      </c>
      <c r="O224" t="s">
        <v>28</v>
      </c>
      <c r="P224" t="s">
        <v>32</v>
      </c>
      <c r="Q224" t="s">
        <v>56</v>
      </c>
      <c r="R224">
        <v>0.78</v>
      </c>
      <c r="S224" s="1">
        <v>39992</v>
      </c>
      <c r="T224" t="str">
        <f t="shared" si="7"/>
        <v>28-Jun-2009</v>
      </c>
    </row>
    <row r="225" spans="1:20" x14ac:dyDescent="0.3">
      <c r="A225">
        <v>11271</v>
      </c>
      <c r="B225" s="1">
        <v>40834</v>
      </c>
      <c r="C225" t="s">
        <v>23</v>
      </c>
      <c r="D225" t="str">
        <f t="shared" si="6"/>
        <v>18-Oct-2011</v>
      </c>
      <c r="E225">
        <v>46</v>
      </c>
      <c r="F225" s="13">
        <v>157.87</v>
      </c>
      <c r="G225">
        <v>0</v>
      </c>
      <c r="H225" t="s">
        <v>19</v>
      </c>
      <c r="I225" s="13">
        <v>-115.8</v>
      </c>
      <c r="J225">
        <v>3.28</v>
      </c>
      <c r="K225">
        <v>3.97</v>
      </c>
      <c r="L225" t="s">
        <v>243</v>
      </c>
      <c r="M225" t="s">
        <v>135</v>
      </c>
      <c r="N225" s="5" t="s">
        <v>86</v>
      </c>
      <c r="O225" t="s">
        <v>28</v>
      </c>
      <c r="P225" t="s">
        <v>21</v>
      </c>
      <c r="Q225" t="s">
        <v>50</v>
      </c>
      <c r="R225">
        <v>0.56000000000000005</v>
      </c>
      <c r="S225" s="1">
        <v>40836</v>
      </c>
      <c r="T225" t="str">
        <f t="shared" si="7"/>
        <v>20-Oct-2011</v>
      </c>
    </row>
    <row r="226" spans="1:20" x14ac:dyDescent="0.3">
      <c r="A226">
        <v>6116</v>
      </c>
      <c r="B226" s="1">
        <v>39892</v>
      </c>
      <c r="C226" t="s">
        <v>38</v>
      </c>
      <c r="D226" t="str">
        <f t="shared" si="6"/>
        <v>20-Mar-2009</v>
      </c>
      <c r="E226">
        <v>7</v>
      </c>
      <c r="F226" s="13">
        <v>150.77000000000001</v>
      </c>
      <c r="G226">
        <v>0.01</v>
      </c>
      <c r="H226" t="s">
        <v>19</v>
      </c>
      <c r="I226" s="13">
        <v>-72.23</v>
      </c>
      <c r="J226">
        <v>19.98</v>
      </c>
      <c r="K226">
        <v>4</v>
      </c>
      <c r="L226" t="s">
        <v>66</v>
      </c>
      <c r="M226" t="s">
        <v>135</v>
      </c>
      <c r="N226" s="5" t="s">
        <v>86</v>
      </c>
      <c r="O226" t="s">
        <v>28</v>
      </c>
      <c r="P226" t="s">
        <v>29</v>
      </c>
      <c r="Q226" t="s">
        <v>41</v>
      </c>
      <c r="R226">
        <v>0.68</v>
      </c>
      <c r="S226" s="1">
        <v>39892</v>
      </c>
      <c r="T226" t="str">
        <f t="shared" si="7"/>
        <v>20-Mar-2009</v>
      </c>
    </row>
    <row r="227" spans="1:20" x14ac:dyDescent="0.3">
      <c r="A227">
        <v>17408</v>
      </c>
      <c r="B227" s="1">
        <v>39960</v>
      </c>
      <c r="C227" t="s">
        <v>31</v>
      </c>
      <c r="D227" t="str">
        <f t="shared" si="6"/>
        <v>27-May-2009</v>
      </c>
      <c r="E227">
        <v>26</v>
      </c>
      <c r="F227" s="13">
        <v>149.69999999999999</v>
      </c>
      <c r="G227">
        <v>0.05</v>
      </c>
      <c r="H227" t="s">
        <v>35</v>
      </c>
      <c r="I227" s="13">
        <v>-132.63</v>
      </c>
      <c r="J227">
        <v>5.4</v>
      </c>
      <c r="K227">
        <v>7.78</v>
      </c>
      <c r="L227" t="s">
        <v>243</v>
      </c>
      <c r="M227" t="s">
        <v>135</v>
      </c>
      <c r="N227" s="5" t="s">
        <v>86</v>
      </c>
      <c r="O227" t="s">
        <v>28</v>
      </c>
      <c r="P227" t="s">
        <v>21</v>
      </c>
      <c r="Q227" t="s">
        <v>26</v>
      </c>
      <c r="R227">
        <v>0.37</v>
      </c>
      <c r="S227" s="1">
        <v>39962</v>
      </c>
      <c r="T227" t="str">
        <f t="shared" si="7"/>
        <v>29-May-2009</v>
      </c>
    </row>
    <row r="228" spans="1:20" x14ac:dyDescent="0.3">
      <c r="A228">
        <v>58913</v>
      </c>
      <c r="B228" s="1">
        <v>40309</v>
      </c>
      <c r="C228" t="s">
        <v>38</v>
      </c>
      <c r="D228" t="str">
        <f t="shared" si="6"/>
        <v>11-May-2010</v>
      </c>
      <c r="E228">
        <v>23</v>
      </c>
      <c r="F228" s="13">
        <v>144.55000000000001</v>
      </c>
      <c r="G228">
        <v>7.0000000000000007E-2</v>
      </c>
      <c r="H228" t="s">
        <v>19</v>
      </c>
      <c r="I228" s="13">
        <v>-60.17</v>
      </c>
      <c r="J228">
        <v>6.48</v>
      </c>
      <c r="K228">
        <v>5.94</v>
      </c>
      <c r="L228" t="s">
        <v>128</v>
      </c>
      <c r="M228" t="s">
        <v>135</v>
      </c>
      <c r="N228" s="5" t="s">
        <v>86</v>
      </c>
      <c r="O228" t="s">
        <v>28</v>
      </c>
      <c r="P228" t="s">
        <v>21</v>
      </c>
      <c r="Q228" t="s">
        <v>37</v>
      </c>
      <c r="R228">
        <v>0.37</v>
      </c>
      <c r="S228" s="1">
        <v>40311</v>
      </c>
      <c r="T228" t="str">
        <f t="shared" si="7"/>
        <v>13-May-2010</v>
      </c>
    </row>
    <row r="229" spans="1:20" x14ac:dyDescent="0.3">
      <c r="A229">
        <v>3361</v>
      </c>
      <c r="B229" s="1">
        <v>41143</v>
      </c>
      <c r="C229" t="s">
        <v>31</v>
      </c>
      <c r="D229" t="str">
        <f t="shared" si="6"/>
        <v>22-Aug-2012</v>
      </c>
      <c r="E229">
        <v>23</v>
      </c>
      <c r="F229" s="13">
        <v>133.66</v>
      </c>
      <c r="G229">
        <v>7.0000000000000007E-2</v>
      </c>
      <c r="H229" t="s">
        <v>19</v>
      </c>
      <c r="I229" s="13">
        <v>-5.6</v>
      </c>
      <c r="J229">
        <v>5.85</v>
      </c>
      <c r="K229">
        <v>2.27</v>
      </c>
      <c r="L229" t="s">
        <v>141</v>
      </c>
      <c r="M229" t="s">
        <v>135</v>
      </c>
      <c r="N229" s="5" t="s">
        <v>86</v>
      </c>
      <c r="O229" t="s">
        <v>28</v>
      </c>
      <c r="P229" t="s">
        <v>21</v>
      </c>
      <c r="Q229" t="s">
        <v>50</v>
      </c>
      <c r="R229">
        <v>0.56000000000000005</v>
      </c>
      <c r="S229" s="1">
        <v>41144</v>
      </c>
      <c r="T229" t="str">
        <f t="shared" si="7"/>
        <v>23-Aug-2012</v>
      </c>
    </row>
    <row r="230" spans="1:20" x14ac:dyDescent="0.3">
      <c r="A230">
        <v>24003</v>
      </c>
      <c r="B230" s="1">
        <v>40117</v>
      </c>
      <c r="C230" t="s">
        <v>43</v>
      </c>
      <c r="D230" t="str">
        <f t="shared" si="6"/>
        <v>31-Oct-2009</v>
      </c>
      <c r="E230">
        <v>4</v>
      </c>
      <c r="F230" s="13">
        <v>129.78649999999999</v>
      </c>
      <c r="G230">
        <v>0.05</v>
      </c>
      <c r="H230" t="s">
        <v>35</v>
      </c>
      <c r="I230" s="13">
        <v>-116.51</v>
      </c>
      <c r="J230">
        <v>35.99</v>
      </c>
      <c r="K230">
        <v>5.99</v>
      </c>
      <c r="L230" t="s">
        <v>226</v>
      </c>
      <c r="M230" t="s">
        <v>135</v>
      </c>
      <c r="N230" s="5" t="s">
        <v>86</v>
      </c>
      <c r="O230" t="s">
        <v>28</v>
      </c>
      <c r="P230" t="s">
        <v>29</v>
      </c>
      <c r="Q230" t="s">
        <v>30</v>
      </c>
      <c r="R230">
        <v>0.38</v>
      </c>
      <c r="S230" s="1">
        <v>40119</v>
      </c>
      <c r="T230" t="str">
        <f t="shared" si="7"/>
        <v>02-Nov-2009</v>
      </c>
    </row>
    <row r="231" spans="1:20" x14ac:dyDescent="0.3">
      <c r="A231">
        <v>5511</v>
      </c>
      <c r="B231" s="1">
        <v>40145</v>
      </c>
      <c r="C231" t="s">
        <v>43</v>
      </c>
      <c r="D231" t="str">
        <f t="shared" si="6"/>
        <v>28-Nov-2009</v>
      </c>
      <c r="E231">
        <v>46</v>
      </c>
      <c r="F231" s="13">
        <v>129.44</v>
      </c>
      <c r="G231">
        <v>0.02</v>
      </c>
      <c r="H231" t="s">
        <v>35</v>
      </c>
      <c r="I231" s="13">
        <v>-5.54</v>
      </c>
      <c r="J231">
        <v>2.58</v>
      </c>
      <c r="K231">
        <v>1.3</v>
      </c>
      <c r="L231" t="s">
        <v>140</v>
      </c>
      <c r="M231" t="s">
        <v>135</v>
      </c>
      <c r="N231" s="5" t="s">
        <v>86</v>
      </c>
      <c r="O231" t="s">
        <v>28</v>
      </c>
      <c r="P231" t="s">
        <v>21</v>
      </c>
      <c r="Q231" t="s">
        <v>50</v>
      </c>
      <c r="R231">
        <v>0.59</v>
      </c>
      <c r="S231" s="1">
        <v>40146</v>
      </c>
      <c r="T231" t="str">
        <f t="shared" si="7"/>
        <v>29-Nov-2009</v>
      </c>
    </row>
    <row r="232" spans="1:20" x14ac:dyDescent="0.3">
      <c r="A232">
        <v>24067</v>
      </c>
      <c r="B232" s="1">
        <v>41143</v>
      </c>
      <c r="C232" t="s">
        <v>23</v>
      </c>
      <c r="D232" t="str">
        <f t="shared" si="6"/>
        <v>22-Aug-2012</v>
      </c>
      <c r="E232">
        <v>30</v>
      </c>
      <c r="F232" s="13">
        <v>128.25</v>
      </c>
      <c r="G232">
        <v>7.0000000000000007E-2</v>
      </c>
      <c r="H232" t="s">
        <v>35</v>
      </c>
      <c r="I232" s="13">
        <v>-95.31</v>
      </c>
      <c r="J232">
        <v>3.98</v>
      </c>
      <c r="K232">
        <v>5.26</v>
      </c>
      <c r="L232" t="s">
        <v>97</v>
      </c>
      <c r="M232" t="s">
        <v>135</v>
      </c>
      <c r="N232" s="5" t="s">
        <v>86</v>
      </c>
      <c r="O232" t="s">
        <v>28</v>
      </c>
      <c r="P232" t="s">
        <v>21</v>
      </c>
      <c r="Q232" t="s">
        <v>26</v>
      </c>
      <c r="R232">
        <v>0.38</v>
      </c>
      <c r="S232" s="1">
        <v>41145</v>
      </c>
      <c r="T232" t="str">
        <f t="shared" si="7"/>
        <v>24-Aug-2012</v>
      </c>
    </row>
    <row r="233" spans="1:20" x14ac:dyDescent="0.3">
      <c r="A233">
        <v>10245</v>
      </c>
      <c r="B233" s="1">
        <v>40587</v>
      </c>
      <c r="C233" t="s">
        <v>38</v>
      </c>
      <c r="D233" t="str">
        <f t="shared" si="6"/>
        <v>13-Feb-2011</v>
      </c>
      <c r="E233">
        <v>23</v>
      </c>
      <c r="F233" s="13">
        <v>127.17</v>
      </c>
      <c r="G233">
        <v>0.1</v>
      </c>
      <c r="H233" t="s">
        <v>19</v>
      </c>
      <c r="I233" s="13">
        <v>-108.13</v>
      </c>
      <c r="J233">
        <v>5.53</v>
      </c>
      <c r="K233">
        <v>6.98</v>
      </c>
      <c r="L233" t="s">
        <v>228</v>
      </c>
      <c r="M233" t="s">
        <v>135</v>
      </c>
      <c r="N233" s="5" t="s">
        <v>86</v>
      </c>
      <c r="O233" t="s">
        <v>28</v>
      </c>
      <c r="P233" t="s">
        <v>21</v>
      </c>
      <c r="Q233" t="s">
        <v>26</v>
      </c>
      <c r="R233">
        <v>0.39</v>
      </c>
      <c r="S233" s="1">
        <v>40589</v>
      </c>
      <c r="T233" t="str">
        <f t="shared" si="7"/>
        <v>15-Feb-2011</v>
      </c>
    </row>
    <row r="234" spans="1:20" x14ac:dyDescent="0.3">
      <c r="A234">
        <v>15619</v>
      </c>
      <c r="B234" s="1">
        <v>40722</v>
      </c>
      <c r="C234" t="s">
        <v>18</v>
      </c>
      <c r="D234" t="str">
        <f t="shared" si="6"/>
        <v>28-Jun-2011</v>
      </c>
      <c r="E234">
        <v>36</v>
      </c>
      <c r="F234" s="13">
        <v>123.13</v>
      </c>
      <c r="G234">
        <v>0.05</v>
      </c>
      <c r="H234" t="s">
        <v>35</v>
      </c>
      <c r="I234" s="13">
        <v>20.57</v>
      </c>
      <c r="J234">
        <v>3.29</v>
      </c>
      <c r="K234">
        <v>1.35</v>
      </c>
      <c r="L234" t="s">
        <v>244</v>
      </c>
      <c r="M234" t="s">
        <v>135</v>
      </c>
      <c r="N234" s="5" t="s">
        <v>86</v>
      </c>
      <c r="O234" t="s">
        <v>28</v>
      </c>
      <c r="P234" t="s">
        <v>21</v>
      </c>
      <c r="Q234" t="s">
        <v>39</v>
      </c>
      <c r="R234">
        <v>0.4</v>
      </c>
      <c r="S234" s="1">
        <v>40726</v>
      </c>
      <c r="T234" t="str">
        <f t="shared" si="7"/>
        <v>02-Jul-2011</v>
      </c>
    </row>
    <row r="235" spans="1:20" x14ac:dyDescent="0.3">
      <c r="A235">
        <v>37287</v>
      </c>
      <c r="B235" s="1">
        <v>41214</v>
      </c>
      <c r="C235" t="s">
        <v>18</v>
      </c>
      <c r="D235" t="str">
        <f t="shared" si="6"/>
        <v>01-Nov-2012</v>
      </c>
      <c r="E235">
        <v>18</v>
      </c>
      <c r="F235" s="13">
        <v>122.41</v>
      </c>
      <c r="G235">
        <v>0.09</v>
      </c>
      <c r="H235" t="s">
        <v>19</v>
      </c>
      <c r="I235" s="13">
        <v>2.37</v>
      </c>
      <c r="J235">
        <v>6.64</v>
      </c>
      <c r="K235">
        <v>4.95</v>
      </c>
      <c r="L235" t="s">
        <v>232</v>
      </c>
      <c r="M235" t="s">
        <v>135</v>
      </c>
      <c r="N235" s="5" t="s">
        <v>86</v>
      </c>
      <c r="O235" t="s">
        <v>28</v>
      </c>
      <c r="P235" t="s">
        <v>32</v>
      </c>
      <c r="Q235" t="s">
        <v>33</v>
      </c>
      <c r="R235">
        <v>0.37</v>
      </c>
      <c r="S235" s="1">
        <v>41218</v>
      </c>
      <c r="T235" t="str">
        <f t="shared" si="7"/>
        <v>05-Nov-2012</v>
      </c>
    </row>
    <row r="236" spans="1:20" x14ac:dyDescent="0.3">
      <c r="A236">
        <v>45155</v>
      </c>
      <c r="B236" s="1">
        <v>40589</v>
      </c>
      <c r="C236" t="s">
        <v>18</v>
      </c>
      <c r="D236" t="str">
        <f t="shared" si="6"/>
        <v>15-Feb-2011</v>
      </c>
      <c r="E236">
        <v>35</v>
      </c>
      <c r="F236" s="13">
        <v>111.55</v>
      </c>
      <c r="G236">
        <v>0.05</v>
      </c>
      <c r="H236" t="s">
        <v>19</v>
      </c>
      <c r="I236" s="13">
        <v>-54.25</v>
      </c>
      <c r="J236">
        <v>3.14</v>
      </c>
      <c r="K236">
        <v>1.92</v>
      </c>
      <c r="L236" t="s">
        <v>124</v>
      </c>
      <c r="M236" t="s">
        <v>135</v>
      </c>
      <c r="N236" s="5" t="s">
        <v>86</v>
      </c>
      <c r="O236" t="s">
        <v>28</v>
      </c>
      <c r="P236" t="s">
        <v>21</v>
      </c>
      <c r="Q236" t="s">
        <v>67</v>
      </c>
      <c r="R236">
        <v>0.84</v>
      </c>
      <c r="S236" s="1">
        <v>40589</v>
      </c>
      <c r="T236" t="str">
        <f t="shared" si="7"/>
        <v>15-Feb-2011</v>
      </c>
    </row>
    <row r="237" spans="1:20" x14ac:dyDescent="0.3">
      <c r="A237">
        <v>56768</v>
      </c>
      <c r="B237" s="1">
        <v>40751</v>
      </c>
      <c r="C237" t="s">
        <v>43</v>
      </c>
      <c r="D237" t="str">
        <f t="shared" si="6"/>
        <v>27-Jul-2011</v>
      </c>
      <c r="E237">
        <v>37</v>
      </c>
      <c r="F237" s="13">
        <v>111.39</v>
      </c>
      <c r="G237">
        <v>0.02</v>
      </c>
      <c r="H237" t="s">
        <v>19</v>
      </c>
      <c r="I237" s="13">
        <v>20.059999999999999</v>
      </c>
      <c r="J237">
        <v>2.88</v>
      </c>
      <c r="K237">
        <v>0.7</v>
      </c>
      <c r="L237" t="s">
        <v>229</v>
      </c>
      <c r="M237" t="s">
        <v>135</v>
      </c>
      <c r="N237" s="5" t="s">
        <v>86</v>
      </c>
      <c r="O237" t="s">
        <v>28</v>
      </c>
      <c r="P237" t="s">
        <v>21</v>
      </c>
      <c r="Q237" t="s">
        <v>50</v>
      </c>
      <c r="R237">
        <v>0.56000000000000005</v>
      </c>
      <c r="S237" s="1">
        <v>40753</v>
      </c>
      <c r="T237" t="str">
        <f t="shared" si="7"/>
        <v>29-Jul-2011</v>
      </c>
    </row>
    <row r="238" spans="1:20" x14ac:dyDescent="0.3">
      <c r="A238">
        <v>56901</v>
      </c>
      <c r="B238" s="1">
        <v>40067</v>
      </c>
      <c r="C238" t="s">
        <v>43</v>
      </c>
      <c r="D238" t="str">
        <f t="shared" si="6"/>
        <v>11-Sep-2009</v>
      </c>
      <c r="E238">
        <v>36</v>
      </c>
      <c r="F238" s="13">
        <v>100.68</v>
      </c>
      <c r="G238">
        <v>0</v>
      </c>
      <c r="H238" t="s">
        <v>19</v>
      </c>
      <c r="I238" s="13">
        <v>-45.21</v>
      </c>
      <c r="J238">
        <v>2.6</v>
      </c>
      <c r="K238">
        <v>2.4</v>
      </c>
      <c r="L238" t="s">
        <v>137</v>
      </c>
      <c r="M238" t="s">
        <v>135</v>
      </c>
      <c r="N238" s="5" t="s">
        <v>86</v>
      </c>
      <c r="O238" t="s">
        <v>28</v>
      </c>
      <c r="P238" t="s">
        <v>21</v>
      </c>
      <c r="Q238" t="s">
        <v>50</v>
      </c>
      <c r="R238">
        <v>0.57999999999999996</v>
      </c>
      <c r="S238" s="1">
        <v>40069</v>
      </c>
      <c r="T238" t="str">
        <f t="shared" si="7"/>
        <v>13-Sep-2009</v>
      </c>
    </row>
    <row r="239" spans="1:20" x14ac:dyDescent="0.3">
      <c r="A239">
        <v>52934</v>
      </c>
      <c r="B239" s="1">
        <v>40751</v>
      </c>
      <c r="C239" t="s">
        <v>43</v>
      </c>
      <c r="D239" t="str">
        <f t="shared" si="6"/>
        <v>27-Jul-2011</v>
      </c>
      <c r="E239">
        <v>20</v>
      </c>
      <c r="F239" s="13">
        <v>92.15</v>
      </c>
      <c r="G239">
        <v>0.08</v>
      </c>
      <c r="H239" t="s">
        <v>19</v>
      </c>
      <c r="I239" s="13">
        <v>36.979999999999997</v>
      </c>
      <c r="J239">
        <v>4.91</v>
      </c>
      <c r="K239">
        <v>0.5</v>
      </c>
      <c r="L239" t="s">
        <v>236</v>
      </c>
      <c r="M239" t="s">
        <v>135</v>
      </c>
      <c r="N239" s="5" t="s">
        <v>86</v>
      </c>
      <c r="O239" t="s">
        <v>28</v>
      </c>
      <c r="P239" t="s">
        <v>21</v>
      </c>
      <c r="Q239" t="s">
        <v>48</v>
      </c>
      <c r="R239">
        <v>0.36</v>
      </c>
      <c r="S239" s="1">
        <v>40752</v>
      </c>
      <c r="T239" t="str">
        <f t="shared" si="7"/>
        <v>28-Jul-2011</v>
      </c>
    </row>
    <row r="240" spans="1:20" x14ac:dyDescent="0.3">
      <c r="A240">
        <v>58884</v>
      </c>
      <c r="B240" s="1">
        <v>40623</v>
      </c>
      <c r="C240" t="s">
        <v>18</v>
      </c>
      <c r="D240" t="str">
        <f t="shared" si="6"/>
        <v>21-Mar-2011</v>
      </c>
      <c r="E240">
        <v>29</v>
      </c>
      <c r="F240" s="13">
        <v>87.68</v>
      </c>
      <c r="G240">
        <v>0.03</v>
      </c>
      <c r="H240" t="s">
        <v>19</v>
      </c>
      <c r="I240" s="13">
        <v>23.14</v>
      </c>
      <c r="J240">
        <v>2.88</v>
      </c>
      <c r="K240">
        <v>0.99</v>
      </c>
      <c r="L240" t="s">
        <v>132</v>
      </c>
      <c r="M240" t="s">
        <v>135</v>
      </c>
      <c r="N240" s="5" t="s">
        <v>86</v>
      </c>
      <c r="O240" t="s">
        <v>28</v>
      </c>
      <c r="P240" t="s">
        <v>21</v>
      </c>
      <c r="Q240" t="s">
        <v>48</v>
      </c>
      <c r="R240">
        <v>0.36</v>
      </c>
      <c r="S240" s="1">
        <v>40628</v>
      </c>
      <c r="T240" t="str">
        <f t="shared" si="7"/>
        <v>26-Mar-2011</v>
      </c>
    </row>
    <row r="241" spans="1:20" x14ac:dyDescent="0.3">
      <c r="A241">
        <v>9925</v>
      </c>
      <c r="B241" s="1">
        <v>40938</v>
      </c>
      <c r="C241" t="s">
        <v>43</v>
      </c>
      <c r="D241" t="str">
        <f t="shared" si="6"/>
        <v>30-Jan-2012</v>
      </c>
      <c r="E241">
        <v>17</v>
      </c>
      <c r="F241" s="13">
        <v>86.47</v>
      </c>
      <c r="G241">
        <v>7.0000000000000007E-2</v>
      </c>
      <c r="H241" t="s">
        <v>19</v>
      </c>
      <c r="I241" s="13">
        <v>-9.35</v>
      </c>
      <c r="J241">
        <v>5.28</v>
      </c>
      <c r="K241">
        <v>2.99</v>
      </c>
      <c r="L241" t="s">
        <v>143</v>
      </c>
      <c r="M241" t="s">
        <v>135</v>
      </c>
      <c r="N241" s="5" t="s">
        <v>86</v>
      </c>
      <c r="O241" t="s">
        <v>28</v>
      </c>
      <c r="P241" t="s">
        <v>21</v>
      </c>
      <c r="Q241" t="s">
        <v>26</v>
      </c>
      <c r="R241">
        <v>0.37</v>
      </c>
      <c r="S241" s="1">
        <v>40940</v>
      </c>
      <c r="T241" t="str">
        <f t="shared" si="7"/>
        <v>01-Feb-2012</v>
      </c>
    </row>
    <row r="242" spans="1:20" x14ac:dyDescent="0.3">
      <c r="A242">
        <v>45984</v>
      </c>
      <c r="B242" s="1">
        <v>40935</v>
      </c>
      <c r="C242" t="s">
        <v>38</v>
      </c>
      <c r="D242" t="str">
        <f t="shared" si="6"/>
        <v>27-Jan-2012</v>
      </c>
      <c r="E242">
        <v>27</v>
      </c>
      <c r="F242" s="13">
        <v>80.33</v>
      </c>
      <c r="G242">
        <v>0.01</v>
      </c>
      <c r="H242" t="s">
        <v>19</v>
      </c>
      <c r="I242" s="13">
        <v>2.4900000000000002</v>
      </c>
      <c r="J242">
        <v>2.94</v>
      </c>
      <c r="K242">
        <v>0.96</v>
      </c>
      <c r="L242" t="s">
        <v>211</v>
      </c>
      <c r="M242" t="s">
        <v>135</v>
      </c>
      <c r="N242" s="5" t="s">
        <v>86</v>
      </c>
      <c r="O242" t="s">
        <v>28</v>
      </c>
      <c r="P242" t="s">
        <v>21</v>
      </c>
      <c r="Q242" t="s">
        <v>50</v>
      </c>
      <c r="R242">
        <v>0.57999999999999996</v>
      </c>
      <c r="S242" s="1">
        <v>40937</v>
      </c>
      <c r="T242" t="str">
        <f t="shared" si="7"/>
        <v>29-Jan-2012</v>
      </c>
    </row>
    <row r="243" spans="1:20" x14ac:dyDescent="0.3">
      <c r="A243">
        <v>18432</v>
      </c>
      <c r="B243" s="1">
        <v>40614</v>
      </c>
      <c r="C243" t="s">
        <v>23</v>
      </c>
      <c r="D243" t="str">
        <f t="shared" si="6"/>
        <v>12-Mar-2011</v>
      </c>
      <c r="E243">
        <v>12</v>
      </c>
      <c r="F243" s="13">
        <v>76.42</v>
      </c>
      <c r="G243">
        <v>0.02</v>
      </c>
      <c r="H243" t="s">
        <v>35</v>
      </c>
      <c r="I243" s="13">
        <v>20.440000000000001</v>
      </c>
      <c r="J243">
        <v>5.84</v>
      </c>
      <c r="K243">
        <v>0.83</v>
      </c>
      <c r="L243" t="s">
        <v>140</v>
      </c>
      <c r="M243" t="s">
        <v>135</v>
      </c>
      <c r="N243" s="5" t="s">
        <v>86</v>
      </c>
      <c r="O243" t="s">
        <v>28</v>
      </c>
      <c r="P243" t="s">
        <v>21</v>
      </c>
      <c r="Q243" t="s">
        <v>50</v>
      </c>
      <c r="R243">
        <v>0.49</v>
      </c>
      <c r="S243" s="1">
        <v>40616</v>
      </c>
      <c r="T243" t="str">
        <f t="shared" si="7"/>
        <v>14-Mar-2011</v>
      </c>
    </row>
    <row r="244" spans="1:20" x14ac:dyDescent="0.3">
      <c r="A244">
        <v>55425</v>
      </c>
      <c r="B244" s="1">
        <v>40848</v>
      </c>
      <c r="C244" t="s">
        <v>43</v>
      </c>
      <c r="D244" t="str">
        <f t="shared" si="6"/>
        <v>01-Nov-2011</v>
      </c>
      <c r="E244">
        <v>7</v>
      </c>
      <c r="F244" s="13">
        <v>73.86</v>
      </c>
      <c r="G244">
        <v>0.08</v>
      </c>
      <c r="H244" t="s">
        <v>19</v>
      </c>
      <c r="I244" s="13">
        <v>-52.49</v>
      </c>
      <c r="J244">
        <v>9.7100000000000009</v>
      </c>
      <c r="K244">
        <v>9.4499999999999993</v>
      </c>
      <c r="L244" t="s">
        <v>237</v>
      </c>
      <c r="M244" t="s">
        <v>135</v>
      </c>
      <c r="N244" s="5" t="s">
        <v>86</v>
      </c>
      <c r="O244" t="s">
        <v>28</v>
      </c>
      <c r="P244" t="s">
        <v>21</v>
      </c>
      <c r="Q244" t="s">
        <v>22</v>
      </c>
      <c r="R244">
        <v>0.6</v>
      </c>
      <c r="S244" s="1">
        <v>40849</v>
      </c>
      <c r="T244" t="str">
        <f t="shared" si="7"/>
        <v>02-Nov-2011</v>
      </c>
    </row>
    <row r="245" spans="1:20" x14ac:dyDescent="0.3">
      <c r="A245">
        <v>48452</v>
      </c>
      <c r="B245" s="1">
        <v>40460</v>
      </c>
      <c r="C245" t="s">
        <v>23</v>
      </c>
      <c r="D245" t="str">
        <f t="shared" si="6"/>
        <v>09-Oct-2010</v>
      </c>
      <c r="E245">
        <v>15</v>
      </c>
      <c r="F245" s="13">
        <v>73.41</v>
      </c>
      <c r="G245">
        <v>0.08</v>
      </c>
      <c r="H245" t="s">
        <v>19</v>
      </c>
      <c r="I245" s="13">
        <v>-44.79</v>
      </c>
      <c r="J245">
        <v>4.91</v>
      </c>
      <c r="K245">
        <v>4.97</v>
      </c>
      <c r="L245" t="s">
        <v>120</v>
      </c>
      <c r="M245" t="s">
        <v>135</v>
      </c>
      <c r="N245" s="5" t="s">
        <v>86</v>
      </c>
      <c r="O245" t="s">
        <v>28</v>
      </c>
      <c r="P245" t="s">
        <v>21</v>
      </c>
      <c r="Q245" t="s">
        <v>26</v>
      </c>
      <c r="R245">
        <v>0.38</v>
      </c>
      <c r="S245" s="1">
        <v>40462</v>
      </c>
      <c r="T245" t="str">
        <f t="shared" si="7"/>
        <v>11-Oct-2010</v>
      </c>
    </row>
    <row r="246" spans="1:20" x14ac:dyDescent="0.3">
      <c r="A246">
        <v>27335</v>
      </c>
      <c r="B246" s="1">
        <v>40488</v>
      </c>
      <c r="C246" t="s">
        <v>18</v>
      </c>
      <c r="D246" t="str">
        <f t="shared" si="6"/>
        <v>06-Nov-2010</v>
      </c>
      <c r="E246">
        <v>23</v>
      </c>
      <c r="F246" s="13">
        <v>67.47</v>
      </c>
      <c r="G246">
        <v>0.03</v>
      </c>
      <c r="H246" t="s">
        <v>19</v>
      </c>
      <c r="I246" s="13">
        <v>-100.6</v>
      </c>
      <c r="J246">
        <v>2.66</v>
      </c>
      <c r="K246">
        <v>6.35</v>
      </c>
      <c r="L246" t="s">
        <v>219</v>
      </c>
      <c r="M246" t="s">
        <v>135</v>
      </c>
      <c r="N246" s="5" t="s">
        <v>86</v>
      </c>
      <c r="O246" t="s">
        <v>28</v>
      </c>
      <c r="P246" t="s">
        <v>21</v>
      </c>
      <c r="Q246" t="s">
        <v>42</v>
      </c>
      <c r="R246">
        <v>0.36</v>
      </c>
      <c r="S246" s="1">
        <v>40488</v>
      </c>
      <c r="T246" t="str">
        <f t="shared" si="7"/>
        <v>06-Nov-2010</v>
      </c>
    </row>
    <row r="247" spans="1:20" x14ac:dyDescent="0.3">
      <c r="A247">
        <v>38341</v>
      </c>
      <c r="B247" s="1">
        <v>39951</v>
      </c>
      <c r="C247" t="s">
        <v>38</v>
      </c>
      <c r="D247" t="str">
        <f t="shared" si="6"/>
        <v>18-May-2009</v>
      </c>
      <c r="E247">
        <v>5</v>
      </c>
      <c r="F247" s="13">
        <v>64.25</v>
      </c>
      <c r="G247">
        <v>7.0000000000000007E-2</v>
      </c>
      <c r="H247" t="s">
        <v>19</v>
      </c>
      <c r="I247" s="13">
        <v>-7.94</v>
      </c>
      <c r="J247">
        <v>12.28</v>
      </c>
      <c r="K247">
        <v>4.8600000000000003</v>
      </c>
      <c r="L247" t="s">
        <v>246</v>
      </c>
      <c r="M247" t="s">
        <v>135</v>
      </c>
      <c r="N247" s="5" t="s">
        <v>86</v>
      </c>
      <c r="O247" t="s">
        <v>28</v>
      </c>
      <c r="P247" t="s">
        <v>21</v>
      </c>
      <c r="Q247" t="s">
        <v>37</v>
      </c>
      <c r="R247">
        <v>0.38</v>
      </c>
      <c r="S247" s="1">
        <v>39953</v>
      </c>
      <c r="T247" t="str">
        <f t="shared" si="7"/>
        <v>20-May-2009</v>
      </c>
    </row>
    <row r="248" spans="1:20" x14ac:dyDescent="0.3">
      <c r="A248">
        <v>9923</v>
      </c>
      <c r="B248" s="1">
        <v>40091</v>
      </c>
      <c r="C248" t="s">
        <v>23</v>
      </c>
      <c r="D248" t="str">
        <f t="shared" si="6"/>
        <v>05-Oct-2009</v>
      </c>
      <c r="E248">
        <v>27</v>
      </c>
      <c r="F248" s="13">
        <v>63.71</v>
      </c>
      <c r="G248">
        <v>0.01</v>
      </c>
      <c r="H248" t="s">
        <v>19</v>
      </c>
      <c r="I248" s="13">
        <v>-96.03</v>
      </c>
      <c r="J248">
        <v>2.08</v>
      </c>
      <c r="K248">
        <v>5.33</v>
      </c>
      <c r="L248" t="s">
        <v>143</v>
      </c>
      <c r="M248" t="s">
        <v>135</v>
      </c>
      <c r="N248" s="5" t="s">
        <v>86</v>
      </c>
      <c r="O248" t="s">
        <v>28</v>
      </c>
      <c r="P248" t="s">
        <v>32</v>
      </c>
      <c r="Q248" t="s">
        <v>33</v>
      </c>
      <c r="R248">
        <v>0.43</v>
      </c>
      <c r="S248" s="1">
        <v>40091</v>
      </c>
      <c r="T248" t="str">
        <f t="shared" si="7"/>
        <v>05-Oct-2009</v>
      </c>
    </row>
    <row r="249" spans="1:20" x14ac:dyDescent="0.3">
      <c r="A249">
        <v>38341</v>
      </c>
      <c r="B249" s="1">
        <v>39951</v>
      </c>
      <c r="C249" t="s">
        <v>38</v>
      </c>
      <c r="D249" t="str">
        <f t="shared" si="6"/>
        <v>18-May-2009</v>
      </c>
      <c r="E249">
        <v>15</v>
      </c>
      <c r="F249" s="13">
        <v>62.62</v>
      </c>
      <c r="G249">
        <v>0.1</v>
      </c>
      <c r="H249" t="s">
        <v>35</v>
      </c>
      <c r="I249" s="13">
        <v>-67.06</v>
      </c>
      <c r="J249">
        <v>3.36</v>
      </c>
      <c r="K249">
        <v>6.27</v>
      </c>
      <c r="L249" t="s">
        <v>246</v>
      </c>
      <c r="M249" t="s">
        <v>135</v>
      </c>
      <c r="N249" s="5" t="s">
        <v>86</v>
      </c>
      <c r="O249" t="s">
        <v>28</v>
      </c>
      <c r="P249" t="s">
        <v>21</v>
      </c>
      <c r="Q249" t="s">
        <v>26</v>
      </c>
      <c r="R249">
        <v>0.4</v>
      </c>
      <c r="S249" s="1">
        <v>39952</v>
      </c>
      <c r="T249" t="str">
        <f t="shared" si="7"/>
        <v>19-May-2009</v>
      </c>
    </row>
    <row r="250" spans="1:20" x14ac:dyDescent="0.3">
      <c r="A250">
        <v>18951</v>
      </c>
      <c r="B250" s="1">
        <v>40723</v>
      </c>
      <c r="C250" t="s">
        <v>43</v>
      </c>
      <c r="D250" t="str">
        <f t="shared" si="6"/>
        <v>29-Jun-2011</v>
      </c>
      <c r="E250">
        <v>16</v>
      </c>
      <c r="F250" s="13">
        <v>61.5</v>
      </c>
      <c r="G250">
        <v>0.09</v>
      </c>
      <c r="H250" t="s">
        <v>19</v>
      </c>
      <c r="I250" s="13">
        <v>-16.27</v>
      </c>
      <c r="J250">
        <v>3.98</v>
      </c>
      <c r="K250">
        <v>2.97</v>
      </c>
      <c r="L250" t="s">
        <v>228</v>
      </c>
      <c r="M250" t="s">
        <v>135</v>
      </c>
      <c r="N250" s="5" t="s">
        <v>86</v>
      </c>
      <c r="O250" t="s">
        <v>28</v>
      </c>
      <c r="P250" t="s">
        <v>21</v>
      </c>
      <c r="Q250" t="s">
        <v>37</v>
      </c>
      <c r="R250">
        <v>0.35</v>
      </c>
      <c r="S250" s="1">
        <v>40724</v>
      </c>
      <c r="T250" t="str">
        <f t="shared" si="7"/>
        <v>30-Jun-2011</v>
      </c>
    </row>
    <row r="251" spans="1:20" x14ac:dyDescent="0.3">
      <c r="A251">
        <v>36800</v>
      </c>
      <c r="B251" s="1">
        <v>40431</v>
      </c>
      <c r="C251" t="s">
        <v>23</v>
      </c>
      <c r="D251" t="str">
        <f t="shared" si="6"/>
        <v>10-Sep-2010</v>
      </c>
      <c r="E251">
        <v>4</v>
      </c>
      <c r="F251" s="13">
        <v>58.44</v>
      </c>
      <c r="G251">
        <v>0.05</v>
      </c>
      <c r="H251" t="s">
        <v>35</v>
      </c>
      <c r="I251" s="13">
        <v>-7.04</v>
      </c>
      <c r="J251">
        <v>10.89</v>
      </c>
      <c r="K251">
        <v>4.5</v>
      </c>
      <c r="L251" t="s">
        <v>221</v>
      </c>
      <c r="M251" t="s">
        <v>135</v>
      </c>
      <c r="N251" s="5" t="s">
        <v>86</v>
      </c>
      <c r="O251" t="s">
        <v>28</v>
      </c>
      <c r="P251" t="s">
        <v>21</v>
      </c>
      <c r="Q251" t="s">
        <v>25</v>
      </c>
      <c r="R251">
        <v>0.59</v>
      </c>
      <c r="S251" s="1">
        <v>40432</v>
      </c>
      <c r="T251" t="str">
        <f t="shared" si="7"/>
        <v>11-Sep-2010</v>
      </c>
    </row>
    <row r="252" spans="1:20" x14ac:dyDescent="0.3">
      <c r="A252">
        <v>48452</v>
      </c>
      <c r="B252" s="1">
        <v>40460</v>
      </c>
      <c r="C252" t="s">
        <v>23</v>
      </c>
      <c r="D252" t="str">
        <f t="shared" si="6"/>
        <v>09-Oct-2010</v>
      </c>
      <c r="E252">
        <v>28</v>
      </c>
      <c r="F252" s="13">
        <v>43.66</v>
      </c>
      <c r="G252">
        <v>0.04</v>
      </c>
      <c r="H252" t="s">
        <v>19</v>
      </c>
      <c r="I252" s="13">
        <v>5.77</v>
      </c>
      <c r="J252">
        <v>1.48</v>
      </c>
      <c r="K252">
        <v>0.7</v>
      </c>
      <c r="L252" t="s">
        <v>120</v>
      </c>
      <c r="M252" t="s">
        <v>135</v>
      </c>
      <c r="N252" s="5" t="s">
        <v>86</v>
      </c>
      <c r="O252" t="s">
        <v>28</v>
      </c>
      <c r="P252" t="s">
        <v>21</v>
      </c>
      <c r="Q252" t="s">
        <v>39</v>
      </c>
      <c r="R252">
        <v>0.37</v>
      </c>
      <c r="S252" s="1">
        <v>40462</v>
      </c>
      <c r="T252" t="str">
        <f t="shared" si="7"/>
        <v>11-Oct-2010</v>
      </c>
    </row>
    <row r="253" spans="1:20" x14ac:dyDescent="0.3">
      <c r="A253">
        <v>20386</v>
      </c>
      <c r="B253" s="1">
        <v>40236</v>
      </c>
      <c r="C253" t="s">
        <v>43</v>
      </c>
      <c r="D253" t="str">
        <f t="shared" si="6"/>
        <v>27-Feb-2010</v>
      </c>
      <c r="E253">
        <v>35</v>
      </c>
      <c r="F253" s="13">
        <v>41.23</v>
      </c>
      <c r="G253">
        <v>0.09</v>
      </c>
      <c r="H253" t="s">
        <v>19</v>
      </c>
      <c r="I253" s="13">
        <v>-21.51</v>
      </c>
      <c r="J253">
        <v>1.26</v>
      </c>
      <c r="K253">
        <v>0.7</v>
      </c>
      <c r="L253" t="s">
        <v>147</v>
      </c>
      <c r="M253" t="s">
        <v>135</v>
      </c>
      <c r="N253" s="5" t="s">
        <v>86</v>
      </c>
      <c r="O253" t="s">
        <v>28</v>
      </c>
      <c r="P253" t="s">
        <v>21</v>
      </c>
      <c r="Q253" t="s">
        <v>39</v>
      </c>
      <c r="R253">
        <v>0.81</v>
      </c>
      <c r="S253" s="1">
        <v>40236</v>
      </c>
      <c r="T253" t="str">
        <f t="shared" si="7"/>
        <v>27-Feb-2010</v>
      </c>
    </row>
    <row r="254" spans="1:20" x14ac:dyDescent="0.3">
      <c r="A254">
        <v>964</v>
      </c>
      <c r="B254" s="1">
        <v>40682</v>
      </c>
      <c r="C254" t="s">
        <v>38</v>
      </c>
      <c r="D254" t="str">
        <f t="shared" si="6"/>
        <v>19-May-2011</v>
      </c>
      <c r="E254">
        <v>4</v>
      </c>
      <c r="F254" s="13">
        <v>40.020000000000003</v>
      </c>
      <c r="G254">
        <v>0.02</v>
      </c>
      <c r="H254" t="s">
        <v>19</v>
      </c>
      <c r="I254" s="13">
        <v>-1.28</v>
      </c>
      <c r="J254">
        <v>9.93</v>
      </c>
      <c r="K254">
        <v>1.0900000000000001</v>
      </c>
      <c r="L254" t="s">
        <v>239</v>
      </c>
      <c r="M254" t="s">
        <v>135</v>
      </c>
      <c r="N254" s="5" t="s">
        <v>86</v>
      </c>
      <c r="O254" t="s">
        <v>28</v>
      </c>
      <c r="P254" t="s">
        <v>21</v>
      </c>
      <c r="Q254" t="s">
        <v>50</v>
      </c>
      <c r="R254">
        <v>0.43</v>
      </c>
      <c r="S254" s="1">
        <v>40684</v>
      </c>
      <c r="T254" t="str">
        <f t="shared" si="7"/>
        <v>21-May-2011</v>
      </c>
    </row>
    <row r="255" spans="1:20" x14ac:dyDescent="0.3">
      <c r="A255">
        <v>50208</v>
      </c>
      <c r="B255" s="1">
        <v>40565</v>
      </c>
      <c r="C255" t="s">
        <v>38</v>
      </c>
      <c r="D255" t="str">
        <f t="shared" si="6"/>
        <v>22-Jan-2011</v>
      </c>
      <c r="E255">
        <v>4</v>
      </c>
      <c r="F255" s="13">
        <v>38.76</v>
      </c>
      <c r="G255">
        <v>0.1</v>
      </c>
      <c r="H255" t="s">
        <v>35</v>
      </c>
      <c r="I255" s="13">
        <v>-12.13</v>
      </c>
      <c r="J255">
        <v>6.23</v>
      </c>
      <c r="K255">
        <v>6.97</v>
      </c>
      <c r="L255" t="s">
        <v>128</v>
      </c>
      <c r="M255" t="s">
        <v>135</v>
      </c>
      <c r="N255" s="5" t="s">
        <v>86</v>
      </c>
      <c r="O255" t="s">
        <v>28</v>
      </c>
      <c r="P255" t="s">
        <v>21</v>
      </c>
      <c r="Q255" t="s">
        <v>26</v>
      </c>
      <c r="R255">
        <v>0.36</v>
      </c>
      <c r="S255" s="1">
        <v>40566</v>
      </c>
      <c r="T255" t="str">
        <f t="shared" si="7"/>
        <v>23-Jan-2011</v>
      </c>
    </row>
    <row r="256" spans="1:20" x14ac:dyDescent="0.3">
      <c r="A256">
        <v>29346</v>
      </c>
      <c r="B256" s="1">
        <v>40041</v>
      </c>
      <c r="C256" t="s">
        <v>18</v>
      </c>
      <c r="D256" t="str">
        <f t="shared" si="6"/>
        <v>16-Aug-2009</v>
      </c>
      <c r="E256">
        <v>2</v>
      </c>
      <c r="F256" s="13">
        <v>29.06</v>
      </c>
      <c r="G256">
        <v>0.1</v>
      </c>
      <c r="H256" t="s">
        <v>19</v>
      </c>
      <c r="I256" s="13">
        <v>-16.149999999999999</v>
      </c>
      <c r="J256">
        <v>11.58</v>
      </c>
      <c r="K256">
        <v>6.97</v>
      </c>
      <c r="L256" t="s">
        <v>211</v>
      </c>
      <c r="M256" t="s">
        <v>135</v>
      </c>
      <c r="N256" s="5" t="s">
        <v>86</v>
      </c>
      <c r="O256" t="s">
        <v>28</v>
      </c>
      <c r="P256" t="s">
        <v>21</v>
      </c>
      <c r="Q256" t="s">
        <v>42</v>
      </c>
      <c r="R256">
        <v>0.35</v>
      </c>
      <c r="S256" s="1">
        <v>40045</v>
      </c>
      <c r="T256" t="str">
        <f t="shared" si="7"/>
        <v>20-Aug-2009</v>
      </c>
    </row>
    <row r="257" spans="1:20" x14ac:dyDescent="0.3">
      <c r="A257">
        <v>14021</v>
      </c>
      <c r="B257" s="1">
        <v>40609</v>
      </c>
      <c r="C257" t="s">
        <v>23</v>
      </c>
      <c r="D257" t="str">
        <f t="shared" si="6"/>
        <v>07-Mar-2011</v>
      </c>
      <c r="E257">
        <v>12</v>
      </c>
      <c r="F257" s="13">
        <v>27.05</v>
      </c>
      <c r="G257">
        <v>0</v>
      </c>
      <c r="H257" t="s">
        <v>35</v>
      </c>
      <c r="I257" s="13">
        <v>1</v>
      </c>
      <c r="J257">
        <v>1.82</v>
      </c>
      <c r="K257">
        <v>0.83</v>
      </c>
      <c r="L257" t="s">
        <v>146</v>
      </c>
      <c r="M257" t="s">
        <v>135</v>
      </c>
      <c r="N257" s="5" t="s">
        <v>86</v>
      </c>
      <c r="O257" t="s">
        <v>28</v>
      </c>
      <c r="P257" t="s">
        <v>21</v>
      </c>
      <c r="Q257" t="s">
        <v>50</v>
      </c>
      <c r="R257">
        <v>0.56999999999999995</v>
      </c>
      <c r="S257" s="1">
        <v>40610</v>
      </c>
      <c r="T257" t="str">
        <f t="shared" si="7"/>
        <v>08-Mar-2011</v>
      </c>
    </row>
    <row r="258" spans="1:20" x14ac:dyDescent="0.3">
      <c r="A258">
        <v>51233</v>
      </c>
      <c r="B258" s="1">
        <v>40156</v>
      </c>
      <c r="C258" t="s">
        <v>18</v>
      </c>
      <c r="D258" t="str">
        <f t="shared" ref="D258:D321" si="8">TEXT(B258, "dd-mmm-yyyy" )</f>
        <v>09-Dec-2009</v>
      </c>
      <c r="E258">
        <v>3</v>
      </c>
      <c r="F258" s="13">
        <v>26.5</v>
      </c>
      <c r="G258">
        <v>0.05</v>
      </c>
      <c r="H258" t="s">
        <v>19</v>
      </c>
      <c r="I258" s="13">
        <v>20.12</v>
      </c>
      <c r="J258">
        <v>7.59</v>
      </c>
      <c r="K258">
        <v>4</v>
      </c>
      <c r="L258" t="s">
        <v>227</v>
      </c>
      <c r="M258" t="s">
        <v>135</v>
      </c>
      <c r="N258" s="5" t="s">
        <v>86</v>
      </c>
      <c r="O258" t="s">
        <v>28</v>
      </c>
      <c r="P258" t="s">
        <v>32</v>
      </c>
      <c r="Q258" t="s">
        <v>33</v>
      </c>
      <c r="R258">
        <v>0.42</v>
      </c>
      <c r="S258" s="1">
        <v>40156</v>
      </c>
      <c r="T258" t="str">
        <f t="shared" ref="T258:T321" si="9">TEXT(S258, "dd-mmm-yyyy")</f>
        <v>09-Dec-2009</v>
      </c>
    </row>
    <row r="259" spans="1:20" x14ac:dyDescent="0.3">
      <c r="A259">
        <v>5189</v>
      </c>
      <c r="B259" s="1">
        <v>40507</v>
      </c>
      <c r="C259" t="s">
        <v>18</v>
      </c>
      <c r="D259" t="str">
        <f t="shared" si="8"/>
        <v>25-Nov-2010</v>
      </c>
      <c r="E259">
        <v>8</v>
      </c>
      <c r="F259" s="13">
        <v>24.72</v>
      </c>
      <c r="G259">
        <v>0.06</v>
      </c>
      <c r="H259" t="s">
        <v>19</v>
      </c>
      <c r="I259" s="13">
        <v>-21.47</v>
      </c>
      <c r="J259">
        <v>2.74</v>
      </c>
      <c r="K259">
        <v>3.5</v>
      </c>
      <c r="L259" t="s">
        <v>241</v>
      </c>
      <c r="M259" t="s">
        <v>135</v>
      </c>
      <c r="N259" s="5" t="s">
        <v>86</v>
      </c>
      <c r="O259" t="s">
        <v>28</v>
      </c>
      <c r="P259" t="s">
        <v>21</v>
      </c>
      <c r="Q259" t="s">
        <v>50</v>
      </c>
      <c r="R259">
        <v>0.57999999999999996</v>
      </c>
      <c r="S259" s="1">
        <v>40509</v>
      </c>
      <c r="T259" t="str">
        <f t="shared" si="9"/>
        <v>27-Nov-2010</v>
      </c>
    </row>
    <row r="260" spans="1:20" x14ac:dyDescent="0.3">
      <c r="A260">
        <v>3332</v>
      </c>
      <c r="B260" s="1">
        <v>40121</v>
      </c>
      <c r="C260" t="s">
        <v>43</v>
      </c>
      <c r="D260" t="str">
        <f t="shared" si="8"/>
        <v>04-Nov-2009</v>
      </c>
      <c r="E260">
        <v>6</v>
      </c>
      <c r="F260" s="13">
        <v>22.19</v>
      </c>
      <c r="G260">
        <v>0.01</v>
      </c>
      <c r="H260" t="s">
        <v>19</v>
      </c>
      <c r="I260" s="13">
        <v>-3.51</v>
      </c>
      <c r="J260">
        <v>3.26</v>
      </c>
      <c r="K260">
        <v>1.86</v>
      </c>
      <c r="L260" t="s">
        <v>234</v>
      </c>
      <c r="M260" t="s">
        <v>135</v>
      </c>
      <c r="N260" s="5" t="s">
        <v>86</v>
      </c>
      <c r="O260" t="s">
        <v>28</v>
      </c>
      <c r="P260" t="s">
        <v>21</v>
      </c>
      <c r="Q260" t="s">
        <v>50</v>
      </c>
      <c r="R260">
        <v>0.41</v>
      </c>
      <c r="S260" s="1">
        <v>40123</v>
      </c>
      <c r="T260" t="str">
        <f t="shared" si="9"/>
        <v>06-Nov-2009</v>
      </c>
    </row>
    <row r="261" spans="1:20" x14ac:dyDescent="0.3">
      <c r="A261">
        <v>44583</v>
      </c>
      <c r="B261" s="1">
        <v>40090</v>
      </c>
      <c r="C261" t="s">
        <v>18</v>
      </c>
      <c r="D261" t="str">
        <f t="shared" si="8"/>
        <v>04-Oct-2009</v>
      </c>
      <c r="E261">
        <v>6</v>
      </c>
      <c r="F261" s="13">
        <v>17.59</v>
      </c>
      <c r="G261">
        <v>0.1</v>
      </c>
      <c r="H261" t="s">
        <v>19</v>
      </c>
      <c r="I261" s="13">
        <v>-19.739999999999998</v>
      </c>
      <c r="J261">
        <v>2.2200000000000002</v>
      </c>
      <c r="K261">
        <v>5</v>
      </c>
      <c r="L261" t="s">
        <v>245</v>
      </c>
      <c r="M261" t="s">
        <v>135</v>
      </c>
      <c r="N261" s="5" t="s">
        <v>86</v>
      </c>
      <c r="O261" t="s">
        <v>28</v>
      </c>
      <c r="P261" t="s">
        <v>21</v>
      </c>
      <c r="Q261" t="s">
        <v>25</v>
      </c>
      <c r="R261">
        <v>0.55000000000000004</v>
      </c>
      <c r="S261" s="1">
        <v>40095</v>
      </c>
      <c r="T261" t="str">
        <f t="shared" si="9"/>
        <v>09-Oct-2009</v>
      </c>
    </row>
    <row r="262" spans="1:20" x14ac:dyDescent="0.3">
      <c r="A262">
        <v>5061</v>
      </c>
      <c r="B262" s="1">
        <v>40403</v>
      </c>
      <c r="C262" t="s">
        <v>43</v>
      </c>
      <c r="D262" t="str">
        <f t="shared" si="8"/>
        <v>13-Aug-2010</v>
      </c>
      <c r="E262">
        <v>4</v>
      </c>
      <c r="F262" s="13">
        <v>12.8</v>
      </c>
      <c r="G262">
        <v>0</v>
      </c>
      <c r="H262" t="s">
        <v>19</v>
      </c>
      <c r="I262" s="13">
        <v>-2.21</v>
      </c>
      <c r="J262">
        <v>2.88</v>
      </c>
      <c r="K262">
        <v>0.7</v>
      </c>
      <c r="L262" t="s">
        <v>142</v>
      </c>
      <c r="M262" t="s">
        <v>135</v>
      </c>
      <c r="N262" s="5" t="s">
        <v>86</v>
      </c>
      <c r="O262" t="s">
        <v>28</v>
      </c>
      <c r="P262" t="s">
        <v>21</v>
      </c>
      <c r="Q262" t="s">
        <v>50</v>
      </c>
      <c r="R262">
        <v>0.56000000000000005</v>
      </c>
      <c r="S262" s="1">
        <v>40405</v>
      </c>
      <c r="T262" t="str">
        <f t="shared" si="9"/>
        <v>15-Aug-2010</v>
      </c>
    </row>
    <row r="263" spans="1:20" x14ac:dyDescent="0.3">
      <c r="A263">
        <v>40704</v>
      </c>
      <c r="B263" s="1">
        <v>39820</v>
      </c>
      <c r="C263" t="s">
        <v>18</v>
      </c>
      <c r="D263" t="str">
        <f t="shared" si="8"/>
        <v>07-Jan-2009</v>
      </c>
      <c r="E263">
        <v>6</v>
      </c>
      <c r="F263" s="13">
        <v>11.57</v>
      </c>
      <c r="G263">
        <v>0.01</v>
      </c>
      <c r="H263" t="s">
        <v>19</v>
      </c>
      <c r="I263" s="13">
        <v>-2.06</v>
      </c>
      <c r="J263">
        <v>1.76</v>
      </c>
      <c r="K263">
        <v>0.7</v>
      </c>
      <c r="L263" t="s">
        <v>255</v>
      </c>
      <c r="M263" t="s">
        <v>135</v>
      </c>
      <c r="N263" s="5" t="s">
        <v>86</v>
      </c>
      <c r="O263" t="s">
        <v>28</v>
      </c>
      <c r="P263" t="s">
        <v>21</v>
      </c>
      <c r="Q263" t="s">
        <v>50</v>
      </c>
      <c r="R263">
        <v>0.56000000000000005</v>
      </c>
      <c r="S263" s="1">
        <v>39825</v>
      </c>
      <c r="T263" t="str">
        <f t="shared" si="9"/>
        <v>12-Jan-2009</v>
      </c>
    </row>
    <row r="264" spans="1:20" x14ac:dyDescent="0.3">
      <c r="A264">
        <v>44292</v>
      </c>
      <c r="B264" s="1">
        <v>40708</v>
      </c>
      <c r="C264" t="s">
        <v>31</v>
      </c>
      <c r="D264" t="str">
        <f t="shared" si="8"/>
        <v>14-Jun-2011</v>
      </c>
      <c r="E264">
        <v>1</v>
      </c>
      <c r="F264" s="13">
        <v>10.48</v>
      </c>
      <c r="G264">
        <v>0</v>
      </c>
      <c r="H264" t="s">
        <v>35</v>
      </c>
      <c r="I264" s="13">
        <v>-3.78</v>
      </c>
      <c r="J264">
        <v>5.18</v>
      </c>
      <c r="K264">
        <v>2.04</v>
      </c>
      <c r="L264" t="s">
        <v>97</v>
      </c>
      <c r="M264" t="s">
        <v>135</v>
      </c>
      <c r="N264" s="5" t="s">
        <v>86</v>
      </c>
      <c r="O264" t="s">
        <v>28</v>
      </c>
      <c r="P264" t="s">
        <v>21</v>
      </c>
      <c r="Q264" t="s">
        <v>37</v>
      </c>
      <c r="R264">
        <v>0.36</v>
      </c>
      <c r="S264" s="1">
        <v>40709</v>
      </c>
      <c r="T264" t="str">
        <f t="shared" si="9"/>
        <v>15-Jun-2011</v>
      </c>
    </row>
    <row r="265" spans="1:20" x14ac:dyDescent="0.3">
      <c r="A265">
        <v>38851</v>
      </c>
      <c r="B265" s="1">
        <v>41070</v>
      </c>
      <c r="C265" t="s">
        <v>43</v>
      </c>
      <c r="D265" t="str">
        <f t="shared" si="8"/>
        <v>10-Jun-2012</v>
      </c>
      <c r="E265">
        <v>1</v>
      </c>
      <c r="F265" s="13">
        <v>8.49</v>
      </c>
      <c r="G265">
        <v>0.06</v>
      </c>
      <c r="H265" t="s">
        <v>19</v>
      </c>
      <c r="I265" s="13">
        <v>-5.74</v>
      </c>
      <c r="J265">
        <v>3.74</v>
      </c>
      <c r="K265">
        <v>4.6900000000000004</v>
      </c>
      <c r="L265" t="s">
        <v>232</v>
      </c>
      <c r="M265" t="s">
        <v>135</v>
      </c>
      <c r="N265" s="5" t="s">
        <v>86</v>
      </c>
      <c r="O265" t="s">
        <v>28</v>
      </c>
      <c r="P265" t="s">
        <v>21</v>
      </c>
      <c r="Q265" t="s">
        <v>26</v>
      </c>
      <c r="R265">
        <v>0.35</v>
      </c>
      <c r="S265" s="1">
        <v>41071</v>
      </c>
      <c r="T265" t="str">
        <f t="shared" si="9"/>
        <v>11-Jun-2012</v>
      </c>
    </row>
    <row r="266" spans="1:20" x14ac:dyDescent="0.3">
      <c r="A266">
        <v>36677</v>
      </c>
      <c r="B266" s="1">
        <v>40170</v>
      </c>
      <c r="C266" t="s">
        <v>18</v>
      </c>
      <c r="D266" t="str">
        <f t="shared" si="8"/>
        <v>23-Dec-2009</v>
      </c>
      <c r="E266">
        <v>38</v>
      </c>
      <c r="F266" s="13">
        <v>23255.61</v>
      </c>
      <c r="G266">
        <v>0</v>
      </c>
      <c r="H266" t="s">
        <v>19</v>
      </c>
      <c r="I266" s="13">
        <v>-734.33</v>
      </c>
      <c r="J266">
        <v>599.99</v>
      </c>
      <c r="K266">
        <v>24.49</v>
      </c>
      <c r="L266" t="s">
        <v>77</v>
      </c>
      <c r="M266" t="s">
        <v>85</v>
      </c>
      <c r="N266" s="5" t="s">
        <v>86</v>
      </c>
      <c r="O266" t="s">
        <v>28</v>
      </c>
      <c r="P266" t="s">
        <v>29</v>
      </c>
      <c r="Q266" t="s">
        <v>51</v>
      </c>
      <c r="R266">
        <v>0.44</v>
      </c>
      <c r="S266" s="1">
        <v>40172</v>
      </c>
      <c r="T266" t="str">
        <f t="shared" si="9"/>
        <v>25-Dec-2009</v>
      </c>
    </row>
    <row r="267" spans="1:20" x14ac:dyDescent="0.3">
      <c r="A267">
        <v>21542</v>
      </c>
      <c r="B267" s="1">
        <v>40684</v>
      </c>
      <c r="C267" t="s">
        <v>23</v>
      </c>
      <c r="D267" t="str">
        <f t="shared" si="8"/>
        <v>21-May-2011</v>
      </c>
      <c r="E267">
        <v>43</v>
      </c>
      <c r="F267" s="13">
        <v>11674.968000000001</v>
      </c>
      <c r="G267">
        <v>0.05</v>
      </c>
      <c r="H267" t="s">
        <v>24</v>
      </c>
      <c r="I267" s="13">
        <v>715.18</v>
      </c>
      <c r="J267">
        <v>348.21</v>
      </c>
      <c r="K267">
        <v>84.84</v>
      </c>
      <c r="L267" t="s">
        <v>97</v>
      </c>
      <c r="M267" t="s">
        <v>85</v>
      </c>
      <c r="N267" s="5" t="s">
        <v>86</v>
      </c>
      <c r="O267" t="s">
        <v>28</v>
      </c>
      <c r="P267" t="s">
        <v>32</v>
      </c>
      <c r="Q267" t="s">
        <v>46</v>
      </c>
      <c r="R267">
        <v>0.66</v>
      </c>
      <c r="S267" s="1">
        <v>40685</v>
      </c>
      <c r="T267" t="str">
        <f t="shared" si="9"/>
        <v>22-May-2011</v>
      </c>
    </row>
    <row r="268" spans="1:20" x14ac:dyDescent="0.3">
      <c r="A268">
        <v>33763</v>
      </c>
      <c r="B268" s="1">
        <v>40444</v>
      </c>
      <c r="C268" t="s">
        <v>31</v>
      </c>
      <c r="D268" t="str">
        <f t="shared" si="8"/>
        <v>23-Sep-2010</v>
      </c>
      <c r="E268">
        <v>23</v>
      </c>
      <c r="F268" s="13">
        <v>10791.38</v>
      </c>
      <c r="G268">
        <v>0.08</v>
      </c>
      <c r="H268" t="s">
        <v>19</v>
      </c>
      <c r="I268" s="13">
        <v>-234.79</v>
      </c>
      <c r="J268">
        <v>499.99</v>
      </c>
      <c r="K268">
        <v>24.49</v>
      </c>
      <c r="L268" t="s">
        <v>91</v>
      </c>
      <c r="M268" t="s">
        <v>85</v>
      </c>
      <c r="N268" s="5" t="s">
        <v>86</v>
      </c>
      <c r="O268" t="s">
        <v>28</v>
      </c>
      <c r="P268" t="s">
        <v>29</v>
      </c>
      <c r="Q268" t="s">
        <v>51</v>
      </c>
      <c r="R268">
        <v>0.36</v>
      </c>
      <c r="S268" s="1">
        <v>40446</v>
      </c>
      <c r="T268" t="str">
        <f t="shared" si="9"/>
        <v>25-Sep-2010</v>
      </c>
    </row>
    <row r="269" spans="1:20" x14ac:dyDescent="0.3">
      <c r="A269">
        <v>59207</v>
      </c>
      <c r="B269" s="1">
        <v>39951</v>
      </c>
      <c r="C269" t="s">
        <v>43</v>
      </c>
      <c r="D269" t="str">
        <f t="shared" si="8"/>
        <v>18-May-2009</v>
      </c>
      <c r="E269">
        <v>42</v>
      </c>
      <c r="F269" s="13">
        <v>9502.7360000000008</v>
      </c>
      <c r="G269">
        <v>0.02</v>
      </c>
      <c r="H269" t="s">
        <v>24</v>
      </c>
      <c r="I269" s="13">
        <v>-945.56</v>
      </c>
      <c r="J269">
        <v>280.98</v>
      </c>
      <c r="K269">
        <v>81.98</v>
      </c>
      <c r="L269" t="s">
        <v>44</v>
      </c>
      <c r="M269" t="s">
        <v>85</v>
      </c>
      <c r="N269" s="5" t="s">
        <v>86</v>
      </c>
      <c r="O269" t="s">
        <v>28</v>
      </c>
      <c r="P269" t="s">
        <v>32</v>
      </c>
      <c r="Q269" t="s">
        <v>46</v>
      </c>
      <c r="R269">
        <v>0.78</v>
      </c>
      <c r="S269" s="1">
        <v>39951</v>
      </c>
      <c r="T269" t="str">
        <f t="shared" si="9"/>
        <v>18-May-2009</v>
      </c>
    </row>
    <row r="270" spans="1:20" x14ac:dyDescent="0.3">
      <c r="A270">
        <v>24388</v>
      </c>
      <c r="B270" s="1">
        <v>40569</v>
      </c>
      <c r="C270" t="s">
        <v>43</v>
      </c>
      <c r="D270" t="str">
        <f t="shared" si="8"/>
        <v>26-Jan-2011</v>
      </c>
      <c r="E270">
        <v>15</v>
      </c>
      <c r="F270" s="13">
        <v>8662.34</v>
      </c>
      <c r="G270">
        <v>0</v>
      </c>
      <c r="H270" t="s">
        <v>24</v>
      </c>
      <c r="I270" s="13">
        <v>-704.66</v>
      </c>
      <c r="J270">
        <v>549.99</v>
      </c>
      <c r="K270">
        <v>49</v>
      </c>
      <c r="L270" t="s">
        <v>88</v>
      </c>
      <c r="M270" t="s">
        <v>85</v>
      </c>
      <c r="N270" s="5" t="s">
        <v>86</v>
      </c>
      <c r="O270" t="s">
        <v>28</v>
      </c>
      <c r="P270" t="s">
        <v>29</v>
      </c>
      <c r="Q270" t="s">
        <v>51</v>
      </c>
      <c r="R270">
        <v>0.35</v>
      </c>
      <c r="S270" s="1">
        <v>40570</v>
      </c>
      <c r="T270" t="str">
        <f t="shared" si="9"/>
        <v>27-Jan-2011</v>
      </c>
    </row>
    <row r="271" spans="1:20" x14ac:dyDescent="0.3">
      <c r="A271">
        <v>49029</v>
      </c>
      <c r="B271" s="1">
        <v>41049</v>
      </c>
      <c r="C271" t="s">
        <v>23</v>
      </c>
      <c r="D271" t="str">
        <f t="shared" si="8"/>
        <v>20-May-2012</v>
      </c>
      <c r="E271">
        <v>49</v>
      </c>
      <c r="F271" s="13">
        <v>8223.07</v>
      </c>
      <c r="G271">
        <v>0.06</v>
      </c>
      <c r="H271" t="s">
        <v>35</v>
      </c>
      <c r="I271" s="13">
        <v>2549.4</v>
      </c>
      <c r="J271">
        <v>195.99</v>
      </c>
      <c r="K271">
        <v>3.99</v>
      </c>
      <c r="L271" t="s">
        <v>99</v>
      </c>
      <c r="M271" t="s">
        <v>85</v>
      </c>
      <c r="N271" s="5" t="s">
        <v>86</v>
      </c>
      <c r="O271" t="s">
        <v>28</v>
      </c>
      <c r="P271" t="s">
        <v>29</v>
      </c>
      <c r="Q271" t="s">
        <v>30</v>
      </c>
      <c r="R271">
        <v>0.59</v>
      </c>
      <c r="S271" s="1">
        <v>41051</v>
      </c>
      <c r="T271" t="str">
        <f t="shared" si="9"/>
        <v>22-May-2012</v>
      </c>
    </row>
    <row r="272" spans="1:20" x14ac:dyDescent="0.3">
      <c r="A272">
        <v>28836</v>
      </c>
      <c r="B272" s="1">
        <v>40475</v>
      </c>
      <c r="C272" t="s">
        <v>23</v>
      </c>
      <c r="D272" t="str">
        <f t="shared" si="8"/>
        <v>24-Oct-2010</v>
      </c>
      <c r="E272">
        <v>50</v>
      </c>
      <c r="F272" s="13">
        <v>8221.2934999999998</v>
      </c>
      <c r="G272">
        <v>0.06</v>
      </c>
      <c r="H272" t="s">
        <v>19</v>
      </c>
      <c r="I272" s="13">
        <v>2342.21</v>
      </c>
      <c r="J272">
        <v>195.99</v>
      </c>
      <c r="K272">
        <v>4.2</v>
      </c>
      <c r="L272" t="s">
        <v>88</v>
      </c>
      <c r="M272" t="s">
        <v>85</v>
      </c>
      <c r="N272" s="5" t="s">
        <v>86</v>
      </c>
      <c r="O272" t="s">
        <v>28</v>
      </c>
      <c r="P272" t="s">
        <v>29</v>
      </c>
      <c r="Q272" t="s">
        <v>30</v>
      </c>
      <c r="R272">
        <v>0.6</v>
      </c>
      <c r="S272" s="1">
        <v>40476</v>
      </c>
      <c r="T272" t="str">
        <f t="shared" si="9"/>
        <v>25-Oct-2010</v>
      </c>
    </row>
    <row r="273" spans="1:20" x14ac:dyDescent="0.3">
      <c r="A273">
        <v>4416</v>
      </c>
      <c r="B273" s="1">
        <v>41089</v>
      </c>
      <c r="C273" t="s">
        <v>18</v>
      </c>
      <c r="D273" t="str">
        <f t="shared" si="8"/>
        <v>29-Jun-2012</v>
      </c>
      <c r="E273">
        <v>46</v>
      </c>
      <c r="F273" s="13">
        <v>7441.29</v>
      </c>
      <c r="G273">
        <v>0.1</v>
      </c>
      <c r="H273" t="s">
        <v>19</v>
      </c>
      <c r="I273" s="13">
        <v>2665.4</v>
      </c>
      <c r="J273">
        <v>165.98</v>
      </c>
      <c r="K273">
        <v>19.989999999999998</v>
      </c>
      <c r="L273" t="s">
        <v>88</v>
      </c>
      <c r="M273" t="s">
        <v>85</v>
      </c>
      <c r="N273" s="5" t="s">
        <v>86</v>
      </c>
      <c r="O273" t="s">
        <v>28</v>
      </c>
      <c r="P273" t="s">
        <v>21</v>
      </c>
      <c r="Q273" t="s">
        <v>26</v>
      </c>
      <c r="R273">
        <v>0.4</v>
      </c>
      <c r="S273" s="1">
        <v>41093</v>
      </c>
      <c r="T273" t="str">
        <f t="shared" si="9"/>
        <v>03-Jul-2012</v>
      </c>
    </row>
    <row r="274" spans="1:20" x14ac:dyDescent="0.3">
      <c r="A274">
        <v>22469</v>
      </c>
      <c r="B274" s="1">
        <v>40462</v>
      </c>
      <c r="C274" t="s">
        <v>23</v>
      </c>
      <c r="D274" t="str">
        <f t="shared" si="8"/>
        <v>11-Oct-2010</v>
      </c>
      <c r="E274">
        <v>23</v>
      </c>
      <c r="F274" s="13">
        <v>6693.28</v>
      </c>
      <c r="G274">
        <v>0.02</v>
      </c>
      <c r="H274" t="s">
        <v>19</v>
      </c>
      <c r="I274" s="13">
        <v>40.32</v>
      </c>
      <c r="J274">
        <v>290.98</v>
      </c>
      <c r="K274">
        <v>69</v>
      </c>
      <c r="L274" t="s">
        <v>77</v>
      </c>
      <c r="M274" t="s">
        <v>85</v>
      </c>
      <c r="N274" s="5" t="s">
        <v>86</v>
      </c>
      <c r="O274" t="s">
        <v>28</v>
      </c>
      <c r="P274" t="s">
        <v>32</v>
      </c>
      <c r="Q274" t="s">
        <v>46</v>
      </c>
      <c r="R274">
        <v>0.67</v>
      </c>
      <c r="S274" s="1">
        <v>40464</v>
      </c>
      <c r="T274" t="str">
        <f t="shared" si="9"/>
        <v>13-Oct-2010</v>
      </c>
    </row>
    <row r="275" spans="1:20" x14ac:dyDescent="0.3">
      <c r="A275">
        <v>11362</v>
      </c>
      <c r="B275" s="1">
        <v>41162</v>
      </c>
      <c r="C275" t="s">
        <v>18</v>
      </c>
      <c r="D275" t="str">
        <f t="shared" si="8"/>
        <v>10-Sep-2012</v>
      </c>
      <c r="E275">
        <v>9</v>
      </c>
      <c r="F275" s="13">
        <v>6420.87</v>
      </c>
      <c r="G275">
        <v>0.02</v>
      </c>
      <c r="H275" t="s">
        <v>19</v>
      </c>
      <c r="I275" s="13">
        <v>-690.21</v>
      </c>
      <c r="J275">
        <v>699.99</v>
      </c>
      <c r="K275">
        <v>24.49</v>
      </c>
      <c r="L275" t="s">
        <v>92</v>
      </c>
      <c r="M275" t="s">
        <v>85</v>
      </c>
      <c r="N275" s="5" t="s">
        <v>86</v>
      </c>
      <c r="O275" t="s">
        <v>28</v>
      </c>
      <c r="P275" t="s">
        <v>29</v>
      </c>
      <c r="Q275" t="s">
        <v>51</v>
      </c>
      <c r="R275">
        <v>0.41</v>
      </c>
      <c r="S275" s="1">
        <v>41167</v>
      </c>
      <c r="T275" t="str">
        <f t="shared" si="9"/>
        <v>15-Sep-2012</v>
      </c>
    </row>
    <row r="276" spans="1:20" x14ac:dyDescent="0.3">
      <c r="A276">
        <v>59234</v>
      </c>
      <c r="B276" s="1">
        <v>41119</v>
      </c>
      <c r="C276" t="s">
        <v>18</v>
      </c>
      <c r="D276" t="str">
        <f t="shared" si="8"/>
        <v>29-Jul-2012</v>
      </c>
      <c r="E276">
        <v>32</v>
      </c>
      <c r="F276" s="13">
        <v>5686.25</v>
      </c>
      <c r="G276">
        <v>0.04</v>
      </c>
      <c r="H276" t="s">
        <v>19</v>
      </c>
      <c r="I276" s="13">
        <v>2109.21</v>
      </c>
      <c r="J276">
        <v>177.98</v>
      </c>
      <c r="K276">
        <v>0.99</v>
      </c>
      <c r="L276" t="s">
        <v>64</v>
      </c>
      <c r="M276" t="s">
        <v>85</v>
      </c>
      <c r="N276" s="5" t="s">
        <v>86</v>
      </c>
      <c r="O276" t="s">
        <v>28</v>
      </c>
      <c r="P276" t="s">
        <v>21</v>
      </c>
      <c r="Q276" t="s">
        <v>25</v>
      </c>
      <c r="R276">
        <v>0.56000000000000005</v>
      </c>
      <c r="S276" s="1">
        <v>41123</v>
      </c>
      <c r="T276" t="str">
        <f t="shared" si="9"/>
        <v>02-Aug-2012</v>
      </c>
    </row>
    <row r="277" spans="1:20" x14ac:dyDescent="0.3">
      <c r="A277">
        <v>47846</v>
      </c>
      <c r="B277" s="1">
        <v>41132</v>
      </c>
      <c r="C277" t="s">
        <v>23</v>
      </c>
      <c r="D277" t="str">
        <f t="shared" si="8"/>
        <v>11-Aug-2012</v>
      </c>
      <c r="E277">
        <v>50</v>
      </c>
      <c r="F277" s="13">
        <v>5513.82</v>
      </c>
      <c r="G277">
        <v>0.03</v>
      </c>
      <c r="H277" t="s">
        <v>19</v>
      </c>
      <c r="I277" s="13">
        <v>1581.93</v>
      </c>
      <c r="J277">
        <v>105.98</v>
      </c>
      <c r="K277">
        <v>13.99</v>
      </c>
      <c r="L277" t="s">
        <v>92</v>
      </c>
      <c r="M277" t="s">
        <v>85</v>
      </c>
      <c r="N277" s="5" t="s">
        <v>86</v>
      </c>
      <c r="O277" t="s">
        <v>28</v>
      </c>
      <c r="P277" t="s">
        <v>32</v>
      </c>
      <c r="Q277" t="s">
        <v>33</v>
      </c>
      <c r="R277">
        <v>0.65</v>
      </c>
      <c r="S277" s="1">
        <v>41133</v>
      </c>
      <c r="T277" t="str">
        <f t="shared" si="9"/>
        <v>12-Aug-2012</v>
      </c>
    </row>
    <row r="278" spans="1:20" x14ac:dyDescent="0.3">
      <c r="A278">
        <v>32869</v>
      </c>
      <c r="B278" s="1">
        <v>39899</v>
      </c>
      <c r="C278" t="s">
        <v>38</v>
      </c>
      <c r="D278" t="str">
        <f t="shared" si="8"/>
        <v>27-Mar-2009</v>
      </c>
      <c r="E278">
        <v>39</v>
      </c>
      <c r="F278" s="13">
        <v>5250.6625000000004</v>
      </c>
      <c r="G278">
        <v>0.1</v>
      </c>
      <c r="H278" t="s">
        <v>19</v>
      </c>
      <c r="I278" s="13">
        <v>930.99</v>
      </c>
      <c r="J278">
        <v>175.99</v>
      </c>
      <c r="K278">
        <v>8.99</v>
      </c>
      <c r="L278" t="s">
        <v>89</v>
      </c>
      <c r="M278" t="s">
        <v>85</v>
      </c>
      <c r="N278" s="5" t="s">
        <v>86</v>
      </c>
      <c r="O278" t="s">
        <v>28</v>
      </c>
      <c r="P278" t="s">
        <v>29</v>
      </c>
      <c r="Q278" t="s">
        <v>30</v>
      </c>
      <c r="R278">
        <v>0.56999999999999995</v>
      </c>
      <c r="S278" s="1">
        <v>39900</v>
      </c>
      <c r="T278" t="str">
        <f t="shared" si="9"/>
        <v>28-Mar-2009</v>
      </c>
    </row>
    <row r="279" spans="1:20" x14ac:dyDescent="0.3">
      <c r="A279">
        <v>15139</v>
      </c>
      <c r="B279" s="1">
        <v>40136</v>
      </c>
      <c r="C279" t="s">
        <v>23</v>
      </c>
      <c r="D279" t="str">
        <f t="shared" si="8"/>
        <v>19-Nov-2009</v>
      </c>
      <c r="E279">
        <v>17</v>
      </c>
      <c r="F279" s="13">
        <v>5203.8999999999996</v>
      </c>
      <c r="G279">
        <v>7.0000000000000007E-2</v>
      </c>
      <c r="H279" t="s">
        <v>24</v>
      </c>
      <c r="I279" s="13">
        <v>636.20000000000005</v>
      </c>
      <c r="J279">
        <v>300.98</v>
      </c>
      <c r="K279">
        <v>64.73</v>
      </c>
      <c r="L279" t="s">
        <v>87</v>
      </c>
      <c r="M279" t="s">
        <v>85</v>
      </c>
      <c r="N279" s="5" t="s">
        <v>86</v>
      </c>
      <c r="O279" t="s">
        <v>28</v>
      </c>
      <c r="P279" t="s">
        <v>32</v>
      </c>
      <c r="Q279" t="s">
        <v>56</v>
      </c>
      <c r="R279">
        <v>0.56000000000000005</v>
      </c>
      <c r="S279" s="1">
        <v>40138</v>
      </c>
      <c r="T279" t="str">
        <f t="shared" si="9"/>
        <v>21-Nov-2009</v>
      </c>
    </row>
    <row r="280" spans="1:20" x14ac:dyDescent="0.3">
      <c r="A280">
        <v>30243</v>
      </c>
      <c r="B280" s="1">
        <v>40303</v>
      </c>
      <c r="C280" t="s">
        <v>43</v>
      </c>
      <c r="D280" t="str">
        <f t="shared" si="8"/>
        <v>05-May-2010</v>
      </c>
      <c r="E280">
        <v>21</v>
      </c>
      <c r="F280" s="13">
        <v>4242.76</v>
      </c>
      <c r="G280">
        <v>7.0000000000000007E-2</v>
      </c>
      <c r="H280" t="s">
        <v>19</v>
      </c>
      <c r="I280" s="13">
        <v>340.88</v>
      </c>
      <c r="J280">
        <v>199.99</v>
      </c>
      <c r="K280">
        <v>24.49</v>
      </c>
      <c r="L280" t="s">
        <v>92</v>
      </c>
      <c r="M280" t="s">
        <v>85</v>
      </c>
      <c r="N280" s="5" t="s">
        <v>86</v>
      </c>
      <c r="O280" t="s">
        <v>28</v>
      </c>
      <c r="P280" t="s">
        <v>29</v>
      </c>
      <c r="Q280" t="s">
        <v>51</v>
      </c>
      <c r="R280">
        <v>0.46</v>
      </c>
      <c r="S280" s="1">
        <v>40305</v>
      </c>
      <c r="T280" t="str">
        <f t="shared" si="9"/>
        <v>07-May-2010</v>
      </c>
    </row>
    <row r="281" spans="1:20" x14ac:dyDescent="0.3">
      <c r="A281">
        <v>17090</v>
      </c>
      <c r="B281" s="1">
        <v>40296</v>
      </c>
      <c r="C281" t="s">
        <v>18</v>
      </c>
      <c r="D281" t="str">
        <f t="shared" si="8"/>
        <v>28-Apr-2010</v>
      </c>
      <c r="E281">
        <v>30</v>
      </c>
      <c r="F281" s="13">
        <v>4177.5200000000004</v>
      </c>
      <c r="G281">
        <v>0.04</v>
      </c>
      <c r="H281" t="s">
        <v>24</v>
      </c>
      <c r="I281" s="13">
        <v>-443.78</v>
      </c>
      <c r="J281">
        <v>140.97999999999999</v>
      </c>
      <c r="K281">
        <v>36.090000000000003</v>
      </c>
      <c r="L281" t="s">
        <v>93</v>
      </c>
      <c r="M281" t="s">
        <v>85</v>
      </c>
      <c r="N281" s="5" t="s">
        <v>86</v>
      </c>
      <c r="O281" t="s">
        <v>28</v>
      </c>
      <c r="P281" t="s">
        <v>32</v>
      </c>
      <c r="Q281" t="s">
        <v>45</v>
      </c>
      <c r="R281">
        <v>0.77</v>
      </c>
      <c r="S281" s="1">
        <v>40298</v>
      </c>
      <c r="T281" t="str">
        <f t="shared" si="9"/>
        <v>30-Apr-2010</v>
      </c>
    </row>
    <row r="282" spans="1:20" x14ac:dyDescent="0.3">
      <c r="A282">
        <v>32199</v>
      </c>
      <c r="B282" s="1">
        <v>40009</v>
      </c>
      <c r="C282" t="s">
        <v>23</v>
      </c>
      <c r="D282" t="str">
        <f t="shared" si="8"/>
        <v>15-Jul-2009</v>
      </c>
      <c r="E282">
        <v>1</v>
      </c>
      <c r="F282" s="13">
        <v>3672.89</v>
      </c>
      <c r="G282">
        <v>0.01</v>
      </c>
      <c r="H282" t="s">
        <v>19</v>
      </c>
      <c r="I282" s="13">
        <v>-3061.82</v>
      </c>
      <c r="J282">
        <v>3499.99</v>
      </c>
      <c r="K282">
        <v>24.49</v>
      </c>
      <c r="L282" t="s">
        <v>88</v>
      </c>
      <c r="M282" t="s">
        <v>85</v>
      </c>
      <c r="N282" s="5" t="s">
        <v>86</v>
      </c>
      <c r="O282" t="s">
        <v>28</v>
      </c>
      <c r="P282" t="s">
        <v>29</v>
      </c>
      <c r="Q282" t="s">
        <v>51</v>
      </c>
      <c r="R282">
        <v>0.37</v>
      </c>
      <c r="S282" s="1">
        <v>40010</v>
      </c>
      <c r="T282" t="str">
        <f t="shared" si="9"/>
        <v>16-Jul-2009</v>
      </c>
    </row>
    <row r="283" spans="1:20" x14ac:dyDescent="0.3">
      <c r="A283">
        <v>13604</v>
      </c>
      <c r="B283" s="1">
        <v>39846</v>
      </c>
      <c r="C283" t="s">
        <v>31</v>
      </c>
      <c r="D283" t="str">
        <f t="shared" si="8"/>
        <v>02-Feb-2009</v>
      </c>
      <c r="E283">
        <v>42</v>
      </c>
      <c r="F283" s="13">
        <v>3609.88</v>
      </c>
      <c r="G283">
        <v>7.0000000000000007E-2</v>
      </c>
      <c r="H283" t="s">
        <v>19</v>
      </c>
      <c r="I283" s="13">
        <v>-1396.22</v>
      </c>
      <c r="J283">
        <v>90.98</v>
      </c>
      <c r="K283">
        <v>56.2</v>
      </c>
      <c r="L283" t="s">
        <v>88</v>
      </c>
      <c r="M283" t="s">
        <v>85</v>
      </c>
      <c r="N283" s="5" t="s">
        <v>86</v>
      </c>
      <c r="O283" t="s">
        <v>28</v>
      </c>
      <c r="P283" t="s">
        <v>32</v>
      </c>
      <c r="Q283" t="s">
        <v>33</v>
      </c>
      <c r="R283">
        <v>0.74</v>
      </c>
      <c r="S283" s="1">
        <v>39849</v>
      </c>
      <c r="T283" t="str">
        <f t="shared" si="9"/>
        <v>05-Feb-2009</v>
      </c>
    </row>
    <row r="284" spans="1:20" x14ac:dyDescent="0.3">
      <c r="A284">
        <v>17090</v>
      </c>
      <c r="B284" s="1">
        <v>40296</v>
      </c>
      <c r="C284" t="s">
        <v>18</v>
      </c>
      <c r="D284" t="str">
        <f t="shared" si="8"/>
        <v>28-Apr-2010</v>
      </c>
      <c r="E284">
        <v>26</v>
      </c>
      <c r="F284" s="13">
        <v>3351.08</v>
      </c>
      <c r="G284">
        <v>0.05</v>
      </c>
      <c r="H284" t="s">
        <v>24</v>
      </c>
      <c r="I284" s="13">
        <v>-1086.43</v>
      </c>
      <c r="J284">
        <v>122.99</v>
      </c>
      <c r="K284">
        <v>70.2</v>
      </c>
      <c r="L284" t="s">
        <v>93</v>
      </c>
      <c r="M284" t="s">
        <v>85</v>
      </c>
      <c r="N284" s="5" t="s">
        <v>86</v>
      </c>
      <c r="O284" t="s">
        <v>28</v>
      </c>
      <c r="P284" t="s">
        <v>32</v>
      </c>
      <c r="Q284" t="s">
        <v>56</v>
      </c>
      <c r="R284">
        <v>0.74</v>
      </c>
      <c r="S284" s="1">
        <v>40301</v>
      </c>
      <c r="T284" t="str">
        <f t="shared" si="9"/>
        <v>03-May-2010</v>
      </c>
    </row>
    <row r="285" spans="1:20" x14ac:dyDescent="0.3">
      <c r="A285">
        <v>11362</v>
      </c>
      <c r="B285" s="1">
        <v>41162</v>
      </c>
      <c r="C285" t="s">
        <v>18</v>
      </c>
      <c r="D285" t="str">
        <f t="shared" si="8"/>
        <v>10-Sep-2012</v>
      </c>
      <c r="E285">
        <v>32</v>
      </c>
      <c r="F285" s="13">
        <v>3245.73</v>
      </c>
      <c r="G285">
        <v>0.09</v>
      </c>
      <c r="H285" t="s">
        <v>19</v>
      </c>
      <c r="I285" s="13">
        <v>569.57000000000005</v>
      </c>
      <c r="J285">
        <v>110.98</v>
      </c>
      <c r="K285">
        <v>13.99</v>
      </c>
      <c r="L285" t="s">
        <v>92</v>
      </c>
      <c r="M285" t="s">
        <v>85</v>
      </c>
      <c r="N285" s="5" t="s">
        <v>86</v>
      </c>
      <c r="O285" t="s">
        <v>28</v>
      </c>
      <c r="P285" t="s">
        <v>32</v>
      </c>
      <c r="Q285" t="s">
        <v>33</v>
      </c>
      <c r="R285">
        <v>0.69</v>
      </c>
      <c r="S285" s="1">
        <v>41164</v>
      </c>
      <c r="T285" t="str">
        <f t="shared" si="9"/>
        <v>12-Sep-2012</v>
      </c>
    </row>
    <row r="286" spans="1:20" x14ac:dyDescent="0.3">
      <c r="A286">
        <v>29121</v>
      </c>
      <c r="B286" s="1">
        <v>40279</v>
      </c>
      <c r="C286" t="s">
        <v>38</v>
      </c>
      <c r="D286" t="str">
        <f t="shared" si="8"/>
        <v>11-Apr-2010</v>
      </c>
      <c r="E286">
        <v>31</v>
      </c>
      <c r="F286" s="13">
        <v>3206.9650000000001</v>
      </c>
      <c r="G286">
        <v>0.08</v>
      </c>
      <c r="H286" t="s">
        <v>19</v>
      </c>
      <c r="I286" s="13">
        <v>575.33000000000004</v>
      </c>
      <c r="J286">
        <v>125.99</v>
      </c>
      <c r="K286">
        <v>7.69</v>
      </c>
      <c r="L286" t="s">
        <v>77</v>
      </c>
      <c r="M286" t="s">
        <v>85</v>
      </c>
      <c r="N286" s="5" t="s">
        <v>86</v>
      </c>
      <c r="O286" t="s">
        <v>28</v>
      </c>
      <c r="P286" t="s">
        <v>29</v>
      </c>
      <c r="Q286" t="s">
        <v>30</v>
      </c>
      <c r="R286">
        <v>0.57999999999999996</v>
      </c>
      <c r="S286" s="1">
        <v>40281</v>
      </c>
      <c r="T286" t="str">
        <f t="shared" si="9"/>
        <v>13-Apr-2010</v>
      </c>
    </row>
    <row r="287" spans="1:20" x14ac:dyDescent="0.3">
      <c r="A287">
        <v>13604</v>
      </c>
      <c r="B287" s="1">
        <v>39846</v>
      </c>
      <c r="C287" t="s">
        <v>31</v>
      </c>
      <c r="D287" t="str">
        <f t="shared" si="8"/>
        <v>02-Feb-2009</v>
      </c>
      <c r="E287">
        <v>38</v>
      </c>
      <c r="F287" s="13">
        <v>3152.75</v>
      </c>
      <c r="G287">
        <v>0.04</v>
      </c>
      <c r="H287" t="s">
        <v>19</v>
      </c>
      <c r="I287" s="13">
        <v>1166.4000000000001</v>
      </c>
      <c r="J287">
        <v>83.1</v>
      </c>
      <c r="K287">
        <v>6.13</v>
      </c>
      <c r="L287" t="s">
        <v>88</v>
      </c>
      <c r="M287" t="s">
        <v>85</v>
      </c>
      <c r="N287" s="5" t="s">
        <v>86</v>
      </c>
      <c r="O287" t="s">
        <v>28</v>
      </c>
      <c r="P287" t="s">
        <v>29</v>
      </c>
      <c r="Q287" t="s">
        <v>41</v>
      </c>
      <c r="R287">
        <v>0.45</v>
      </c>
      <c r="S287" s="1">
        <v>39848</v>
      </c>
      <c r="T287" t="str">
        <f t="shared" si="9"/>
        <v>04-Feb-2009</v>
      </c>
    </row>
    <row r="288" spans="1:20" x14ac:dyDescent="0.3">
      <c r="A288">
        <v>47846</v>
      </c>
      <c r="B288" s="1">
        <v>41132</v>
      </c>
      <c r="C288" t="s">
        <v>23</v>
      </c>
      <c r="D288" t="str">
        <f t="shared" si="8"/>
        <v>11-Aug-2012</v>
      </c>
      <c r="E288">
        <v>25</v>
      </c>
      <c r="F288" s="13">
        <v>2674.18</v>
      </c>
      <c r="G288">
        <v>0.06</v>
      </c>
      <c r="H288" t="s">
        <v>19</v>
      </c>
      <c r="I288" s="13">
        <v>631.99</v>
      </c>
      <c r="J288">
        <v>110.98</v>
      </c>
      <c r="K288">
        <v>13.99</v>
      </c>
      <c r="L288" t="s">
        <v>92</v>
      </c>
      <c r="M288" t="s">
        <v>85</v>
      </c>
      <c r="N288" s="5" t="s">
        <v>86</v>
      </c>
      <c r="O288" t="s">
        <v>28</v>
      </c>
      <c r="P288" t="s">
        <v>32</v>
      </c>
      <c r="Q288" t="s">
        <v>33</v>
      </c>
      <c r="R288">
        <v>0.69</v>
      </c>
      <c r="S288" s="1">
        <v>41134</v>
      </c>
      <c r="T288" t="str">
        <f t="shared" si="9"/>
        <v>13-Aug-2012</v>
      </c>
    </row>
    <row r="289" spans="1:20" x14ac:dyDescent="0.3">
      <c r="A289">
        <v>24067</v>
      </c>
      <c r="B289" s="1">
        <v>41143</v>
      </c>
      <c r="C289" t="s">
        <v>23</v>
      </c>
      <c r="D289" t="str">
        <f t="shared" si="8"/>
        <v>22-Aug-2012</v>
      </c>
      <c r="E289">
        <v>46</v>
      </c>
      <c r="F289" s="13">
        <v>2640.6864999999998</v>
      </c>
      <c r="G289">
        <v>0.03</v>
      </c>
      <c r="H289" t="s">
        <v>35</v>
      </c>
      <c r="I289" s="13">
        <v>751.38</v>
      </c>
      <c r="J289">
        <v>65.989999999999995</v>
      </c>
      <c r="K289">
        <v>5.92</v>
      </c>
      <c r="L289" t="s">
        <v>97</v>
      </c>
      <c r="M289" t="s">
        <v>85</v>
      </c>
      <c r="N289" s="5" t="s">
        <v>86</v>
      </c>
      <c r="O289" t="s">
        <v>28</v>
      </c>
      <c r="P289" t="s">
        <v>29</v>
      </c>
      <c r="Q289" t="s">
        <v>30</v>
      </c>
      <c r="R289">
        <v>0.55000000000000004</v>
      </c>
      <c r="S289" s="1">
        <v>41144</v>
      </c>
      <c r="T289" t="str">
        <f t="shared" si="9"/>
        <v>23-Aug-2012</v>
      </c>
    </row>
    <row r="290" spans="1:20" x14ac:dyDescent="0.3">
      <c r="A290">
        <v>20033</v>
      </c>
      <c r="B290" s="1">
        <v>40319</v>
      </c>
      <c r="C290" t="s">
        <v>43</v>
      </c>
      <c r="D290" t="str">
        <f t="shared" si="8"/>
        <v>21-May-2010</v>
      </c>
      <c r="E290">
        <v>5</v>
      </c>
      <c r="F290" s="13">
        <v>2543.9499999999998</v>
      </c>
      <c r="G290">
        <v>0.04</v>
      </c>
      <c r="H290" t="s">
        <v>19</v>
      </c>
      <c r="I290" s="13">
        <v>-1011.32</v>
      </c>
      <c r="J290">
        <v>499.99</v>
      </c>
      <c r="K290">
        <v>24.49</v>
      </c>
      <c r="L290" t="s">
        <v>77</v>
      </c>
      <c r="M290" t="s">
        <v>85</v>
      </c>
      <c r="N290" s="5" t="s">
        <v>86</v>
      </c>
      <c r="O290" t="s">
        <v>28</v>
      </c>
      <c r="P290" t="s">
        <v>29</v>
      </c>
      <c r="Q290" t="s">
        <v>51</v>
      </c>
      <c r="R290">
        <v>0.36</v>
      </c>
      <c r="S290" s="1">
        <v>40321</v>
      </c>
      <c r="T290" t="str">
        <f t="shared" si="9"/>
        <v>23-May-2010</v>
      </c>
    </row>
    <row r="291" spans="1:20" x14ac:dyDescent="0.3">
      <c r="A291">
        <v>24965</v>
      </c>
      <c r="B291" s="1">
        <v>40631</v>
      </c>
      <c r="C291" t="s">
        <v>18</v>
      </c>
      <c r="D291" t="str">
        <f t="shared" si="8"/>
        <v>29-Mar-2011</v>
      </c>
      <c r="E291">
        <v>6</v>
      </c>
      <c r="F291" s="13">
        <v>2528.4899999999998</v>
      </c>
      <c r="G291">
        <v>7.0000000000000007E-2</v>
      </c>
      <c r="H291" t="s">
        <v>35</v>
      </c>
      <c r="I291" s="13">
        <v>580.15</v>
      </c>
      <c r="J291">
        <v>420.98</v>
      </c>
      <c r="K291">
        <v>19.989999999999998</v>
      </c>
      <c r="L291" t="s">
        <v>77</v>
      </c>
      <c r="M291" t="s">
        <v>85</v>
      </c>
      <c r="N291" s="5" t="s">
        <v>86</v>
      </c>
      <c r="O291" t="s">
        <v>28</v>
      </c>
      <c r="P291" t="s">
        <v>21</v>
      </c>
      <c r="Q291" t="s">
        <v>26</v>
      </c>
      <c r="R291">
        <v>0.35</v>
      </c>
      <c r="S291" s="1">
        <v>40636</v>
      </c>
      <c r="T291" t="str">
        <f t="shared" si="9"/>
        <v>03-Apr-2011</v>
      </c>
    </row>
    <row r="292" spans="1:20" x14ac:dyDescent="0.3">
      <c r="A292">
        <v>32869</v>
      </c>
      <c r="B292" s="1">
        <v>39899</v>
      </c>
      <c r="C292" t="s">
        <v>38</v>
      </c>
      <c r="D292" t="str">
        <f t="shared" si="8"/>
        <v>27-Mar-2009</v>
      </c>
      <c r="E292">
        <v>49</v>
      </c>
      <c r="F292" s="13">
        <v>2470.84</v>
      </c>
      <c r="G292">
        <v>0.05</v>
      </c>
      <c r="H292" t="s">
        <v>19</v>
      </c>
      <c r="I292" s="13">
        <v>25.04</v>
      </c>
      <c r="J292">
        <v>51.65</v>
      </c>
      <c r="K292">
        <v>18.45</v>
      </c>
      <c r="L292" t="s">
        <v>89</v>
      </c>
      <c r="M292" t="s">
        <v>85</v>
      </c>
      <c r="N292" s="5" t="s">
        <v>86</v>
      </c>
      <c r="O292" t="s">
        <v>28</v>
      </c>
      <c r="P292" t="s">
        <v>32</v>
      </c>
      <c r="Q292" t="s">
        <v>33</v>
      </c>
      <c r="R292">
        <v>0.65</v>
      </c>
      <c r="S292" s="1">
        <v>39900</v>
      </c>
      <c r="T292" t="str">
        <f t="shared" si="9"/>
        <v>28-Mar-2009</v>
      </c>
    </row>
    <row r="293" spans="1:20" x14ac:dyDescent="0.3">
      <c r="A293">
        <v>30243</v>
      </c>
      <c r="B293" s="1">
        <v>40303</v>
      </c>
      <c r="C293" t="s">
        <v>43</v>
      </c>
      <c r="D293" t="str">
        <f t="shared" si="8"/>
        <v>05-May-2010</v>
      </c>
      <c r="E293">
        <v>44</v>
      </c>
      <c r="F293" s="13">
        <v>2435.3200000000002</v>
      </c>
      <c r="G293">
        <v>0.09</v>
      </c>
      <c r="H293" t="s">
        <v>19</v>
      </c>
      <c r="I293" s="13">
        <v>650.55999999999995</v>
      </c>
      <c r="J293">
        <v>60.22</v>
      </c>
      <c r="K293">
        <v>3.5</v>
      </c>
      <c r="L293" t="s">
        <v>92</v>
      </c>
      <c r="M293" t="s">
        <v>85</v>
      </c>
      <c r="N293" s="5" t="s">
        <v>86</v>
      </c>
      <c r="O293" t="s">
        <v>28</v>
      </c>
      <c r="P293" t="s">
        <v>21</v>
      </c>
      <c r="Q293" t="s">
        <v>25</v>
      </c>
      <c r="R293">
        <v>0.56999999999999995</v>
      </c>
      <c r="S293" s="1">
        <v>40305</v>
      </c>
      <c r="T293" t="str">
        <f t="shared" si="9"/>
        <v>07-May-2010</v>
      </c>
    </row>
    <row r="294" spans="1:20" x14ac:dyDescent="0.3">
      <c r="A294">
        <v>11362</v>
      </c>
      <c r="B294" s="1">
        <v>41162</v>
      </c>
      <c r="C294" t="s">
        <v>18</v>
      </c>
      <c r="D294" t="str">
        <f t="shared" si="8"/>
        <v>10-Sep-2012</v>
      </c>
      <c r="E294">
        <v>25</v>
      </c>
      <c r="F294" s="13">
        <v>2407.6930000000002</v>
      </c>
      <c r="G294">
        <v>0.04</v>
      </c>
      <c r="H294" t="s">
        <v>19</v>
      </c>
      <c r="I294" s="13">
        <v>424.14</v>
      </c>
      <c r="J294">
        <v>110.99</v>
      </c>
      <c r="K294">
        <v>8.99</v>
      </c>
      <c r="L294" t="s">
        <v>92</v>
      </c>
      <c r="M294" t="s">
        <v>85</v>
      </c>
      <c r="N294" s="5" t="s">
        <v>86</v>
      </c>
      <c r="O294" t="s">
        <v>28</v>
      </c>
      <c r="P294" t="s">
        <v>29</v>
      </c>
      <c r="Q294" t="s">
        <v>30</v>
      </c>
      <c r="R294">
        <v>0.56999999999999995</v>
      </c>
      <c r="S294" s="1">
        <v>41166</v>
      </c>
      <c r="T294" t="str">
        <f t="shared" si="9"/>
        <v>14-Sep-2012</v>
      </c>
    </row>
    <row r="295" spans="1:20" x14ac:dyDescent="0.3">
      <c r="A295">
        <v>40871</v>
      </c>
      <c r="B295" s="1">
        <v>40799</v>
      </c>
      <c r="C295" t="s">
        <v>31</v>
      </c>
      <c r="D295" t="str">
        <f t="shared" si="8"/>
        <v>13-Sep-2011</v>
      </c>
      <c r="E295">
        <v>18</v>
      </c>
      <c r="F295" s="13">
        <v>2022.65</v>
      </c>
      <c r="G295">
        <v>0.05</v>
      </c>
      <c r="H295" t="s">
        <v>24</v>
      </c>
      <c r="I295" s="13">
        <v>-157.63</v>
      </c>
      <c r="J295">
        <v>110.98</v>
      </c>
      <c r="K295">
        <v>30</v>
      </c>
      <c r="L295" t="s">
        <v>90</v>
      </c>
      <c r="M295" t="s">
        <v>85</v>
      </c>
      <c r="N295" s="5" t="s">
        <v>86</v>
      </c>
      <c r="O295" t="s">
        <v>28</v>
      </c>
      <c r="P295" t="s">
        <v>32</v>
      </c>
      <c r="Q295" t="s">
        <v>56</v>
      </c>
      <c r="R295">
        <v>0.71</v>
      </c>
      <c r="S295" s="1">
        <v>40801</v>
      </c>
      <c r="T295" t="str">
        <f t="shared" si="9"/>
        <v>15-Sep-2011</v>
      </c>
    </row>
    <row r="296" spans="1:20" x14ac:dyDescent="0.3">
      <c r="A296">
        <v>58340</v>
      </c>
      <c r="B296" s="1">
        <v>40551</v>
      </c>
      <c r="C296" t="s">
        <v>38</v>
      </c>
      <c r="D296" t="str">
        <f t="shared" si="8"/>
        <v>08-Jan-2011</v>
      </c>
      <c r="E296">
        <v>36</v>
      </c>
      <c r="F296" s="13">
        <v>1936.3</v>
      </c>
      <c r="G296">
        <v>0.03</v>
      </c>
      <c r="H296" t="s">
        <v>19</v>
      </c>
      <c r="I296" s="13">
        <v>278.12</v>
      </c>
      <c r="J296">
        <v>50.98</v>
      </c>
      <c r="K296">
        <v>13.66</v>
      </c>
      <c r="L296" t="s">
        <v>44</v>
      </c>
      <c r="M296" t="s">
        <v>85</v>
      </c>
      <c r="N296" s="5" t="s">
        <v>86</v>
      </c>
      <c r="O296" t="s">
        <v>28</v>
      </c>
      <c r="P296" t="s">
        <v>21</v>
      </c>
      <c r="Q296" t="s">
        <v>25</v>
      </c>
      <c r="R296">
        <v>0.57999999999999996</v>
      </c>
      <c r="S296" s="1">
        <v>40552</v>
      </c>
      <c r="T296" t="str">
        <f t="shared" si="9"/>
        <v>09-Jan-2011</v>
      </c>
    </row>
    <row r="297" spans="1:20" x14ac:dyDescent="0.3">
      <c r="A297">
        <v>41991</v>
      </c>
      <c r="B297" s="1">
        <v>40895</v>
      </c>
      <c r="C297" t="s">
        <v>18</v>
      </c>
      <c r="D297" t="str">
        <f t="shared" si="8"/>
        <v>18-Dec-2011</v>
      </c>
      <c r="E297">
        <v>36</v>
      </c>
      <c r="F297" s="13">
        <v>1773.86</v>
      </c>
      <c r="G297">
        <v>0.06</v>
      </c>
      <c r="H297" t="s">
        <v>24</v>
      </c>
      <c r="I297" s="13">
        <v>133.30000000000001</v>
      </c>
      <c r="J297">
        <v>50.98</v>
      </c>
      <c r="K297">
        <v>14.19</v>
      </c>
      <c r="L297" t="s">
        <v>98</v>
      </c>
      <c r="M297" t="s">
        <v>85</v>
      </c>
      <c r="N297" s="5" t="s">
        <v>86</v>
      </c>
      <c r="O297" t="s">
        <v>28</v>
      </c>
      <c r="P297" t="s">
        <v>32</v>
      </c>
      <c r="Q297" t="s">
        <v>56</v>
      </c>
      <c r="R297">
        <v>0.56000000000000005</v>
      </c>
      <c r="S297" s="1">
        <v>40900</v>
      </c>
      <c r="T297" t="str">
        <f t="shared" si="9"/>
        <v>23-Dec-2011</v>
      </c>
    </row>
    <row r="298" spans="1:20" x14ac:dyDescent="0.3">
      <c r="A298">
        <v>32676</v>
      </c>
      <c r="B298" s="1">
        <v>39845</v>
      </c>
      <c r="C298" t="s">
        <v>43</v>
      </c>
      <c r="D298" t="str">
        <f t="shared" si="8"/>
        <v>01-Feb-2009</v>
      </c>
      <c r="E298">
        <v>37</v>
      </c>
      <c r="F298" s="13">
        <v>1697.44</v>
      </c>
      <c r="G298">
        <v>0.06</v>
      </c>
      <c r="H298" t="s">
        <v>19</v>
      </c>
      <c r="I298" s="13">
        <v>523.42999999999995</v>
      </c>
      <c r="J298">
        <v>45.19</v>
      </c>
      <c r="K298">
        <v>1.99</v>
      </c>
      <c r="L298" t="s">
        <v>90</v>
      </c>
      <c r="M298" t="s">
        <v>85</v>
      </c>
      <c r="N298" s="5" t="s">
        <v>86</v>
      </c>
      <c r="O298" t="s">
        <v>28</v>
      </c>
      <c r="P298" t="s">
        <v>29</v>
      </c>
      <c r="Q298" t="s">
        <v>41</v>
      </c>
      <c r="R298">
        <v>0.55000000000000004</v>
      </c>
      <c r="S298" s="1">
        <v>39848</v>
      </c>
      <c r="T298" t="str">
        <f t="shared" si="9"/>
        <v>04-Feb-2009</v>
      </c>
    </row>
    <row r="299" spans="1:20" x14ac:dyDescent="0.3">
      <c r="A299">
        <v>24451</v>
      </c>
      <c r="B299" s="1">
        <v>41246</v>
      </c>
      <c r="C299" t="s">
        <v>43</v>
      </c>
      <c r="D299" t="str">
        <f t="shared" si="8"/>
        <v>03-Dec-2012</v>
      </c>
      <c r="E299">
        <v>24</v>
      </c>
      <c r="F299" s="13">
        <v>1689.97</v>
      </c>
      <c r="G299">
        <v>0.06</v>
      </c>
      <c r="H299" t="s">
        <v>24</v>
      </c>
      <c r="I299" s="13">
        <v>-564.74</v>
      </c>
      <c r="J299">
        <v>68.81</v>
      </c>
      <c r="K299">
        <v>60</v>
      </c>
      <c r="L299" t="s">
        <v>77</v>
      </c>
      <c r="M299" t="s">
        <v>85</v>
      </c>
      <c r="N299" s="5" t="s">
        <v>86</v>
      </c>
      <c r="O299" t="s">
        <v>28</v>
      </c>
      <c r="P299" t="s">
        <v>21</v>
      </c>
      <c r="Q299" t="s">
        <v>25</v>
      </c>
      <c r="R299">
        <v>0.41</v>
      </c>
      <c r="S299" s="1">
        <v>41247</v>
      </c>
      <c r="T299" t="str">
        <f t="shared" si="9"/>
        <v>04-Dec-2012</v>
      </c>
    </row>
    <row r="300" spans="1:20" x14ac:dyDescent="0.3">
      <c r="A300">
        <v>15044</v>
      </c>
      <c r="B300" s="1">
        <v>40974</v>
      </c>
      <c r="C300" t="s">
        <v>18</v>
      </c>
      <c r="D300" t="str">
        <f t="shared" si="8"/>
        <v>06-Mar-2012</v>
      </c>
      <c r="E300">
        <v>42</v>
      </c>
      <c r="F300" s="13">
        <v>1681.6</v>
      </c>
      <c r="G300">
        <v>7.0000000000000007E-2</v>
      </c>
      <c r="H300" t="s">
        <v>19</v>
      </c>
      <c r="I300" s="13">
        <v>167.37</v>
      </c>
      <c r="J300">
        <v>39.99</v>
      </c>
      <c r="K300">
        <v>10.25</v>
      </c>
      <c r="L300" t="s">
        <v>88</v>
      </c>
      <c r="M300" t="s">
        <v>85</v>
      </c>
      <c r="N300" s="5" t="s">
        <v>86</v>
      </c>
      <c r="O300" t="s">
        <v>28</v>
      </c>
      <c r="P300" t="s">
        <v>29</v>
      </c>
      <c r="Q300" t="s">
        <v>41</v>
      </c>
      <c r="R300">
        <v>0.55000000000000004</v>
      </c>
      <c r="S300" s="1">
        <v>40978</v>
      </c>
      <c r="T300" t="str">
        <f t="shared" si="9"/>
        <v>10-Mar-2012</v>
      </c>
    </row>
    <row r="301" spans="1:20" x14ac:dyDescent="0.3">
      <c r="A301">
        <v>21378</v>
      </c>
      <c r="B301" s="1">
        <v>40762</v>
      </c>
      <c r="C301" t="s">
        <v>38</v>
      </c>
      <c r="D301" t="str">
        <f t="shared" si="8"/>
        <v>07-Aug-2011</v>
      </c>
      <c r="E301">
        <v>17</v>
      </c>
      <c r="F301" s="13">
        <v>1616.64</v>
      </c>
      <c r="G301">
        <v>7.0000000000000007E-2</v>
      </c>
      <c r="H301" t="s">
        <v>19</v>
      </c>
      <c r="I301" s="13">
        <v>26.94</v>
      </c>
      <c r="J301">
        <v>99.99</v>
      </c>
      <c r="K301">
        <v>19.989999999999998</v>
      </c>
      <c r="L301" t="s">
        <v>77</v>
      </c>
      <c r="M301" t="s">
        <v>85</v>
      </c>
      <c r="N301" s="5" t="s">
        <v>86</v>
      </c>
      <c r="O301" t="s">
        <v>28</v>
      </c>
      <c r="P301" t="s">
        <v>29</v>
      </c>
      <c r="Q301" t="s">
        <v>41</v>
      </c>
      <c r="R301">
        <v>0.5</v>
      </c>
      <c r="S301" s="1">
        <v>40765</v>
      </c>
      <c r="T301" t="str">
        <f t="shared" si="9"/>
        <v>10-Aug-2011</v>
      </c>
    </row>
    <row r="302" spans="1:20" x14ac:dyDescent="0.3">
      <c r="A302">
        <v>22469</v>
      </c>
      <c r="B302" s="1">
        <v>40462</v>
      </c>
      <c r="C302" t="s">
        <v>23</v>
      </c>
      <c r="D302" t="str">
        <f t="shared" si="8"/>
        <v>11-Oct-2010</v>
      </c>
      <c r="E302">
        <v>24</v>
      </c>
      <c r="F302" s="13">
        <v>1482.81</v>
      </c>
      <c r="G302">
        <v>0.03</v>
      </c>
      <c r="H302" t="s">
        <v>19</v>
      </c>
      <c r="I302" s="13">
        <v>-678.63</v>
      </c>
      <c r="J302">
        <v>60.98</v>
      </c>
      <c r="K302">
        <v>49</v>
      </c>
      <c r="L302" t="s">
        <v>77</v>
      </c>
      <c r="M302" t="s">
        <v>85</v>
      </c>
      <c r="N302" s="5" t="s">
        <v>86</v>
      </c>
      <c r="O302" t="s">
        <v>28</v>
      </c>
      <c r="P302" t="s">
        <v>21</v>
      </c>
      <c r="Q302" t="s">
        <v>25</v>
      </c>
      <c r="R302">
        <v>0.59</v>
      </c>
      <c r="S302" s="1">
        <v>40464</v>
      </c>
      <c r="T302" t="str">
        <f t="shared" si="9"/>
        <v>13-Oct-2010</v>
      </c>
    </row>
    <row r="303" spans="1:20" x14ac:dyDescent="0.3">
      <c r="A303">
        <v>35300</v>
      </c>
      <c r="B303" s="1">
        <v>40239</v>
      </c>
      <c r="C303" t="s">
        <v>38</v>
      </c>
      <c r="D303" t="str">
        <f t="shared" si="8"/>
        <v>02-Mar-2010</v>
      </c>
      <c r="E303">
        <v>35</v>
      </c>
      <c r="F303" s="13">
        <v>1445.6</v>
      </c>
      <c r="G303">
        <v>0.08</v>
      </c>
      <c r="H303" t="s">
        <v>19</v>
      </c>
      <c r="I303" s="13">
        <v>126.03</v>
      </c>
      <c r="J303">
        <v>41.32</v>
      </c>
      <c r="K303">
        <v>8.66</v>
      </c>
      <c r="L303" t="s">
        <v>94</v>
      </c>
      <c r="M303" t="s">
        <v>85</v>
      </c>
      <c r="N303" s="5" t="s">
        <v>86</v>
      </c>
      <c r="O303" t="s">
        <v>28</v>
      </c>
      <c r="P303" t="s">
        <v>32</v>
      </c>
      <c r="Q303" t="s">
        <v>33</v>
      </c>
      <c r="R303">
        <v>0.76</v>
      </c>
      <c r="S303" s="1">
        <v>40242</v>
      </c>
      <c r="T303" t="str">
        <f t="shared" si="9"/>
        <v>05-Mar-2010</v>
      </c>
    </row>
    <row r="304" spans="1:20" x14ac:dyDescent="0.3">
      <c r="A304">
        <v>44387</v>
      </c>
      <c r="B304" s="1">
        <v>39848</v>
      </c>
      <c r="C304" t="s">
        <v>18</v>
      </c>
      <c r="D304" t="str">
        <f t="shared" si="8"/>
        <v>04-Feb-2009</v>
      </c>
      <c r="E304">
        <v>50</v>
      </c>
      <c r="F304" s="13">
        <v>1441.57</v>
      </c>
      <c r="G304">
        <v>7.0000000000000007E-2</v>
      </c>
      <c r="H304" t="s">
        <v>35</v>
      </c>
      <c r="I304" s="13">
        <v>475.26</v>
      </c>
      <c r="J304">
        <v>29.89</v>
      </c>
      <c r="K304">
        <v>1.99</v>
      </c>
      <c r="L304" t="s">
        <v>88</v>
      </c>
      <c r="M304" t="s">
        <v>85</v>
      </c>
      <c r="N304" s="5" t="s">
        <v>86</v>
      </c>
      <c r="O304" t="s">
        <v>28</v>
      </c>
      <c r="P304" t="s">
        <v>29</v>
      </c>
      <c r="Q304" t="s">
        <v>41</v>
      </c>
      <c r="R304">
        <v>0.5</v>
      </c>
      <c r="S304" s="1">
        <v>39853</v>
      </c>
      <c r="T304" t="str">
        <f t="shared" si="9"/>
        <v>09-Feb-2009</v>
      </c>
    </row>
    <row r="305" spans="1:20" x14ac:dyDescent="0.3">
      <c r="A305">
        <v>8994</v>
      </c>
      <c r="B305" s="1">
        <v>39910</v>
      </c>
      <c r="C305" t="s">
        <v>18</v>
      </c>
      <c r="D305" t="str">
        <f t="shared" si="8"/>
        <v>07-Apr-2009</v>
      </c>
      <c r="E305">
        <v>36</v>
      </c>
      <c r="F305" s="13">
        <v>1423.35</v>
      </c>
      <c r="G305">
        <v>0.1</v>
      </c>
      <c r="H305" t="s">
        <v>19</v>
      </c>
      <c r="I305" s="13">
        <v>-580.32000000000005</v>
      </c>
      <c r="J305">
        <v>40.479999999999997</v>
      </c>
      <c r="K305">
        <v>19.989999999999998</v>
      </c>
      <c r="L305" t="s">
        <v>89</v>
      </c>
      <c r="M305" t="s">
        <v>85</v>
      </c>
      <c r="N305" s="5" t="s">
        <v>86</v>
      </c>
      <c r="O305" t="s">
        <v>28</v>
      </c>
      <c r="P305" t="s">
        <v>29</v>
      </c>
      <c r="Q305" t="s">
        <v>41</v>
      </c>
      <c r="R305">
        <v>0.77</v>
      </c>
      <c r="S305" s="1">
        <v>39912</v>
      </c>
      <c r="T305" t="str">
        <f t="shared" si="9"/>
        <v>09-Apr-2009</v>
      </c>
    </row>
    <row r="306" spans="1:20" x14ac:dyDescent="0.3">
      <c r="A306">
        <v>28836</v>
      </c>
      <c r="B306" s="1">
        <v>40475</v>
      </c>
      <c r="C306" t="s">
        <v>23</v>
      </c>
      <c r="D306" t="str">
        <f t="shared" si="8"/>
        <v>24-Oct-2010</v>
      </c>
      <c r="E306">
        <v>7</v>
      </c>
      <c r="F306" s="13">
        <v>1158.26</v>
      </c>
      <c r="G306">
        <v>0.06</v>
      </c>
      <c r="H306" t="s">
        <v>19</v>
      </c>
      <c r="I306" s="13">
        <v>170.08</v>
      </c>
      <c r="J306">
        <v>172.99</v>
      </c>
      <c r="K306">
        <v>19.989999999999998</v>
      </c>
      <c r="L306" t="s">
        <v>88</v>
      </c>
      <c r="M306" t="s">
        <v>85</v>
      </c>
      <c r="N306" s="5" t="s">
        <v>86</v>
      </c>
      <c r="O306" t="s">
        <v>28</v>
      </c>
      <c r="P306" t="s">
        <v>21</v>
      </c>
      <c r="Q306" t="s">
        <v>26</v>
      </c>
      <c r="R306">
        <v>0.39</v>
      </c>
      <c r="S306" s="1">
        <v>40477</v>
      </c>
      <c r="T306" t="str">
        <f t="shared" si="9"/>
        <v>26-Oct-2010</v>
      </c>
    </row>
    <row r="307" spans="1:20" x14ac:dyDescent="0.3">
      <c r="A307">
        <v>24965</v>
      </c>
      <c r="B307" s="1">
        <v>40631</v>
      </c>
      <c r="C307" t="s">
        <v>18</v>
      </c>
      <c r="D307" t="str">
        <f t="shared" si="8"/>
        <v>29-Mar-2011</v>
      </c>
      <c r="E307">
        <v>42</v>
      </c>
      <c r="F307" s="13">
        <v>1146.1099999999999</v>
      </c>
      <c r="G307">
        <v>0.09</v>
      </c>
      <c r="H307" t="s">
        <v>19</v>
      </c>
      <c r="I307" s="13">
        <v>330.63</v>
      </c>
      <c r="J307">
        <v>29.18</v>
      </c>
      <c r="K307">
        <v>8.5500000000000007</v>
      </c>
      <c r="L307" t="s">
        <v>77</v>
      </c>
      <c r="M307" t="s">
        <v>85</v>
      </c>
      <c r="N307" s="5" t="s">
        <v>86</v>
      </c>
      <c r="O307" t="s">
        <v>28</v>
      </c>
      <c r="P307" t="s">
        <v>32</v>
      </c>
      <c r="Q307" t="s">
        <v>33</v>
      </c>
      <c r="R307">
        <v>0.42</v>
      </c>
      <c r="S307" s="1">
        <v>40631</v>
      </c>
      <c r="T307" t="str">
        <f t="shared" si="9"/>
        <v>29-Mar-2011</v>
      </c>
    </row>
    <row r="308" spans="1:20" x14ac:dyDescent="0.3">
      <c r="A308">
        <v>17376</v>
      </c>
      <c r="B308" s="1">
        <v>40881</v>
      </c>
      <c r="C308" t="s">
        <v>23</v>
      </c>
      <c r="D308" t="str">
        <f t="shared" si="8"/>
        <v>04-Dec-2011</v>
      </c>
      <c r="E308">
        <v>44</v>
      </c>
      <c r="F308" s="13">
        <v>1127.81</v>
      </c>
      <c r="G308">
        <v>0.1</v>
      </c>
      <c r="H308" t="s">
        <v>19</v>
      </c>
      <c r="I308" s="13">
        <v>425.08</v>
      </c>
      <c r="J308">
        <v>28.48</v>
      </c>
      <c r="K308">
        <v>1.99</v>
      </c>
      <c r="L308" t="s">
        <v>90</v>
      </c>
      <c r="M308" t="s">
        <v>85</v>
      </c>
      <c r="N308" s="5" t="s">
        <v>86</v>
      </c>
      <c r="O308" t="s">
        <v>28</v>
      </c>
      <c r="P308" t="s">
        <v>29</v>
      </c>
      <c r="Q308" t="s">
        <v>41</v>
      </c>
      <c r="R308">
        <v>0.4</v>
      </c>
      <c r="S308" s="1">
        <v>40883</v>
      </c>
      <c r="T308" t="str">
        <f t="shared" si="9"/>
        <v>06-Dec-2011</v>
      </c>
    </row>
    <row r="309" spans="1:20" x14ac:dyDescent="0.3">
      <c r="A309">
        <v>4007</v>
      </c>
      <c r="B309" s="1">
        <v>40346</v>
      </c>
      <c r="C309" t="s">
        <v>23</v>
      </c>
      <c r="D309" t="str">
        <f t="shared" si="8"/>
        <v>17-Jun-2010</v>
      </c>
      <c r="E309">
        <v>18</v>
      </c>
      <c r="F309" s="13">
        <v>1038.4000000000001</v>
      </c>
      <c r="G309">
        <v>0.01</v>
      </c>
      <c r="H309" t="s">
        <v>19</v>
      </c>
      <c r="I309" s="13">
        <v>112.36</v>
      </c>
      <c r="J309">
        <v>56.96</v>
      </c>
      <c r="K309">
        <v>13.22</v>
      </c>
      <c r="L309" t="s">
        <v>77</v>
      </c>
      <c r="M309" t="s">
        <v>85</v>
      </c>
      <c r="N309" s="5" t="s">
        <v>86</v>
      </c>
      <c r="O309" t="s">
        <v>28</v>
      </c>
      <c r="P309" t="s">
        <v>21</v>
      </c>
      <c r="Q309" t="s">
        <v>25</v>
      </c>
      <c r="R309">
        <v>0.56000000000000005</v>
      </c>
      <c r="S309" s="1">
        <v>40347</v>
      </c>
      <c r="T309" t="str">
        <f t="shared" si="9"/>
        <v>18-Jun-2010</v>
      </c>
    </row>
    <row r="310" spans="1:20" x14ac:dyDescent="0.3">
      <c r="A310">
        <v>19617</v>
      </c>
      <c r="B310" s="1">
        <v>40928</v>
      </c>
      <c r="C310" t="s">
        <v>18</v>
      </c>
      <c r="D310" t="str">
        <f t="shared" si="8"/>
        <v>20-Jan-2012</v>
      </c>
      <c r="E310">
        <v>38</v>
      </c>
      <c r="F310" s="13">
        <v>952.47</v>
      </c>
      <c r="G310">
        <v>0.03</v>
      </c>
      <c r="H310" t="s">
        <v>19</v>
      </c>
      <c r="I310" s="13">
        <v>270.69</v>
      </c>
      <c r="J310">
        <v>23.99</v>
      </c>
      <c r="K310">
        <v>6.3</v>
      </c>
      <c r="L310" t="s">
        <v>77</v>
      </c>
      <c r="M310" t="s">
        <v>85</v>
      </c>
      <c r="N310" s="5" t="s">
        <v>86</v>
      </c>
      <c r="O310" t="s">
        <v>28</v>
      </c>
      <c r="P310" t="s">
        <v>29</v>
      </c>
      <c r="Q310" t="s">
        <v>74</v>
      </c>
      <c r="R310">
        <v>0.38</v>
      </c>
      <c r="S310" s="1">
        <v>40930</v>
      </c>
      <c r="T310" t="str">
        <f t="shared" si="9"/>
        <v>22-Jan-2012</v>
      </c>
    </row>
    <row r="311" spans="1:20" x14ac:dyDescent="0.3">
      <c r="A311">
        <v>45601</v>
      </c>
      <c r="B311" s="1">
        <v>40812</v>
      </c>
      <c r="C311" t="s">
        <v>23</v>
      </c>
      <c r="D311" t="str">
        <f t="shared" si="8"/>
        <v>26-Sep-2011</v>
      </c>
      <c r="E311">
        <v>47</v>
      </c>
      <c r="F311" s="13">
        <v>945.03</v>
      </c>
      <c r="G311">
        <v>0</v>
      </c>
      <c r="H311" t="s">
        <v>19</v>
      </c>
      <c r="I311" s="13">
        <v>267.64</v>
      </c>
      <c r="J311">
        <v>19.98</v>
      </c>
      <c r="K311">
        <v>5.97</v>
      </c>
      <c r="L311" t="s">
        <v>94</v>
      </c>
      <c r="M311" t="s">
        <v>85</v>
      </c>
      <c r="N311" s="5" t="s">
        <v>86</v>
      </c>
      <c r="O311" t="s">
        <v>28</v>
      </c>
      <c r="P311" t="s">
        <v>21</v>
      </c>
      <c r="Q311" t="s">
        <v>37</v>
      </c>
      <c r="R311">
        <v>0.38</v>
      </c>
      <c r="S311" s="1">
        <v>40814</v>
      </c>
      <c r="T311" t="str">
        <f t="shared" si="9"/>
        <v>28-Sep-2011</v>
      </c>
    </row>
    <row r="312" spans="1:20" x14ac:dyDescent="0.3">
      <c r="A312">
        <v>21378</v>
      </c>
      <c r="B312" s="1">
        <v>40762</v>
      </c>
      <c r="C312" t="s">
        <v>38</v>
      </c>
      <c r="D312" t="str">
        <f t="shared" si="8"/>
        <v>07-Aug-2011</v>
      </c>
      <c r="E312">
        <v>34</v>
      </c>
      <c r="F312" s="13">
        <v>937.04</v>
      </c>
      <c r="G312">
        <v>0.08</v>
      </c>
      <c r="H312" t="s">
        <v>19</v>
      </c>
      <c r="I312" s="13">
        <v>391.6</v>
      </c>
      <c r="J312">
        <v>28.53</v>
      </c>
      <c r="K312">
        <v>1.49</v>
      </c>
      <c r="L312" t="s">
        <v>77</v>
      </c>
      <c r="M312" t="s">
        <v>85</v>
      </c>
      <c r="N312" s="5" t="s">
        <v>86</v>
      </c>
      <c r="O312" t="s">
        <v>28</v>
      </c>
      <c r="P312" t="s">
        <v>21</v>
      </c>
      <c r="Q312" t="s">
        <v>26</v>
      </c>
      <c r="R312">
        <v>0.38</v>
      </c>
      <c r="S312" s="1">
        <v>40763</v>
      </c>
      <c r="T312" t="str">
        <f t="shared" si="9"/>
        <v>08-Aug-2011</v>
      </c>
    </row>
    <row r="313" spans="1:20" x14ac:dyDescent="0.3">
      <c r="A313">
        <v>18273</v>
      </c>
      <c r="B313" s="1">
        <v>40801</v>
      </c>
      <c r="C313" t="s">
        <v>18</v>
      </c>
      <c r="D313" t="str">
        <f t="shared" si="8"/>
        <v>15-Sep-2011</v>
      </c>
      <c r="E313">
        <v>18</v>
      </c>
      <c r="F313" s="13">
        <v>925.03</v>
      </c>
      <c r="G313">
        <v>0.06</v>
      </c>
      <c r="H313" t="s">
        <v>19</v>
      </c>
      <c r="I313" s="13">
        <v>-3.68</v>
      </c>
      <c r="J313">
        <v>49.99</v>
      </c>
      <c r="K313">
        <v>19.989999999999998</v>
      </c>
      <c r="L313" t="s">
        <v>77</v>
      </c>
      <c r="M313" t="s">
        <v>85</v>
      </c>
      <c r="N313" s="5" t="s">
        <v>86</v>
      </c>
      <c r="O313" t="s">
        <v>28</v>
      </c>
      <c r="P313" t="s">
        <v>29</v>
      </c>
      <c r="Q313" t="s">
        <v>41</v>
      </c>
      <c r="R313">
        <v>0.41</v>
      </c>
      <c r="S313" s="1">
        <v>40803</v>
      </c>
      <c r="T313" t="str">
        <f t="shared" si="9"/>
        <v>17-Sep-2011</v>
      </c>
    </row>
    <row r="314" spans="1:20" x14ac:dyDescent="0.3">
      <c r="A314">
        <v>24038</v>
      </c>
      <c r="B314" s="1">
        <v>40714</v>
      </c>
      <c r="C314" t="s">
        <v>23</v>
      </c>
      <c r="D314" t="str">
        <f t="shared" si="8"/>
        <v>20-Jun-2011</v>
      </c>
      <c r="E314">
        <v>15</v>
      </c>
      <c r="F314" s="13">
        <v>896.18050000000005</v>
      </c>
      <c r="G314">
        <v>0</v>
      </c>
      <c r="H314" t="s">
        <v>35</v>
      </c>
      <c r="I314" s="13">
        <v>82.04</v>
      </c>
      <c r="J314">
        <v>65.989999999999995</v>
      </c>
      <c r="K314">
        <v>5.26</v>
      </c>
      <c r="L314" t="s">
        <v>77</v>
      </c>
      <c r="M314" t="s">
        <v>85</v>
      </c>
      <c r="N314" s="5" t="s">
        <v>86</v>
      </c>
      <c r="O314" t="s">
        <v>28</v>
      </c>
      <c r="P314" t="s">
        <v>29</v>
      </c>
      <c r="Q314" t="s">
        <v>30</v>
      </c>
      <c r="R314">
        <v>0.56000000000000005</v>
      </c>
      <c r="S314" s="1">
        <v>40716</v>
      </c>
      <c r="T314" t="str">
        <f t="shared" si="9"/>
        <v>22-Jun-2011</v>
      </c>
    </row>
    <row r="315" spans="1:20" x14ac:dyDescent="0.3">
      <c r="A315">
        <v>10435</v>
      </c>
      <c r="B315" s="1">
        <v>40400</v>
      </c>
      <c r="C315" t="s">
        <v>38</v>
      </c>
      <c r="D315" t="str">
        <f t="shared" si="8"/>
        <v>10-Aug-2010</v>
      </c>
      <c r="E315">
        <v>38</v>
      </c>
      <c r="F315" s="13">
        <v>871.25</v>
      </c>
      <c r="G315">
        <v>0.06</v>
      </c>
      <c r="H315" t="s">
        <v>19</v>
      </c>
      <c r="I315" s="13">
        <v>-14.31</v>
      </c>
      <c r="J315">
        <v>22.99</v>
      </c>
      <c r="K315">
        <v>8.99</v>
      </c>
      <c r="L315" t="s">
        <v>91</v>
      </c>
      <c r="M315" t="s">
        <v>85</v>
      </c>
      <c r="N315" s="5" t="s">
        <v>86</v>
      </c>
      <c r="O315" t="s">
        <v>28</v>
      </c>
      <c r="P315" t="s">
        <v>21</v>
      </c>
      <c r="Q315" t="s">
        <v>50</v>
      </c>
      <c r="R315">
        <v>0.56999999999999995</v>
      </c>
      <c r="S315" s="1">
        <v>40402</v>
      </c>
      <c r="T315" t="str">
        <f t="shared" si="9"/>
        <v>12-Aug-2010</v>
      </c>
    </row>
    <row r="316" spans="1:20" x14ac:dyDescent="0.3">
      <c r="A316">
        <v>41991</v>
      </c>
      <c r="B316" s="1">
        <v>40895</v>
      </c>
      <c r="C316" t="s">
        <v>18</v>
      </c>
      <c r="D316" t="str">
        <f t="shared" si="8"/>
        <v>18-Dec-2011</v>
      </c>
      <c r="E316">
        <v>18</v>
      </c>
      <c r="F316" s="13">
        <v>813.9</v>
      </c>
      <c r="G316">
        <v>0.06</v>
      </c>
      <c r="H316" t="s">
        <v>19</v>
      </c>
      <c r="I316" s="13">
        <v>256.66000000000003</v>
      </c>
      <c r="J316">
        <v>45.98</v>
      </c>
      <c r="K316">
        <v>4.8</v>
      </c>
      <c r="L316" t="s">
        <v>98</v>
      </c>
      <c r="M316" t="s">
        <v>85</v>
      </c>
      <c r="N316" s="5" t="s">
        <v>86</v>
      </c>
      <c r="O316" t="s">
        <v>28</v>
      </c>
      <c r="P316" t="s">
        <v>32</v>
      </c>
      <c r="Q316" t="s">
        <v>33</v>
      </c>
      <c r="R316">
        <v>0.68</v>
      </c>
      <c r="S316" s="1">
        <v>40899</v>
      </c>
      <c r="T316" t="str">
        <f t="shared" si="9"/>
        <v>22-Dec-2011</v>
      </c>
    </row>
    <row r="317" spans="1:20" x14ac:dyDescent="0.3">
      <c r="A317">
        <v>59234</v>
      </c>
      <c r="B317" s="1">
        <v>41119</v>
      </c>
      <c r="C317" t="s">
        <v>18</v>
      </c>
      <c r="D317" t="str">
        <f t="shared" si="8"/>
        <v>29-Jul-2012</v>
      </c>
      <c r="E317">
        <v>16</v>
      </c>
      <c r="F317" s="13">
        <v>797.24</v>
      </c>
      <c r="G317">
        <v>0.04</v>
      </c>
      <c r="H317" t="s">
        <v>24</v>
      </c>
      <c r="I317" s="13">
        <v>11.46</v>
      </c>
      <c r="J317">
        <v>50.98</v>
      </c>
      <c r="K317">
        <v>14.19</v>
      </c>
      <c r="L317" t="s">
        <v>64</v>
      </c>
      <c r="M317" t="s">
        <v>85</v>
      </c>
      <c r="N317" s="5" t="s">
        <v>86</v>
      </c>
      <c r="O317" t="s">
        <v>28</v>
      </c>
      <c r="P317" t="s">
        <v>32</v>
      </c>
      <c r="Q317" t="s">
        <v>56</v>
      </c>
      <c r="R317">
        <v>0.56000000000000005</v>
      </c>
      <c r="S317" s="1">
        <v>41124</v>
      </c>
      <c r="T317" t="str">
        <f t="shared" si="9"/>
        <v>03-Aug-2012</v>
      </c>
    </row>
    <row r="318" spans="1:20" x14ac:dyDescent="0.3">
      <c r="A318">
        <v>15139</v>
      </c>
      <c r="B318" s="1">
        <v>40136</v>
      </c>
      <c r="C318" t="s">
        <v>23</v>
      </c>
      <c r="D318" t="str">
        <f t="shared" si="8"/>
        <v>19-Nov-2009</v>
      </c>
      <c r="E318">
        <v>33</v>
      </c>
      <c r="F318" s="13">
        <v>744.12</v>
      </c>
      <c r="G318">
        <v>0.01</v>
      </c>
      <c r="H318" t="s">
        <v>24</v>
      </c>
      <c r="I318" s="13">
        <v>-1163.21</v>
      </c>
      <c r="J318">
        <v>20.98</v>
      </c>
      <c r="K318">
        <v>45</v>
      </c>
      <c r="L318" t="s">
        <v>87</v>
      </c>
      <c r="M318" t="s">
        <v>85</v>
      </c>
      <c r="N318" s="5" t="s">
        <v>86</v>
      </c>
      <c r="O318" t="s">
        <v>28</v>
      </c>
      <c r="P318" t="s">
        <v>21</v>
      </c>
      <c r="Q318" t="s">
        <v>22</v>
      </c>
      <c r="R318">
        <v>0.61</v>
      </c>
      <c r="S318" s="1">
        <v>40136</v>
      </c>
      <c r="T318" t="str">
        <f t="shared" si="9"/>
        <v>19-Nov-2009</v>
      </c>
    </row>
    <row r="319" spans="1:20" x14ac:dyDescent="0.3">
      <c r="A319">
        <v>23076</v>
      </c>
      <c r="B319" s="1">
        <v>39960</v>
      </c>
      <c r="C319" t="s">
        <v>43</v>
      </c>
      <c r="D319" t="str">
        <f t="shared" si="8"/>
        <v>27-May-2009</v>
      </c>
      <c r="E319">
        <v>50</v>
      </c>
      <c r="F319" s="13">
        <v>742.21</v>
      </c>
      <c r="G319">
        <v>0.03</v>
      </c>
      <c r="H319" t="s">
        <v>19</v>
      </c>
      <c r="I319" s="13">
        <v>122.21</v>
      </c>
      <c r="J319">
        <v>14.2</v>
      </c>
      <c r="K319">
        <v>5.3</v>
      </c>
      <c r="L319" t="s">
        <v>94</v>
      </c>
      <c r="M319" t="s">
        <v>85</v>
      </c>
      <c r="N319" s="5" t="s">
        <v>86</v>
      </c>
      <c r="O319" t="s">
        <v>28</v>
      </c>
      <c r="P319" t="s">
        <v>32</v>
      </c>
      <c r="Q319" t="s">
        <v>33</v>
      </c>
      <c r="R319">
        <v>0.46</v>
      </c>
      <c r="S319" s="1">
        <v>39961</v>
      </c>
      <c r="T319" t="str">
        <f t="shared" si="9"/>
        <v>28-May-2009</v>
      </c>
    </row>
    <row r="320" spans="1:20" x14ac:dyDescent="0.3">
      <c r="A320">
        <v>48199</v>
      </c>
      <c r="B320" s="1">
        <v>39831</v>
      </c>
      <c r="C320" t="s">
        <v>31</v>
      </c>
      <c r="D320" t="str">
        <f t="shared" si="8"/>
        <v>18-Jan-2009</v>
      </c>
      <c r="E320">
        <v>47</v>
      </c>
      <c r="F320" s="13">
        <v>672.46</v>
      </c>
      <c r="G320">
        <v>0.1</v>
      </c>
      <c r="H320" t="s">
        <v>19</v>
      </c>
      <c r="I320" s="13">
        <v>279.74</v>
      </c>
      <c r="J320">
        <v>15.74</v>
      </c>
      <c r="K320">
        <v>1.39</v>
      </c>
      <c r="L320" t="s">
        <v>88</v>
      </c>
      <c r="M320" t="s">
        <v>85</v>
      </c>
      <c r="N320" s="5" t="s">
        <v>86</v>
      </c>
      <c r="O320" t="s">
        <v>28</v>
      </c>
      <c r="P320" t="s">
        <v>21</v>
      </c>
      <c r="Q320" t="s">
        <v>42</v>
      </c>
      <c r="R320">
        <v>0.4</v>
      </c>
      <c r="S320" s="1">
        <v>39834</v>
      </c>
      <c r="T320" t="str">
        <f t="shared" si="9"/>
        <v>21-Jan-2009</v>
      </c>
    </row>
    <row r="321" spans="1:20" x14ac:dyDescent="0.3">
      <c r="A321">
        <v>28995</v>
      </c>
      <c r="B321" s="1">
        <v>40310</v>
      </c>
      <c r="C321" t="s">
        <v>23</v>
      </c>
      <c r="D321" t="str">
        <f t="shared" si="8"/>
        <v>12-May-2010</v>
      </c>
      <c r="E321">
        <v>34</v>
      </c>
      <c r="F321" s="13">
        <v>667.35</v>
      </c>
      <c r="G321">
        <v>0.04</v>
      </c>
      <c r="H321" t="s">
        <v>19</v>
      </c>
      <c r="I321" s="13">
        <v>80.92</v>
      </c>
      <c r="J321">
        <v>19.98</v>
      </c>
      <c r="K321">
        <v>8.68</v>
      </c>
      <c r="L321" t="s">
        <v>92</v>
      </c>
      <c r="M321" t="s">
        <v>85</v>
      </c>
      <c r="N321" s="5" t="s">
        <v>86</v>
      </c>
      <c r="O321" t="s">
        <v>28</v>
      </c>
      <c r="P321" t="s">
        <v>21</v>
      </c>
      <c r="Q321" t="s">
        <v>37</v>
      </c>
      <c r="R321">
        <v>0.37</v>
      </c>
      <c r="S321" s="1">
        <v>40311</v>
      </c>
      <c r="T321" t="str">
        <f t="shared" si="9"/>
        <v>13-May-2010</v>
      </c>
    </row>
    <row r="322" spans="1:20" x14ac:dyDescent="0.3">
      <c r="A322">
        <v>42918</v>
      </c>
      <c r="B322" s="1">
        <v>40685</v>
      </c>
      <c r="C322" t="s">
        <v>23</v>
      </c>
      <c r="D322" t="str">
        <f t="shared" ref="D322:D385" si="10">TEXT(B322, "dd-mmm-yyyy" )</f>
        <v>22-May-2011</v>
      </c>
      <c r="E322">
        <v>46</v>
      </c>
      <c r="F322" s="13">
        <v>648.26</v>
      </c>
      <c r="G322">
        <v>7.0000000000000007E-2</v>
      </c>
      <c r="H322" t="s">
        <v>19</v>
      </c>
      <c r="I322" s="13">
        <v>30.48</v>
      </c>
      <c r="J322">
        <v>14.27</v>
      </c>
      <c r="K322">
        <v>7.27</v>
      </c>
      <c r="L322" t="s">
        <v>100</v>
      </c>
      <c r="M322" t="s">
        <v>85</v>
      </c>
      <c r="N322" s="5" t="s">
        <v>86</v>
      </c>
      <c r="O322" t="s">
        <v>28</v>
      </c>
      <c r="P322" t="s">
        <v>21</v>
      </c>
      <c r="Q322" t="s">
        <v>26</v>
      </c>
      <c r="R322">
        <v>0.38</v>
      </c>
      <c r="S322" s="1">
        <v>40687</v>
      </c>
      <c r="T322" t="str">
        <f t="shared" ref="T322:T385" si="11">TEXT(S322, "dd-mmm-yyyy")</f>
        <v>24-May-2011</v>
      </c>
    </row>
    <row r="323" spans="1:20" x14ac:dyDescent="0.3">
      <c r="A323">
        <v>37888</v>
      </c>
      <c r="B323" s="1">
        <v>40169</v>
      </c>
      <c r="C323" t="s">
        <v>43</v>
      </c>
      <c r="D323" t="str">
        <f t="shared" si="10"/>
        <v>22-Dec-2009</v>
      </c>
      <c r="E323">
        <v>31</v>
      </c>
      <c r="F323" s="13">
        <v>639.19000000000005</v>
      </c>
      <c r="G323">
        <v>0.09</v>
      </c>
      <c r="H323" t="s">
        <v>19</v>
      </c>
      <c r="I323" s="13">
        <v>274.89999999999998</v>
      </c>
      <c r="J323">
        <v>20.98</v>
      </c>
      <c r="K323">
        <v>1.49</v>
      </c>
      <c r="L323" t="s">
        <v>92</v>
      </c>
      <c r="M323" t="s">
        <v>85</v>
      </c>
      <c r="N323" s="5" t="s">
        <v>86</v>
      </c>
      <c r="O323" t="s">
        <v>28</v>
      </c>
      <c r="P323" t="s">
        <v>21</v>
      </c>
      <c r="Q323" t="s">
        <v>26</v>
      </c>
      <c r="R323">
        <v>0.35</v>
      </c>
      <c r="S323" s="1">
        <v>40171</v>
      </c>
      <c r="T323" t="str">
        <f t="shared" si="11"/>
        <v>24-Dec-2009</v>
      </c>
    </row>
    <row r="324" spans="1:20" x14ac:dyDescent="0.3">
      <c r="A324">
        <v>32835</v>
      </c>
      <c r="B324" s="1">
        <v>41097</v>
      </c>
      <c r="C324" t="s">
        <v>38</v>
      </c>
      <c r="D324" t="str">
        <f t="shared" si="10"/>
        <v>07-Jul-2012</v>
      </c>
      <c r="E324">
        <v>15</v>
      </c>
      <c r="F324" s="13">
        <v>572.4325</v>
      </c>
      <c r="G324">
        <v>0.05</v>
      </c>
      <c r="H324" t="s">
        <v>19</v>
      </c>
      <c r="I324" s="13">
        <v>-19.440000000000001</v>
      </c>
      <c r="J324">
        <v>45.99</v>
      </c>
      <c r="K324">
        <v>4.99</v>
      </c>
      <c r="L324" t="s">
        <v>90</v>
      </c>
      <c r="M324" t="s">
        <v>85</v>
      </c>
      <c r="N324" s="5" t="s">
        <v>86</v>
      </c>
      <c r="O324" t="s">
        <v>28</v>
      </c>
      <c r="P324" t="s">
        <v>29</v>
      </c>
      <c r="Q324" t="s">
        <v>30</v>
      </c>
      <c r="R324">
        <v>0.56000000000000005</v>
      </c>
      <c r="S324" s="1">
        <v>41099</v>
      </c>
      <c r="T324" t="str">
        <f t="shared" si="11"/>
        <v>09-Jul-2012</v>
      </c>
    </row>
    <row r="325" spans="1:20" x14ac:dyDescent="0.3">
      <c r="A325">
        <v>18788</v>
      </c>
      <c r="B325" s="1">
        <v>40088</v>
      </c>
      <c r="C325" t="s">
        <v>31</v>
      </c>
      <c r="D325" t="str">
        <f t="shared" si="10"/>
        <v>02-Oct-2009</v>
      </c>
      <c r="E325">
        <v>27</v>
      </c>
      <c r="F325" s="13">
        <v>566.12</v>
      </c>
      <c r="G325">
        <v>0.03</v>
      </c>
      <c r="H325" t="s">
        <v>19</v>
      </c>
      <c r="I325" s="13">
        <v>-19.329999999999998</v>
      </c>
      <c r="J325">
        <v>19.989999999999998</v>
      </c>
      <c r="K325">
        <v>11.17</v>
      </c>
      <c r="L325" t="s">
        <v>90</v>
      </c>
      <c r="M325" t="s">
        <v>85</v>
      </c>
      <c r="N325" s="5" t="s">
        <v>86</v>
      </c>
      <c r="O325" t="s">
        <v>28</v>
      </c>
      <c r="P325" t="s">
        <v>32</v>
      </c>
      <c r="Q325" t="s">
        <v>33</v>
      </c>
      <c r="R325">
        <v>0.6</v>
      </c>
      <c r="S325" s="1">
        <v>40089</v>
      </c>
      <c r="T325" t="str">
        <f t="shared" si="11"/>
        <v>03-Oct-2009</v>
      </c>
    </row>
    <row r="326" spans="1:20" x14ac:dyDescent="0.3">
      <c r="A326">
        <v>41991</v>
      </c>
      <c r="B326" s="1">
        <v>40895</v>
      </c>
      <c r="C326" t="s">
        <v>18</v>
      </c>
      <c r="D326" t="str">
        <f t="shared" si="10"/>
        <v>18-Dec-2011</v>
      </c>
      <c r="E326">
        <v>35</v>
      </c>
      <c r="F326" s="13">
        <v>543.22</v>
      </c>
      <c r="G326">
        <v>0</v>
      </c>
      <c r="H326" t="s">
        <v>19</v>
      </c>
      <c r="I326" s="13">
        <v>68.44</v>
      </c>
      <c r="J326">
        <v>14.58</v>
      </c>
      <c r="K326">
        <v>7.4</v>
      </c>
      <c r="L326" t="s">
        <v>98</v>
      </c>
      <c r="M326" t="s">
        <v>85</v>
      </c>
      <c r="N326" s="5" t="s">
        <v>86</v>
      </c>
      <c r="O326" t="s">
        <v>28</v>
      </c>
      <c r="P326" t="s">
        <v>32</v>
      </c>
      <c r="Q326" t="s">
        <v>33</v>
      </c>
      <c r="R326">
        <v>0.48</v>
      </c>
      <c r="S326" s="1">
        <v>40899</v>
      </c>
      <c r="T326" t="str">
        <f t="shared" si="11"/>
        <v>22-Dec-2011</v>
      </c>
    </row>
    <row r="327" spans="1:20" x14ac:dyDescent="0.3">
      <c r="A327">
        <v>10435</v>
      </c>
      <c r="B327" s="1">
        <v>40400</v>
      </c>
      <c r="C327" t="s">
        <v>38</v>
      </c>
      <c r="D327" t="str">
        <f t="shared" si="10"/>
        <v>10-Aug-2010</v>
      </c>
      <c r="E327">
        <v>46</v>
      </c>
      <c r="F327" s="13">
        <v>537.87</v>
      </c>
      <c r="G327">
        <v>0.05</v>
      </c>
      <c r="H327" t="s">
        <v>19</v>
      </c>
      <c r="I327" s="13">
        <v>-162.24</v>
      </c>
      <c r="J327">
        <v>11.66</v>
      </c>
      <c r="K327">
        <v>7.95</v>
      </c>
      <c r="L327" t="s">
        <v>91</v>
      </c>
      <c r="M327" t="s">
        <v>85</v>
      </c>
      <c r="N327" s="5" t="s">
        <v>86</v>
      </c>
      <c r="O327" t="s">
        <v>28</v>
      </c>
      <c r="P327" t="s">
        <v>21</v>
      </c>
      <c r="Q327" t="s">
        <v>50</v>
      </c>
      <c r="R327">
        <v>0.57999999999999996</v>
      </c>
      <c r="S327" s="1">
        <v>40401</v>
      </c>
      <c r="T327" t="str">
        <f t="shared" si="11"/>
        <v>11-Aug-2010</v>
      </c>
    </row>
    <row r="328" spans="1:20" x14ac:dyDescent="0.3">
      <c r="A328">
        <v>12934</v>
      </c>
      <c r="B328" s="1">
        <v>39877</v>
      </c>
      <c r="C328" t="s">
        <v>31</v>
      </c>
      <c r="D328" t="str">
        <f t="shared" si="10"/>
        <v>05-Mar-2009</v>
      </c>
      <c r="E328">
        <v>45</v>
      </c>
      <c r="F328" s="13">
        <v>440.39</v>
      </c>
      <c r="G328">
        <v>0.05</v>
      </c>
      <c r="H328" t="s">
        <v>19</v>
      </c>
      <c r="I328" s="13">
        <v>186.64</v>
      </c>
      <c r="J328">
        <v>9.7799999999999994</v>
      </c>
      <c r="K328">
        <v>1.39</v>
      </c>
      <c r="L328" t="s">
        <v>87</v>
      </c>
      <c r="M328" t="s">
        <v>85</v>
      </c>
      <c r="N328" s="5" t="s">
        <v>86</v>
      </c>
      <c r="O328" t="s">
        <v>28</v>
      </c>
      <c r="P328" t="s">
        <v>21</v>
      </c>
      <c r="Q328" t="s">
        <v>42</v>
      </c>
      <c r="R328">
        <v>0.39</v>
      </c>
      <c r="S328" s="1">
        <v>39878</v>
      </c>
      <c r="T328" t="str">
        <f t="shared" si="11"/>
        <v>06-Mar-2009</v>
      </c>
    </row>
    <row r="329" spans="1:20" x14ac:dyDescent="0.3">
      <c r="A329">
        <v>9574</v>
      </c>
      <c r="B329" s="1">
        <v>40754</v>
      </c>
      <c r="C329" t="s">
        <v>38</v>
      </c>
      <c r="D329" t="str">
        <f t="shared" si="10"/>
        <v>30-Jul-2011</v>
      </c>
      <c r="E329">
        <v>40</v>
      </c>
      <c r="F329" s="13">
        <v>434.62</v>
      </c>
      <c r="G329">
        <v>0.08</v>
      </c>
      <c r="H329" t="s">
        <v>19</v>
      </c>
      <c r="I329" s="13">
        <v>-68.98</v>
      </c>
      <c r="J329">
        <v>11.5</v>
      </c>
      <c r="K329">
        <v>7.19</v>
      </c>
      <c r="L329" t="s">
        <v>90</v>
      </c>
      <c r="M329" t="s">
        <v>85</v>
      </c>
      <c r="N329" s="5" t="s">
        <v>86</v>
      </c>
      <c r="O329" t="s">
        <v>28</v>
      </c>
      <c r="P329" t="s">
        <v>21</v>
      </c>
      <c r="Q329" t="s">
        <v>26</v>
      </c>
      <c r="R329">
        <v>0.4</v>
      </c>
      <c r="S329" s="1">
        <v>40755</v>
      </c>
      <c r="T329" t="str">
        <f t="shared" si="11"/>
        <v>31-Jul-2011</v>
      </c>
    </row>
    <row r="330" spans="1:20" x14ac:dyDescent="0.3">
      <c r="A330">
        <v>5446</v>
      </c>
      <c r="B330" s="1">
        <v>39984</v>
      </c>
      <c r="C330" t="s">
        <v>18</v>
      </c>
      <c r="D330" t="str">
        <f t="shared" si="10"/>
        <v>20-Jun-2009</v>
      </c>
      <c r="E330">
        <v>42</v>
      </c>
      <c r="F330" s="13">
        <v>433.68</v>
      </c>
      <c r="G330">
        <v>7.0000000000000007E-2</v>
      </c>
      <c r="H330" t="s">
        <v>19</v>
      </c>
      <c r="I330" s="13">
        <v>44.1</v>
      </c>
      <c r="J330">
        <v>10.98</v>
      </c>
      <c r="K330">
        <v>4.8</v>
      </c>
      <c r="L330" t="s">
        <v>87</v>
      </c>
      <c r="M330" t="s">
        <v>85</v>
      </c>
      <c r="N330" s="5" t="s">
        <v>86</v>
      </c>
      <c r="O330" t="s">
        <v>28</v>
      </c>
      <c r="P330" t="s">
        <v>21</v>
      </c>
      <c r="Q330" t="s">
        <v>42</v>
      </c>
      <c r="R330">
        <v>0.36</v>
      </c>
      <c r="S330" s="1">
        <v>39991</v>
      </c>
      <c r="T330" t="str">
        <f t="shared" si="11"/>
        <v>27-Jun-2009</v>
      </c>
    </row>
    <row r="331" spans="1:20" x14ac:dyDescent="0.3">
      <c r="A331">
        <v>42918</v>
      </c>
      <c r="B331" s="1">
        <v>40685</v>
      </c>
      <c r="C331" t="s">
        <v>23</v>
      </c>
      <c r="D331" t="str">
        <f t="shared" si="10"/>
        <v>22-May-2011</v>
      </c>
      <c r="E331">
        <v>46</v>
      </c>
      <c r="F331" s="13">
        <v>410.43</v>
      </c>
      <c r="G331">
        <v>0.1</v>
      </c>
      <c r="H331" t="s">
        <v>19</v>
      </c>
      <c r="I331" s="13">
        <v>-54.58</v>
      </c>
      <c r="J331">
        <v>9.49</v>
      </c>
      <c r="K331">
        <v>5.76</v>
      </c>
      <c r="L331" t="s">
        <v>100</v>
      </c>
      <c r="M331" t="s">
        <v>85</v>
      </c>
      <c r="N331" s="5" t="s">
        <v>86</v>
      </c>
      <c r="O331" t="s">
        <v>28</v>
      </c>
      <c r="P331" t="s">
        <v>29</v>
      </c>
      <c r="Q331" t="s">
        <v>74</v>
      </c>
      <c r="R331">
        <v>0.39</v>
      </c>
      <c r="S331" s="1">
        <v>40687</v>
      </c>
      <c r="T331" t="str">
        <f t="shared" si="11"/>
        <v>24-May-2011</v>
      </c>
    </row>
    <row r="332" spans="1:20" x14ac:dyDescent="0.3">
      <c r="A332">
        <v>21542</v>
      </c>
      <c r="B332" s="1">
        <v>40684</v>
      </c>
      <c r="C332" t="s">
        <v>23</v>
      </c>
      <c r="D332" t="str">
        <f t="shared" si="10"/>
        <v>21-May-2011</v>
      </c>
      <c r="E332">
        <v>18</v>
      </c>
      <c r="F332" s="13">
        <v>404.3</v>
      </c>
      <c r="G332">
        <v>0.04</v>
      </c>
      <c r="H332" t="s">
        <v>19</v>
      </c>
      <c r="I332" s="13">
        <v>-27.34</v>
      </c>
      <c r="J332">
        <v>21.38</v>
      </c>
      <c r="K332">
        <v>8.99</v>
      </c>
      <c r="L332" t="s">
        <v>97</v>
      </c>
      <c r="M332" t="s">
        <v>85</v>
      </c>
      <c r="N332" s="5" t="s">
        <v>86</v>
      </c>
      <c r="O332" t="s">
        <v>28</v>
      </c>
      <c r="P332" t="s">
        <v>21</v>
      </c>
      <c r="Q332" t="s">
        <v>50</v>
      </c>
      <c r="R332">
        <v>0.59</v>
      </c>
      <c r="S332" s="1">
        <v>40685</v>
      </c>
      <c r="T332" t="str">
        <f t="shared" si="11"/>
        <v>22-May-2011</v>
      </c>
    </row>
    <row r="333" spans="1:20" x14ac:dyDescent="0.3">
      <c r="A333">
        <v>42754</v>
      </c>
      <c r="B333" s="1">
        <v>40414</v>
      </c>
      <c r="C333" t="s">
        <v>43</v>
      </c>
      <c r="D333" t="str">
        <f t="shared" si="10"/>
        <v>24-Aug-2010</v>
      </c>
      <c r="E333">
        <v>31</v>
      </c>
      <c r="F333" s="13">
        <v>341.71</v>
      </c>
      <c r="G333">
        <v>0.04</v>
      </c>
      <c r="H333" t="s">
        <v>19</v>
      </c>
      <c r="I333" s="13">
        <v>32.19</v>
      </c>
      <c r="J333">
        <v>10.98</v>
      </c>
      <c r="K333">
        <v>5.14</v>
      </c>
      <c r="L333" t="s">
        <v>95</v>
      </c>
      <c r="M333" t="s">
        <v>85</v>
      </c>
      <c r="N333" s="5" t="s">
        <v>86</v>
      </c>
      <c r="O333" t="s">
        <v>28</v>
      </c>
      <c r="P333" t="s">
        <v>21</v>
      </c>
      <c r="Q333" t="s">
        <v>26</v>
      </c>
      <c r="R333">
        <v>0.36</v>
      </c>
      <c r="S333" s="1">
        <v>40415</v>
      </c>
      <c r="T333" t="str">
        <f t="shared" si="11"/>
        <v>25-Aug-2010</v>
      </c>
    </row>
    <row r="334" spans="1:20" x14ac:dyDescent="0.3">
      <c r="A334">
        <v>19042</v>
      </c>
      <c r="B334" s="1">
        <v>39873</v>
      </c>
      <c r="C334" t="s">
        <v>43</v>
      </c>
      <c r="D334" t="str">
        <f t="shared" si="10"/>
        <v>01-Mar-2009</v>
      </c>
      <c r="E334">
        <v>8</v>
      </c>
      <c r="F334" s="13">
        <v>327.61</v>
      </c>
      <c r="G334">
        <v>7.0000000000000007E-2</v>
      </c>
      <c r="H334" t="s">
        <v>19</v>
      </c>
      <c r="I334" s="13">
        <v>54.9</v>
      </c>
      <c r="J334">
        <v>40.98</v>
      </c>
      <c r="K334">
        <v>7.47</v>
      </c>
      <c r="L334" t="s">
        <v>91</v>
      </c>
      <c r="M334" t="s">
        <v>85</v>
      </c>
      <c r="N334" s="5" t="s">
        <v>86</v>
      </c>
      <c r="O334" t="s">
        <v>28</v>
      </c>
      <c r="P334" t="s">
        <v>21</v>
      </c>
      <c r="Q334" t="s">
        <v>26</v>
      </c>
      <c r="R334">
        <v>0.37</v>
      </c>
      <c r="S334" s="1">
        <v>39874</v>
      </c>
      <c r="T334" t="str">
        <f t="shared" si="11"/>
        <v>02-Mar-2009</v>
      </c>
    </row>
    <row r="335" spans="1:20" x14ac:dyDescent="0.3">
      <c r="A335">
        <v>45606</v>
      </c>
      <c r="B335" s="1">
        <v>40808</v>
      </c>
      <c r="C335" t="s">
        <v>38</v>
      </c>
      <c r="D335" t="str">
        <f t="shared" si="10"/>
        <v>22-Sep-2011</v>
      </c>
      <c r="E335">
        <v>38</v>
      </c>
      <c r="F335" s="13">
        <v>325.75</v>
      </c>
      <c r="G335">
        <v>0.1</v>
      </c>
      <c r="H335" t="s">
        <v>19</v>
      </c>
      <c r="I335" s="13">
        <v>-124.25</v>
      </c>
      <c r="J335">
        <v>8.75</v>
      </c>
      <c r="K335">
        <v>8.5399999999999991</v>
      </c>
      <c r="L335" t="s">
        <v>99</v>
      </c>
      <c r="M335" t="s">
        <v>85</v>
      </c>
      <c r="N335" s="5" t="s">
        <v>86</v>
      </c>
      <c r="O335" t="s">
        <v>28</v>
      </c>
      <c r="P335" t="s">
        <v>32</v>
      </c>
      <c r="Q335" t="s">
        <v>33</v>
      </c>
      <c r="R335">
        <v>0.43</v>
      </c>
      <c r="S335" s="1">
        <v>40810</v>
      </c>
      <c r="T335" t="str">
        <f t="shared" si="11"/>
        <v>24-Sep-2011</v>
      </c>
    </row>
    <row r="336" spans="1:20" x14ac:dyDescent="0.3">
      <c r="A336">
        <v>58368</v>
      </c>
      <c r="B336" s="1">
        <v>41099</v>
      </c>
      <c r="C336" t="s">
        <v>23</v>
      </c>
      <c r="D336" t="str">
        <f t="shared" si="10"/>
        <v>09-Jul-2012</v>
      </c>
      <c r="E336">
        <v>5</v>
      </c>
      <c r="F336" s="13">
        <v>325.43</v>
      </c>
      <c r="G336">
        <v>0.09</v>
      </c>
      <c r="H336" t="s">
        <v>35</v>
      </c>
      <c r="I336" s="13">
        <v>-76.11</v>
      </c>
      <c r="J336">
        <v>64.98</v>
      </c>
      <c r="K336">
        <v>6.88</v>
      </c>
      <c r="L336" t="s">
        <v>71</v>
      </c>
      <c r="M336" t="s">
        <v>85</v>
      </c>
      <c r="N336" s="5" t="s">
        <v>86</v>
      </c>
      <c r="O336" t="s">
        <v>28</v>
      </c>
      <c r="P336" t="s">
        <v>21</v>
      </c>
      <c r="Q336" t="s">
        <v>22</v>
      </c>
      <c r="R336">
        <v>0.73</v>
      </c>
      <c r="S336" s="1">
        <v>41099</v>
      </c>
      <c r="T336" t="str">
        <f t="shared" si="11"/>
        <v>09-Jul-2012</v>
      </c>
    </row>
    <row r="337" spans="1:20" x14ac:dyDescent="0.3">
      <c r="A337">
        <v>32869</v>
      </c>
      <c r="B337" s="1">
        <v>39899</v>
      </c>
      <c r="C337" t="s">
        <v>38</v>
      </c>
      <c r="D337" t="str">
        <f t="shared" si="10"/>
        <v>27-Mar-2009</v>
      </c>
      <c r="E337">
        <v>41</v>
      </c>
      <c r="F337" s="13">
        <v>322.02999999999997</v>
      </c>
      <c r="G337">
        <v>0.06</v>
      </c>
      <c r="H337" t="s">
        <v>19</v>
      </c>
      <c r="I337" s="13">
        <v>-82.83</v>
      </c>
      <c r="J337">
        <v>8.1199999999999992</v>
      </c>
      <c r="K337">
        <v>2.83</v>
      </c>
      <c r="L337" t="s">
        <v>89</v>
      </c>
      <c r="M337" t="s">
        <v>85</v>
      </c>
      <c r="N337" s="5" t="s">
        <v>86</v>
      </c>
      <c r="O337" t="s">
        <v>28</v>
      </c>
      <c r="P337" t="s">
        <v>29</v>
      </c>
      <c r="Q337" t="s">
        <v>41</v>
      </c>
      <c r="R337">
        <v>0.77</v>
      </c>
      <c r="S337" s="1">
        <v>39900</v>
      </c>
      <c r="T337" t="str">
        <f t="shared" si="11"/>
        <v>28-Mar-2009</v>
      </c>
    </row>
    <row r="338" spans="1:20" x14ac:dyDescent="0.3">
      <c r="A338">
        <v>22656</v>
      </c>
      <c r="B338" s="1">
        <v>40534</v>
      </c>
      <c r="C338" t="s">
        <v>31</v>
      </c>
      <c r="D338" t="str">
        <f t="shared" si="10"/>
        <v>22-Dec-2010</v>
      </c>
      <c r="E338">
        <v>10</v>
      </c>
      <c r="F338" s="13">
        <v>309.3</v>
      </c>
      <c r="G338">
        <v>0.05</v>
      </c>
      <c r="H338" t="s">
        <v>35</v>
      </c>
      <c r="I338" s="13">
        <v>-77.89</v>
      </c>
      <c r="J338">
        <v>30.98</v>
      </c>
      <c r="K338">
        <v>6.5</v>
      </c>
      <c r="L338" t="s">
        <v>91</v>
      </c>
      <c r="M338" t="s">
        <v>85</v>
      </c>
      <c r="N338" s="5" t="s">
        <v>86</v>
      </c>
      <c r="O338" t="s">
        <v>28</v>
      </c>
      <c r="P338" t="s">
        <v>29</v>
      </c>
      <c r="Q338" t="s">
        <v>41</v>
      </c>
      <c r="R338">
        <v>0.64</v>
      </c>
      <c r="S338" s="1">
        <v>40536</v>
      </c>
      <c r="T338" t="str">
        <f t="shared" si="11"/>
        <v>24-Dec-2010</v>
      </c>
    </row>
    <row r="339" spans="1:20" x14ac:dyDescent="0.3">
      <c r="A339">
        <v>4007</v>
      </c>
      <c r="B339" s="1">
        <v>40346</v>
      </c>
      <c r="C339" t="s">
        <v>23</v>
      </c>
      <c r="D339" t="str">
        <f t="shared" si="10"/>
        <v>17-Jun-2010</v>
      </c>
      <c r="E339">
        <v>1</v>
      </c>
      <c r="F339" s="13">
        <v>305.82</v>
      </c>
      <c r="G339">
        <v>0.05</v>
      </c>
      <c r="H339" t="s">
        <v>19</v>
      </c>
      <c r="I339" s="13">
        <v>-232.24</v>
      </c>
      <c r="J339">
        <v>279.48</v>
      </c>
      <c r="K339">
        <v>35</v>
      </c>
      <c r="L339" t="s">
        <v>77</v>
      </c>
      <c r="M339" t="s">
        <v>85</v>
      </c>
      <c r="N339" s="5" t="s">
        <v>86</v>
      </c>
      <c r="O339" t="s">
        <v>28</v>
      </c>
      <c r="P339" t="s">
        <v>21</v>
      </c>
      <c r="Q339" t="s">
        <v>22</v>
      </c>
      <c r="R339">
        <v>0.8</v>
      </c>
      <c r="S339" s="1">
        <v>40347</v>
      </c>
      <c r="T339" t="str">
        <f t="shared" si="11"/>
        <v>18-Jun-2010</v>
      </c>
    </row>
    <row r="340" spans="1:20" x14ac:dyDescent="0.3">
      <c r="A340">
        <v>28995</v>
      </c>
      <c r="B340" s="1">
        <v>40310</v>
      </c>
      <c r="C340" t="s">
        <v>23</v>
      </c>
      <c r="D340" t="str">
        <f t="shared" si="10"/>
        <v>12-May-2010</v>
      </c>
      <c r="E340">
        <v>9</v>
      </c>
      <c r="F340" s="13">
        <v>298.52</v>
      </c>
      <c r="G340">
        <v>0</v>
      </c>
      <c r="H340" t="s">
        <v>19</v>
      </c>
      <c r="I340" s="13">
        <v>73.19</v>
      </c>
      <c r="J340">
        <v>30.98</v>
      </c>
      <c r="K340">
        <v>5.76</v>
      </c>
      <c r="L340" t="s">
        <v>92</v>
      </c>
      <c r="M340" t="s">
        <v>85</v>
      </c>
      <c r="N340" s="5" t="s">
        <v>86</v>
      </c>
      <c r="O340" t="s">
        <v>28</v>
      </c>
      <c r="P340" t="s">
        <v>21</v>
      </c>
      <c r="Q340" t="s">
        <v>37</v>
      </c>
      <c r="R340">
        <v>0.4</v>
      </c>
      <c r="S340" s="1">
        <v>40311</v>
      </c>
      <c r="T340" t="str">
        <f t="shared" si="11"/>
        <v>13-May-2010</v>
      </c>
    </row>
    <row r="341" spans="1:20" x14ac:dyDescent="0.3">
      <c r="A341">
        <v>40871</v>
      </c>
      <c r="B341" s="1">
        <v>40799</v>
      </c>
      <c r="C341" t="s">
        <v>31</v>
      </c>
      <c r="D341" t="str">
        <f t="shared" si="10"/>
        <v>13-Sep-2011</v>
      </c>
      <c r="E341">
        <v>32</v>
      </c>
      <c r="F341" s="13">
        <v>294.04000000000002</v>
      </c>
      <c r="G341">
        <v>0.03</v>
      </c>
      <c r="H341" t="s">
        <v>19</v>
      </c>
      <c r="I341" s="13">
        <v>-5.53</v>
      </c>
      <c r="J341">
        <v>8.85</v>
      </c>
      <c r="K341">
        <v>5.6</v>
      </c>
      <c r="L341" t="s">
        <v>90</v>
      </c>
      <c r="M341" t="s">
        <v>85</v>
      </c>
      <c r="N341" s="5" t="s">
        <v>86</v>
      </c>
      <c r="O341" t="s">
        <v>28</v>
      </c>
      <c r="P341" t="s">
        <v>21</v>
      </c>
      <c r="Q341" t="s">
        <v>26</v>
      </c>
      <c r="R341">
        <v>0.36</v>
      </c>
      <c r="S341" s="1">
        <v>40801</v>
      </c>
      <c r="T341" t="str">
        <f t="shared" si="11"/>
        <v>15-Sep-2011</v>
      </c>
    </row>
    <row r="342" spans="1:20" x14ac:dyDescent="0.3">
      <c r="A342">
        <v>15463</v>
      </c>
      <c r="B342" s="1">
        <v>40383</v>
      </c>
      <c r="C342" t="s">
        <v>18</v>
      </c>
      <c r="D342" t="str">
        <f t="shared" si="10"/>
        <v>24-Jul-2010</v>
      </c>
      <c r="E342">
        <v>48</v>
      </c>
      <c r="F342" s="13">
        <v>293.3</v>
      </c>
      <c r="G342">
        <v>0.04</v>
      </c>
      <c r="H342" t="s">
        <v>35</v>
      </c>
      <c r="I342" s="13">
        <v>-193.48</v>
      </c>
      <c r="J342">
        <v>5.98</v>
      </c>
      <c r="K342">
        <v>7.5</v>
      </c>
      <c r="L342" t="s">
        <v>91</v>
      </c>
      <c r="M342" t="s">
        <v>85</v>
      </c>
      <c r="N342" s="5" t="s">
        <v>86</v>
      </c>
      <c r="O342" t="s">
        <v>28</v>
      </c>
      <c r="P342" t="s">
        <v>21</v>
      </c>
      <c r="Q342" t="s">
        <v>37</v>
      </c>
      <c r="R342">
        <v>0.4</v>
      </c>
      <c r="S342" s="1">
        <v>40385</v>
      </c>
      <c r="T342" t="str">
        <f t="shared" si="11"/>
        <v>26-Jul-2010</v>
      </c>
    </row>
    <row r="343" spans="1:20" x14ac:dyDescent="0.3">
      <c r="A343">
        <v>59651</v>
      </c>
      <c r="B343" s="1">
        <v>40318</v>
      </c>
      <c r="C343" t="s">
        <v>43</v>
      </c>
      <c r="D343" t="str">
        <f t="shared" si="10"/>
        <v>20-May-2010</v>
      </c>
      <c r="E343">
        <v>36</v>
      </c>
      <c r="F343" s="13">
        <v>283.20999999999998</v>
      </c>
      <c r="G343">
        <v>0.08</v>
      </c>
      <c r="H343" t="s">
        <v>19</v>
      </c>
      <c r="I343" s="13">
        <v>-196.06</v>
      </c>
      <c r="J343">
        <v>8.0399999999999991</v>
      </c>
      <c r="K343">
        <v>8.94</v>
      </c>
      <c r="L343" t="s">
        <v>73</v>
      </c>
      <c r="M343" t="s">
        <v>85</v>
      </c>
      <c r="N343" s="5" t="s">
        <v>86</v>
      </c>
      <c r="O343" t="s">
        <v>28</v>
      </c>
      <c r="P343" t="s">
        <v>21</v>
      </c>
      <c r="Q343" t="s">
        <v>26</v>
      </c>
      <c r="R343">
        <v>0.4</v>
      </c>
      <c r="S343" s="1">
        <v>40320</v>
      </c>
      <c r="T343" t="str">
        <f t="shared" si="11"/>
        <v>22-May-2010</v>
      </c>
    </row>
    <row r="344" spans="1:20" x14ac:dyDescent="0.3">
      <c r="A344">
        <v>58368</v>
      </c>
      <c r="B344" s="1">
        <v>41099</v>
      </c>
      <c r="C344" t="s">
        <v>23</v>
      </c>
      <c r="D344" t="str">
        <f t="shared" si="10"/>
        <v>09-Jul-2012</v>
      </c>
      <c r="E344">
        <v>39</v>
      </c>
      <c r="F344" s="13">
        <v>272.07</v>
      </c>
      <c r="G344">
        <v>0.02</v>
      </c>
      <c r="H344" t="s">
        <v>19</v>
      </c>
      <c r="I344" s="13">
        <v>-206.46</v>
      </c>
      <c r="J344">
        <v>6.48</v>
      </c>
      <c r="K344">
        <v>9.5399999999999991</v>
      </c>
      <c r="L344" t="s">
        <v>71</v>
      </c>
      <c r="M344" t="s">
        <v>85</v>
      </c>
      <c r="N344" s="5" t="s">
        <v>86</v>
      </c>
      <c r="O344" t="s">
        <v>28</v>
      </c>
      <c r="P344" t="s">
        <v>21</v>
      </c>
      <c r="Q344" t="s">
        <v>37</v>
      </c>
      <c r="R344">
        <v>0.37</v>
      </c>
      <c r="S344" s="1">
        <v>41100</v>
      </c>
      <c r="T344" t="str">
        <f t="shared" si="11"/>
        <v>10-Jul-2012</v>
      </c>
    </row>
    <row r="345" spans="1:20" x14ac:dyDescent="0.3">
      <c r="A345">
        <v>59047</v>
      </c>
      <c r="B345" s="1">
        <v>40571</v>
      </c>
      <c r="C345" t="s">
        <v>31</v>
      </c>
      <c r="D345" t="str">
        <f t="shared" si="10"/>
        <v>28-Jan-2011</v>
      </c>
      <c r="E345">
        <v>10</v>
      </c>
      <c r="F345" s="13">
        <v>266.94</v>
      </c>
      <c r="G345">
        <v>0.09</v>
      </c>
      <c r="H345" t="s">
        <v>19</v>
      </c>
      <c r="I345" s="13">
        <v>19.2</v>
      </c>
      <c r="J345">
        <v>28.48</v>
      </c>
      <c r="K345">
        <v>1.99</v>
      </c>
      <c r="L345" t="s">
        <v>62</v>
      </c>
      <c r="M345" t="s">
        <v>85</v>
      </c>
      <c r="N345" s="5" t="s">
        <v>86</v>
      </c>
      <c r="O345" t="s">
        <v>28</v>
      </c>
      <c r="P345" t="s">
        <v>29</v>
      </c>
      <c r="Q345" t="s">
        <v>41</v>
      </c>
      <c r="R345">
        <v>0.4</v>
      </c>
      <c r="S345" s="1">
        <v>40571</v>
      </c>
      <c r="T345" t="str">
        <f t="shared" si="11"/>
        <v>28-Jan-2011</v>
      </c>
    </row>
    <row r="346" spans="1:20" x14ac:dyDescent="0.3">
      <c r="A346">
        <v>47846</v>
      </c>
      <c r="B346" s="1">
        <v>41132</v>
      </c>
      <c r="C346" t="s">
        <v>23</v>
      </c>
      <c r="D346" t="str">
        <f t="shared" si="10"/>
        <v>11-Aug-2012</v>
      </c>
      <c r="E346">
        <v>37</v>
      </c>
      <c r="F346" s="13">
        <v>241.14</v>
      </c>
      <c r="G346">
        <v>0.08</v>
      </c>
      <c r="H346" t="s">
        <v>19</v>
      </c>
      <c r="I346" s="13">
        <v>-120.08</v>
      </c>
      <c r="J346">
        <v>6.68</v>
      </c>
      <c r="K346">
        <v>6.93</v>
      </c>
      <c r="L346" t="s">
        <v>92</v>
      </c>
      <c r="M346" t="s">
        <v>85</v>
      </c>
      <c r="N346" s="5" t="s">
        <v>86</v>
      </c>
      <c r="O346" t="s">
        <v>28</v>
      </c>
      <c r="P346" t="s">
        <v>21</v>
      </c>
      <c r="Q346" t="s">
        <v>37</v>
      </c>
      <c r="R346">
        <v>0.37</v>
      </c>
      <c r="S346" s="1">
        <v>41133</v>
      </c>
      <c r="T346" t="str">
        <f t="shared" si="11"/>
        <v>12-Aug-2012</v>
      </c>
    </row>
    <row r="347" spans="1:20" x14ac:dyDescent="0.3">
      <c r="A347">
        <v>16100</v>
      </c>
      <c r="B347" s="1">
        <v>40609</v>
      </c>
      <c r="C347" t="s">
        <v>38</v>
      </c>
      <c r="D347" t="str">
        <f t="shared" si="10"/>
        <v>07-Mar-2011</v>
      </c>
      <c r="E347">
        <v>44</v>
      </c>
      <c r="F347" s="13">
        <v>226.18</v>
      </c>
      <c r="G347">
        <v>0.01</v>
      </c>
      <c r="H347" t="s">
        <v>19</v>
      </c>
      <c r="I347" s="13">
        <v>-115.54</v>
      </c>
      <c r="J347">
        <v>4.82</v>
      </c>
      <c r="K347">
        <v>5.72</v>
      </c>
      <c r="L347" t="s">
        <v>95</v>
      </c>
      <c r="M347" t="s">
        <v>85</v>
      </c>
      <c r="N347" s="5" t="s">
        <v>86</v>
      </c>
      <c r="O347" t="s">
        <v>28</v>
      </c>
      <c r="P347" t="s">
        <v>32</v>
      </c>
      <c r="Q347" t="s">
        <v>33</v>
      </c>
      <c r="R347">
        <v>0.47</v>
      </c>
      <c r="S347" s="1">
        <v>40610</v>
      </c>
      <c r="T347" t="str">
        <f t="shared" si="11"/>
        <v>08-Mar-2011</v>
      </c>
    </row>
    <row r="348" spans="1:20" x14ac:dyDescent="0.3">
      <c r="A348">
        <v>1187</v>
      </c>
      <c r="B348" s="1">
        <v>41232</v>
      </c>
      <c r="C348" t="s">
        <v>38</v>
      </c>
      <c r="D348" t="str">
        <f t="shared" si="10"/>
        <v>19-Nov-2012</v>
      </c>
      <c r="E348">
        <v>14</v>
      </c>
      <c r="F348" s="13">
        <v>222.91</v>
      </c>
      <c r="G348">
        <v>0.05</v>
      </c>
      <c r="H348" t="s">
        <v>19</v>
      </c>
      <c r="I348" s="13">
        <v>20.21</v>
      </c>
      <c r="J348">
        <v>15.98</v>
      </c>
      <c r="K348">
        <v>4</v>
      </c>
      <c r="L348" t="s">
        <v>87</v>
      </c>
      <c r="M348" t="s">
        <v>85</v>
      </c>
      <c r="N348" s="5" t="s">
        <v>86</v>
      </c>
      <c r="O348" t="s">
        <v>28</v>
      </c>
      <c r="P348" t="s">
        <v>29</v>
      </c>
      <c r="Q348" t="s">
        <v>41</v>
      </c>
      <c r="R348">
        <v>0.37</v>
      </c>
      <c r="S348" s="1">
        <v>41233</v>
      </c>
      <c r="T348" t="str">
        <f t="shared" si="11"/>
        <v>20-Nov-2012</v>
      </c>
    </row>
    <row r="349" spans="1:20" x14ac:dyDescent="0.3">
      <c r="A349">
        <v>32199</v>
      </c>
      <c r="B349" s="1">
        <v>40009</v>
      </c>
      <c r="C349" t="s">
        <v>23</v>
      </c>
      <c r="D349" t="str">
        <f t="shared" si="10"/>
        <v>15-Jul-2009</v>
      </c>
      <c r="E349">
        <v>40</v>
      </c>
      <c r="F349" s="13">
        <v>196.5</v>
      </c>
      <c r="G349">
        <v>0.08</v>
      </c>
      <c r="H349" t="s">
        <v>19</v>
      </c>
      <c r="I349" s="13">
        <v>-99.76</v>
      </c>
      <c r="J349">
        <v>4.91</v>
      </c>
      <c r="K349">
        <v>4.97</v>
      </c>
      <c r="L349" t="s">
        <v>88</v>
      </c>
      <c r="M349" t="s">
        <v>85</v>
      </c>
      <c r="N349" s="5" t="s">
        <v>86</v>
      </c>
      <c r="O349" t="s">
        <v>28</v>
      </c>
      <c r="P349" t="s">
        <v>21</v>
      </c>
      <c r="Q349" t="s">
        <v>26</v>
      </c>
      <c r="R349">
        <v>0.38</v>
      </c>
      <c r="S349" s="1">
        <v>40010</v>
      </c>
      <c r="T349" t="str">
        <f t="shared" si="11"/>
        <v>16-Jul-2009</v>
      </c>
    </row>
    <row r="350" spans="1:20" x14ac:dyDescent="0.3">
      <c r="A350">
        <v>13927</v>
      </c>
      <c r="B350" s="1">
        <v>40051</v>
      </c>
      <c r="C350" t="s">
        <v>18</v>
      </c>
      <c r="D350" t="str">
        <f t="shared" si="10"/>
        <v>26-Aug-2009</v>
      </c>
      <c r="E350">
        <v>26</v>
      </c>
      <c r="F350" s="13">
        <v>188.05</v>
      </c>
      <c r="G350">
        <v>0.04</v>
      </c>
      <c r="H350" t="s">
        <v>35</v>
      </c>
      <c r="I350" s="13">
        <v>-21.41</v>
      </c>
      <c r="J350">
        <v>6.48</v>
      </c>
      <c r="K350">
        <v>5.16</v>
      </c>
      <c r="L350" t="s">
        <v>94</v>
      </c>
      <c r="M350" t="s">
        <v>85</v>
      </c>
      <c r="N350" s="5" t="s">
        <v>86</v>
      </c>
      <c r="O350" t="s">
        <v>28</v>
      </c>
      <c r="P350" t="s">
        <v>21</v>
      </c>
      <c r="Q350" t="s">
        <v>37</v>
      </c>
      <c r="R350">
        <v>0.37</v>
      </c>
      <c r="S350" s="1">
        <v>40058</v>
      </c>
      <c r="T350" t="str">
        <f t="shared" si="11"/>
        <v>02-Sep-2009</v>
      </c>
    </row>
    <row r="351" spans="1:20" x14ac:dyDescent="0.3">
      <c r="A351">
        <v>19073</v>
      </c>
      <c r="B351" s="1">
        <v>39988</v>
      </c>
      <c r="C351" t="s">
        <v>31</v>
      </c>
      <c r="D351" t="str">
        <f t="shared" si="10"/>
        <v>24-Jun-2009</v>
      </c>
      <c r="E351">
        <v>16</v>
      </c>
      <c r="F351" s="13">
        <v>178.4</v>
      </c>
      <c r="G351">
        <v>0.04</v>
      </c>
      <c r="H351" t="s">
        <v>19</v>
      </c>
      <c r="I351" s="13">
        <v>20.079999999999998</v>
      </c>
      <c r="J351">
        <v>10.64</v>
      </c>
      <c r="K351">
        <v>5.16</v>
      </c>
      <c r="L351" t="s">
        <v>96</v>
      </c>
      <c r="M351" t="s">
        <v>85</v>
      </c>
      <c r="N351" s="5" t="s">
        <v>86</v>
      </c>
      <c r="O351" t="s">
        <v>28</v>
      </c>
      <c r="P351" t="s">
        <v>32</v>
      </c>
      <c r="Q351" t="s">
        <v>33</v>
      </c>
      <c r="R351">
        <v>0.56999999999999995</v>
      </c>
      <c r="S351" s="1">
        <v>39989</v>
      </c>
      <c r="T351" t="str">
        <f t="shared" si="11"/>
        <v>25-Jun-2009</v>
      </c>
    </row>
    <row r="352" spans="1:20" x14ac:dyDescent="0.3">
      <c r="A352">
        <v>47714</v>
      </c>
      <c r="B352" s="1">
        <v>40612</v>
      </c>
      <c r="C352" t="s">
        <v>38</v>
      </c>
      <c r="D352" t="str">
        <f t="shared" si="10"/>
        <v>10-Mar-2011</v>
      </c>
      <c r="E352">
        <v>30</v>
      </c>
      <c r="F352" s="13">
        <v>176.15</v>
      </c>
      <c r="G352">
        <v>0.01</v>
      </c>
      <c r="H352" t="s">
        <v>19</v>
      </c>
      <c r="I352" s="13">
        <v>-125.36</v>
      </c>
      <c r="J352">
        <v>5.53</v>
      </c>
      <c r="K352">
        <v>6.98</v>
      </c>
      <c r="L352" t="s">
        <v>98</v>
      </c>
      <c r="M352" t="s">
        <v>85</v>
      </c>
      <c r="N352" s="5" t="s">
        <v>86</v>
      </c>
      <c r="O352" t="s">
        <v>28</v>
      </c>
      <c r="P352" t="s">
        <v>21</v>
      </c>
      <c r="Q352" t="s">
        <v>26</v>
      </c>
      <c r="R352">
        <v>0.39</v>
      </c>
      <c r="S352" s="1">
        <v>40613</v>
      </c>
      <c r="T352" t="str">
        <f t="shared" si="11"/>
        <v>11-Mar-2011</v>
      </c>
    </row>
    <row r="353" spans="1:20" x14ac:dyDescent="0.3">
      <c r="A353">
        <v>44387</v>
      </c>
      <c r="B353" s="1">
        <v>39848</v>
      </c>
      <c r="C353" t="s">
        <v>18</v>
      </c>
      <c r="D353" t="str">
        <f t="shared" si="10"/>
        <v>04-Feb-2009</v>
      </c>
      <c r="E353">
        <v>20</v>
      </c>
      <c r="F353" s="13">
        <v>173.09</v>
      </c>
      <c r="G353">
        <v>0.03</v>
      </c>
      <c r="H353" t="s">
        <v>19</v>
      </c>
      <c r="I353" s="13">
        <v>-6.71</v>
      </c>
      <c r="J353">
        <v>8.34</v>
      </c>
      <c r="K353">
        <v>4.82</v>
      </c>
      <c r="L353" t="s">
        <v>88</v>
      </c>
      <c r="M353" t="s">
        <v>85</v>
      </c>
      <c r="N353" s="5" t="s">
        <v>86</v>
      </c>
      <c r="O353" t="s">
        <v>28</v>
      </c>
      <c r="P353" t="s">
        <v>21</v>
      </c>
      <c r="Q353" t="s">
        <v>37</v>
      </c>
      <c r="R353">
        <v>0.4</v>
      </c>
      <c r="S353" s="1">
        <v>39852</v>
      </c>
      <c r="T353" t="str">
        <f t="shared" si="11"/>
        <v>08-Feb-2009</v>
      </c>
    </row>
    <row r="354" spans="1:20" x14ac:dyDescent="0.3">
      <c r="A354">
        <v>19617</v>
      </c>
      <c r="B354" s="1">
        <v>40928</v>
      </c>
      <c r="C354" t="s">
        <v>18</v>
      </c>
      <c r="D354" t="str">
        <f t="shared" si="10"/>
        <v>20-Jan-2012</v>
      </c>
      <c r="E354">
        <v>3</v>
      </c>
      <c r="F354" s="13">
        <v>171.96350000000001</v>
      </c>
      <c r="G354">
        <v>7.0000000000000007E-2</v>
      </c>
      <c r="H354" t="s">
        <v>19</v>
      </c>
      <c r="I354" s="13">
        <v>-296.37</v>
      </c>
      <c r="J354">
        <v>65.989999999999995</v>
      </c>
      <c r="K354">
        <v>8.99</v>
      </c>
      <c r="L354" t="s">
        <v>77</v>
      </c>
      <c r="M354" t="s">
        <v>85</v>
      </c>
      <c r="N354" s="5" t="s">
        <v>86</v>
      </c>
      <c r="O354" t="s">
        <v>28</v>
      </c>
      <c r="P354" t="s">
        <v>29</v>
      </c>
      <c r="Q354" t="s">
        <v>30</v>
      </c>
      <c r="R354">
        <v>0.57999999999999996</v>
      </c>
      <c r="S354" s="1">
        <v>40928</v>
      </c>
      <c r="T354" t="str">
        <f t="shared" si="11"/>
        <v>20-Jan-2012</v>
      </c>
    </row>
    <row r="355" spans="1:20" x14ac:dyDescent="0.3">
      <c r="A355">
        <v>40327</v>
      </c>
      <c r="B355" s="1">
        <v>40676</v>
      </c>
      <c r="C355" t="s">
        <v>38</v>
      </c>
      <c r="D355" t="str">
        <f t="shared" si="10"/>
        <v>13-May-2011</v>
      </c>
      <c r="E355">
        <v>36</v>
      </c>
      <c r="F355" s="13">
        <v>152.96</v>
      </c>
      <c r="G355">
        <v>0.09</v>
      </c>
      <c r="H355" t="s">
        <v>19</v>
      </c>
      <c r="I355" s="13">
        <v>-123.87</v>
      </c>
      <c r="J355">
        <v>4.28</v>
      </c>
      <c r="K355">
        <v>5.74</v>
      </c>
      <c r="L355" t="s">
        <v>88</v>
      </c>
      <c r="M355" t="s">
        <v>85</v>
      </c>
      <c r="N355" s="5" t="s">
        <v>86</v>
      </c>
      <c r="O355" t="s">
        <v>28</v>
      </c>
      <c r="P355" t="s">
        <v>21</v>
      </c>
      <c r="Q355" t="s">
        <v>37</v>
      </c>
      <c r="R355">
        <v>0.4</v>
      </c>
      <c r="S355" s="1">
        <v>40678</v>
      </c>
      <c r="T355" t="str">
        <f t="shared" si="11"/>
        <v>15-May-2011</v>
      </c>
    </row>
    <row r="356" spans="1:20" x14ac:dyDescent="0.3">
      <c r="A356">
        <v>40327</v>
      </c>
      <c r="B356" s="1">
        <v>40676</v>
      </c>
      <c r="C356" t="s">
        <v>38</v>
      </c>
      <c r="D356" t="str">
        <f t="shared" si="10"/>
        <v>13-May-2011</v>
      </c>
      <c r="E356">
        <v>42</v>
      </c>
      <c r="F356" s="13">
        <v>152.55000000000001</v>
      </c>
      <c r="G356">
        <v>0.06</v>
      </c>
      <c r="H356" t="s">
        <v>19</v>
      </c>
      <c r="I356" s="13">
        <v>-20.27</v>
      </c>
      <c r="J356">
        <v>3.69</v>
      </c>
      <c r="K356">
        <v>2.5</v>
      </c>
      <c r="L356" t="s">
        <v>88</v>
      </c>
      <c r="M356" t="s">
        <v>85</v>
      </c>
      <c r="N356" s="5" t="s">
        <v>86</v>
      </c>
      <c r="O356" t="s">
        <v>28</v>
      </c>
      <c r="P356" t="s">
        <v>21</v>
      </c>
      <c r="Q356" t="s">
        <v>42</v>
      </c>
      <c r="R356">
        <v>0.39</v>
      </c>
      <c r="S356" s="1">
        <v>40678</v>
      </c>
      <c r="T356" t="str">
        <f t="shared" si="11"/>
        <v>15-May-2011</v>
      </c>
    </row>
    <row r="357" spans="1:20" x14ac:dyDescent="0.3">
      <c r="A357">
        <v>45606</v>
      </c>
      <c r="B357" s="1">
        <v>40808</v>
      </c>
      <c r="C357" t="s">
        <v>38</v>
      </c>
      <c r="D357" t="str">
        <f t="shared" si="10"/>
        <v>22-Sep-2011</v>
      </c>
      <c r="E357">
        <v>24</v>
      </c>
      <c r="F357" s="13">
        <v>136.41999999999999</v>
      </c>
      <c r="G357">
        <v>0.09</v>
      </c>
      <c r="H357" t="s">
        <v>19</v>
      </c>
      <c r="I357" s="13">
        <v>-8.3800000000000008</v>
      </c>
      <c r="J357">
        <v>5.85</v>
      </c>
      <c r="K357">
        <v>2.27</v>
      </c>
      <c r="L357" t="s">
        <v>99</v>
      </c>
      <c r="M357" t="s">
        <v>85</v>
      </c>
      <c r="N357" s="5" t="s">
        <v>86</v>
      </c>
      <c r="O357" t="s">
        <v>28</v>
      </c>
      <c r="P357" t="s">
        <v>21</v>
      </c>
      <c r="Q357" t="s">
        <v>50</v>
      </c>
      <c r="R357">
        <v>0.56000000000000005</v>
      </c>
      <c r="S357" s="1">
        <v>40809</v>
      </c>
      <c r="T357" t="str">
        <f t="shared" si="11"/>
        <v>23-Sep-2011</v>
      </c>
    </row>
    <row r="358" spans="1:20" x14ac:dyDescent="0.3">
      <c r="A358">
        <v>12773</v>
      </c>
      <c r="B358" s="1">
        <v>40554</v>
      </c>
      <c r="C358" t="s">
        <v>18</v>
      </c>
      <c r="D358" t="str">
        <f t="shared" si="10"/>
        <v>11-Jan-2011</v>
      </c>
      <c r="E358">
        <v>19</v>
      </c>
      <c r="F358" s="13">
        <v>130.66999999999999</v>
      </c>
      <c r="G358">
        <v>0.05</v>
      </c>
      <c r="H358" t="s">
        <v>19</v>
      </c>
      <c r="I358" s="13">
        <v>-77.180000000000007</v>
      </c>
      <c r="J358">
        <v>6.48</v>
      </c>
      <c r="K358">
        <v>7.86</v>
      </c>
      <c r="L358" t="s">
        <v>93</v>
      </c>
      <c r="M358" t="s">
        <v>85</v>
      </c>
      <c r="N358" s="5" t="s">
        <v>86</v>
      </c>
      <c r="O358" t="s">
        <v>28</v>
      </c>
      <c r="P358" t="s">
        <v>21</v>
      </c>
      <c r="Q358" t="s">
        <v>37</v>
      </c>
      <c r="R358">
        <v>0.37</v>
      </c>
      <c r="S358" s="1">
        <v>40559</v>
      </c>
      <c r="T358" t="str">
        <f t="shared" si="11"/>
        <v>16-Jan-2011</v>
      </c>
    </row>
    <row r="359" spans="1:20" x14ac:dyDescent="0.3">
      <c r="A359">
        <v>24067</v>
      </c>
      <c r="B359" s="1">
        <v>41143</v>
      </c>
      <c r="C359" t="s">
        <v>23</v>
      </c>
      <c r="D359" t="str">
        <f t="shared" si="10"/>
        <v>22-Aug-2012</v>
      </c>
      <c r="E359">
        <v>19</v>
      </c>
      <c r="F359" s="13">
        <v>120.56</v>
      </c>
      <c r="G359">
        <v>7.0000000000000007E-2</v>
      </c>
      <c r="H359" t="s">
        <v>19</v>
      </c>
      <c r="I359" s="13">
        <v>-79.349999999999994</v>
      </c>
      <c r="J359">
        <v>5.98</v>
      </c>
      <c r="K359">
        <v>7.5</v>
      </c>
      <c r="L359" t="s">
        <v>97</v>
      </c>
      <c r="M359" t="s">
        <v>85</v>
      </c>
      <c r="N359" s="5" t="s">
        <v>86</v>
      </c>
      <c r="O359" t="s">
        <v>28</v>
      </c>
      <c r="P359" t="s">
        <v>21</v>
      </c>
      <c r="Q359" t="s">
        <v>37</v>
      </c>
      <c r="R359">
        <v>0.4</v>
      </c>
      <c r="S359" s="1">
        <v>41144</v>
      </c>
      <c r="T359" t="str">
        <f t="shared" si="11"/>
        <v>23-Aug-2012</v>
      </c>
    </row>
    <row r="360" spans="1:20" x14ac:dyDescent="0.3">
      <c r="A360">
        <v>35300</v>
      </c>
      <c r="B360" s="1">
        <v>40239</v>
      </c>
      <c r="C360" t="s">
        <v>38</v>
      </c>
      <c r="D360" t="str">
        <f t="shared" si="10"/>
        <v>02-Mar-2010</v>
      </c>
      <c r="E360">
        <v>13</v>
      </c>
      <c r="F360" s="13">
        <v>119.03</v>
      </c>
      <c r="G360">
        <v>0.06</v>
      </c>
      <c r="H360" t="s">
        <v>19</v>
      </c>
      <c r="I360" s="13">
        <v>29.62</v>
      </c>
      <c r="J360">
        <v>8.9499999999999993</v>
      </c>
      <c r="K360">
        <v>2.0099999999999998</v>
      </c>
      <c r="L360" t="s">
        <v>94</v>
      </c>
      <c r="M360" t="s">
        <v>85</v>
      </c>
      <c r="N360" s="5" t="s">
        <v>86</v>
      </c>
      <c r="O360" t="s">
        <v>28</v>
      </c>
      <c r="P360" t="s">
        <v>21</v>
      </c>
      <c r="Q360" t="s">
        <v>37</v>
      </c>
      <c r="R360">
        <v>0.39</v>
      </c>
      <c r="S360" s="1">
        <v>40240</v>
      </c>
      <c r="T360" t="str">
        <f t="shared" si="11"/>
        <v>03-Mar-2010</v>
      </c>
    </row>
    <row r="361" spans="1:20" x14ac:dyDescent="0.3">
      <c r="A361">
        <v>19073</v>
      </c>
      <c r="B361" s="1">
        <v>39988</v>
      </c>
      <c r="C361" t="s">
        <v>31</v>
      </c>
      <c r="D361" t="str">
        <f t="shared" si="10"/>
        <v>24-Jun-2009</v>
      </c>
      <c r="E361">
        <v>40</v>
      </c>
      <c r="F361" s="13">
        <v>115.01</v>
      </c>
      <c r="G361">
        <v>0.03</v>
      </c>
      <c r="H361" t="s">
        <v>35</v>
      </c>
      <c r="I361" s="13">
        <v>5.81</v>
      </c>
      <c r="J361">
        <v>2.78</v>
      </c>
      <c r="K361">
        <v>1.34</v>
      </c>
      <c r="L361" t="s">
        <v>96</v>
      </c>
      <c r="M361" t="s">
        <v>85</v>
      </c>
      <c r="N361" s="5" t="s">
        <v>86</v>
      </c>
      <c r="O361" t="s">
        <v>28</v>
      </c>
      <c r="P361" t="s">
        <v>21</v>
      </c>
      <c r="Q361" t="s">
        <v>50</v>
      </c>
      <c r="R361">
        <v>0.45</v>
      </c>
      <c r="S361" s="1">
        <v>39990</v>
      </c>
      <c r="T361" t="str">
        <f t="shared" si="11"/>
        <v>26-Jun-2009</v>
      </c>
    </row>
    <row r="362" spans="1:20" x14ac:dyDescent="0.3">
      <c r="A362">
        <v>59047</v>
      </c>
      <c r="B362" s="1">
        <v>40571</v>
      </c>
      <c r="C362" t="s">
        <v>31</v>
      </c>
      <c r="D362" t="str">
        <f t="shared" si="10"/>
        <v>28-Jan-2011</v>
      </c>
      <c r="E362">
        <v>26</v>
      </c>
      <c r="F362" s="13">
        <v>113.85</v>
      </c>
      <c r="G362">
        <v>0.06</v>
      </c>
      <c r="H362" t="s">
        <v>19</v>
      </c>
      <c r="I362" s="13">
        <v>-93.93</v>
      </c>
      <c r="J362">
        <v>4.1399999999999997</v>
      </c>
      <c r="K362">
        <v>6.6</v>
      </c>
      <c r="L362" t="s">
        <v>62</v>
      </c>
      <c r="M362" t="s">
        <v>85</v>
      </c>
      <c r="N362" s="5" t="s">
        <v>86</v>
      </c>
      <c r="O362" t="s">
        <v>28</v>
      </c>
      <c r="P362" t="s">
        <v>32</v>
      </c>
      <c r="Q362" t="s">
        <v>33</v>
      </c>
      <c r="R362">
        <v>0.49</v>
      </c>
      <c r="S362" s="1">
        <v>40573</v>
      </c>
      <c r="T362" t="str">
        <f t="shared" si="11"/>
        <v>30-Jan-2011</v>
      </c>
    </row>
    <row r="363" spans="1:20" x14ac:dyDescent="0.3">
      <c r="A363">
        <v>11968</v>
      </c>
      <c r="B363" s="1">
        <v>40618</v>
      </c>
      <c r="C363" t="s">
        <v>18</v>
      </c>
      <c r="D363" t="str">
        <f t="shared" si="10"/>
        <v>16-Mar-2011</v>
      </c>
      <c r="E363">
        <v>31</v>
      </c>
      <c r="F363" s="13">
        <v>109.49</v>
      </c>
      <c r="G363">
        <v>0.04</v>
      </c>
      <c r="H363" t="s">
        <v>19</v>
      </c>
      <c r="I363" s="13">
        <v>26.09</v>
      </c>
      <c r="J363">
        <v>3.38</v>
      </c>
      <c r="K363">
        <v>0.85</v>
      </c>
      <c r="L363" t="s">
        <v>89</v>
      </c>
      <c r="M363" t="s">
        <v>85</v>
      </c>
      <c r="N363" s="5" t="s">
        <v>86</v>
      </c>
      <c r="O363" t="s">
        <v>28</v>
      </c>
      <c r="P363" t="s">
        <v>21</v>
      </c>
      <c r="Q363" t="s">
        <v>50</v>
      </c>
      <c r="R363">
        <v>0.48</v>
      </c>
      <c r="S363" s="1">
        <v>40618</v>
      </c>
      <c r="T363" t="str">
        <f t="shared" si="11"/>
        <v>16-Mar-2011</v>
      </c>
    </row>
    <row r="364" spans="1:20" x14ac:dyDescent="0.3">
      <c r="A364">
        <v>40800</v>
      </c>
      <c r="B364" s="1">
        <v>40516</v>
      </c>
      <c r="C364" t="s">
        <v>31</v>
      </c>
      <c r="D364" t="str">
        <f t="shared" si="10"/>
        <v>04-Dec-2010</v>
      </c>
      <c r="E364">
        <v>18</v>
      </c>
      <c r="F364" s="13">
        <v>101.34</v>
      </c>
      <c r="G364">
        <v>0.06</v>
      </c>
      <c r="H364" t="s">
        <v>19</v>
      </c>
      <c r="I364" s="13">
        <v>26.11</v>
      </c>
      <c r="J364">
        <v>5.68</v>
      </c>
      <c r="K364">
        <v>1.39</v>
      </c>
      <c r="L364" t="s">
        <v>99</v>
      </c>
      <c r="M364" t="s">
        <v>85</v>
      </c>
      <c r="N364" s="5" t="s">
        <v>86</v>
      </c>
      <c r="O364" t="s">
        <v>28</v>
      </c>
      <c r="P364" t="s">
        <v>21</v>
      </c>
      <c r="Q364" t="s">
        <v>42</v>
      </c>
      <c r="R364">
        <v>0.38</v>
      </c>
      <c r="S364" s="1">
        <v>40518</v>
      </c>
      <c r="T364" t="str">
        <f t="shared" si="11"/>
        <v>06-Dec-2010</v>
      </c>
    </row>
    <row r="365" spans="1:20" x14ac:dyDescent="0.3">
      <c r="A365">
        <v>12934</v>
      </c>
      <c r="B365" s="1">
        <v>39877</v>
      </c>
      <c r="C365" t="s">
        <v>31</v>
      </c>
      <c r="D365" t="str">
        <f t="shared" si="10"/>
        <v>05-Mar-2009</v>
      </c>
      <c r="E365">
        <v>27</v>
      </c>
      <c r="F365" s="13">
        <v>96.99</v>
      </c>
      <c r="G365">
        <v>0.02</v>
      </c>
      <c r="H365" t="s">
        <v>35</v>
      </c>
      <c r="I365" s="13">
        <v>-66.349999999999994</v>
      </c>
      <c r="J365">
        <v>3.28</v>
      </c>
      <c r="K365">
        <v>3.97</v>
      </c>
      <c r="L365" t="s">
        <v>87</v>
      </c>
      <c r="M365" t="s">
        <v>85</v>
      </c>
      <c r="N365" s="5" t="s">
        <v>86</v>
      </c>
      <c r="O365" t="s">
        <v>28</v>
      </c>
      <c r="P365" t="s">
        <v>21</v>
      </c>
      <c r="Q365" t="s">
        <v>50</v>
      </c>
      <c r="R365">
        <v>0.56000000000000005</v>
      </c>
      <c r="S365" s="1">
        <v>39878</v>
      </c>
      <c r="T365" t="str">
        <f t="shared" si="11"/>
        <v>06-Mar-2009</v>
      </c>
    </row>
    <row r="366" spans="1:20" x14ac:dyDescent="0.3">
      <c r="A366">
        <v>12773</v>
      </c>
      <c r="B366" s="1">
        <v>40554</v>
      </c>
      <c r="C366" t="s">
        <v>18</v>
      </c>
      <c r="D366" t="str">
        <f t="shared" si="10"/>
        <v>11-Jan-2011</v>
      </c>
      <c r="E366">
        <v>21</v>
      </c>
      <c r="F366" s="13">
        <v>77.62</v>
      </c>
      <c r="G366">
        <v>0.01</v>
      </c>
      <c r="H366" t="s">
        <v>19</v>
      </c>
      <c r="I366" s="13">
        <v>-50.88</v>
      </c>
      <c r="J366">
        <v>3.28</v>
      </c>
      <c r="K366">
        <v>3.97</v>
      </c>
      <c r="L366" t="s">
        <v>93</v>
      </c>
      <c r="M366" t="s">
        <v>85</v>
      </c>
      <c r="N366" s="5" t="s">
        <v>86</v>
      </c>
      <c r="O366" t="s">
        <v>28</v>
      </c>
      <c r="P366" t="s">
        <v>21</v>
      </c>
      <c r="Q366" t="s">
        <v>50</v>
      </c>
      <c r="R366">
        <v>0.56000000000000005</v>
      </c>
      <c r="S366" s="1">
        <v>40559</v>
      </c>
      <c r="T366" t="str">
        <f t="shared" si="11"/>
        <v>16-Jan-2011</v>
      </c>
    </row>
    <row r="367" spans="1:20" x14ac:dyDescent="0.3">
      <c r="A367">
        <v>25376</v>
      </c>
      <c r="B367" s="1">
        <v>40628</v>
      </c>
      <c r="C367" t="s">
        <v>43</v>
      </c>
      <c r="D367" t="str">
        <f t="shared" si="10"/>
        <v>26-Mar-2011</v>
      </c>
      <c r="E367">
        <v>12</v>
      </c>
      <c r="F367" s="13">
        <v>76.61</v>
      </c>
      <c r="G367">
        <v>0.09</v>
      </c>
      <c r="H367" t="s">
        <v>19</v>
      </c>
      <c r="I367" s="13">
        <v>-31.83</v>
      </c>
      <c r="J367">
        <v>6.28</v>
      </c>
      <c r="K367">
        <v>5.29</v>
      </c>
      <c r="L367" t="s">
        <v>93</v>
      </c>
      <c r="M367" t="s">
        <v>85</v>
      </c>
      <c r="N367" s="5" t="s">
        <v>86</v>
      </c>
      <c r="O367" t="s">
        <v>28</v>
      </c>
      <c r="P367" t="s">
        <v>32</v>
      </c>
      <c r="Q367" t="s">
        <v>33</v>
      </c>
      <c r="R367">
        <v>0.43</v>
      </c>
      <c r="S367" s="1">
        <v>40629</v>
      </c>
      <c r="T367" t="str">
        <f t="shared" si="11"/>
        <v>27-Mar-2011</v>
      </c>
    </row>
    <row r="368" spans="1:20" x14ac:dyDescent="0.3">
      <c r="A368">
        <v>12773</v>
      </c>
      <c r="B368" s="1">
        <v>40554</v>
      </c>
      <c r="C368" t="s">
        <v>18</v>
      </c>
      <c r="D368" t="str">
        <f t="shared" si="10"/>
        <v>11-Jan-2011</v>
      </c>
      <c r="E368">
        <v>15</v>
      </c>
      <c r="F368" s="13">
        <v>67.41</v>
      </c>
      <c r="G368">
        <v>0.04</v>
      </c>
      <c r="H368" t="s">
        <v>19</v>
      </c>
      <c r="I368" s="13">
        <v>-49.6</v>
      </c>
      <c r="J368">
        <v>4.1399999999999997</v>
      </c>
      <c r="K368">
        <v>6.6</v>
      </c>
      <c r="L368" t="s">
        <v>93</v>
      </c>
      <c r="M368" t="s">
        <v>85</v>
      </c>
      <c r="N368" s="5" t="s">
        <v>86</v>
      </c>
      <c r="O368" t="s">
        <v>28</v>
      </c>
      <c r="P368" t="s">
        <v>32</v>
      </c>
      <c r="Q368" t="s">
        <v>33</v>
      </c>
      <c r="R368">
        <v>0.49</v>
      </c>
      <c r="S368" s="1">
        <v>40563</v>
      </c>
      <c r="T368" t="str">
        <f t="shared" si="11"/>
        <v>20-Jan-2011</v>
      </c>
    </row>
    <row r="369" spans="1:20" x14ac:dyDescent="0.3">
      <c r="A369">
        <v>47846</v>
      </c>
      <c r="B369" s="1">
        <v>41132</v>
      </c>
      <c r="C369" t="s">
        <v>23</v>
      </c>
      <c r="D369" t="str">
        <f t="shared" si="10"/>
        <v>11-Aug-2012</v>
      </c>
      <c r="E369">
        <v>5</v>
      </c>
      <c r="F369" s="13">
        <v>66.430000000000007</v>
      </c>
      <c r="G369">
        <v>0.01</v>
      </c>
      <c r="H369" t="s">
        <v>19</v>
      </c>
      <c r="I369" s="13">
        <v>-9.4499999999999993</v>
      </c>
      <c r="J369">
        <v>10.68</v>
      </c>
      <c r="K369">
        <v>13.04</v>
      </c>
      <c r="L369" t="s">
        <v>92</v>
      </c>
      <c r="M369" t="s">
        <v>85</v>
      </c>
      <c r="N369" s="5" t="s">
        <v>86</v>
      </c>
      <c r="O369" t="s">
        <v>28</v>
      </c>
      <c r="P369" t="s">
        <v>32</v>
      </c>
      <c r="Q369" t="s">
        <v>33</v>
      </c>
      <c r="R369">
        <v>0.6</v>
      </c>
      <c r="S369" s="1">
        <v>41134</v>
      </c>
      <c r="T369" t="str">
        <f t="shared" si="11"/>
        <v>13-Aug-2012</v>
      </c>
    </row>
    <row r="370" spans="1:20" x14ac:dyDescent="0.3">
      <c r="A370">
        <v>11362</v>
      </c>
      <c r="B370" s="1">
        <v>41162</v>
      </c>
      <c r="C370" t="s">
        <v>18</v>
      </c>
      <c r="D370" t="str">
        <f t="shared" si="10"/>
        <v>10-Sep-2012</v>
      </c>
      <c r="E370">
        <v>27</v>
      </c>
      <c r="F370" s="13">
        <v>63.02</v>
      </c>
      <c r="G370">
        <v>7.0000000000000007E-2</v>
      </c>
      <c r="H370" t="s">
        <v>19</v>
      </c>
      <c r="I370" s="13">
        <v>-119.66</v>
      </c>
      <c r="J370">
        <v>2.1800000000000002</v>
      </c>
      <c r="K370">
        <v>5</v>
      </c>
      <c r="L370" t="s">
        <v>92</v>
      </c>
      <c r="M370" t="s">
        <v>85</v>
      </c>
      <c r="N370" s="5" t="s">
        <v>86</v>
      </c>
      <c r="O370" t="s">
        <v>28</v>
      </c>
      <c r="P370" t="s">
        <v>21</v>
      </c>
      <c r="Q370" t="s">
        <v>67</v>
      </c>
      <c r="R370">
        <v>0.81</v>
      </c>
      <c r="S370" s="1">
        <v>41164</v>
      </c>
      <c r="T370" t="str">
        <f t="shared" si="11"/>
        <v>12-Sep-2012</v>
      </c>
    </row>
    <row r="371" spans="1:20" x14ac:dyDescent="0.3">
      <c r="A371">
        <v>38310</v>
      </c>
      <c r="B371" s="1">
        <v>41013</v>
      </c>
      <c r="C371" t="s">
        <v>23</v>
      </c>
      <c r="D371" t="str">
        <f t="shared" si="10"/>
        <v>14-Apr-2012</v>
      </c>
      <c r="E371">
        <v>4</v>
      </c>
      <c r="F371" s="13">
        <v>62.45</v>
      </c>
      <c r="G371">
        <v>0.08</v>
      </c>
      <c r="H371" t="s">
        <v>19</v>
      </c>
      <c r="I371" s="13">
        <v>-141.76</v>
      </c>
      <c r="J371">
        <v>3.48</v>
      </c>
      <c r="K371">
        <v>49</v>
      </c>
      <c r="L371" t="s">
        <v>77</v>
      </c>
      <c r="M371" t="s">
        <v>85</v>
      </c>
      <c r="N371" s="5" t="s">
        <v>86</v>
      </c>
      <c r="O371" t="s">
        <v>28</v>
      </c>
      <c r="P371" t="s">
        <v>21</v>
      </c>
      <c r="Q371" t="s">
        <v>25</v>
      </c>
      <c r="R371">
        <v>0.59</v>
      </c>
      <c r="S371" s="1">
        <v>41016</v>
      </c>
      <c r="T371" t="str">
        <f t="shared" si="11"/>
        <v>17-Apr-2012</v>
      </c>
    </row>
    <row r="372" spans="1:20" x14ac:dyDescent="0.3">
      <c r="A372">
        <v>58150</v>
      </c>
      <c r="B372" s="1">
        <v>40305</v>
      </c>
      <c r="C372" t="s">
        <v>43</v>
      </c>
      <c r="D372" t="str">
        <f t="shared" si="10"/>
        <v>07-May-2010</v>
      </c>
      <c r="E372">
        <v>24</v>
      </c>
      <c r="F372" s="13">
        <v>60.36</v>
      </c>
      <c r="G372">
        <v>0.03</v>
      </c>
      <c r="H372" t="s">
        <v>19</v>
      </c>
      <c r="I372" s="13">
        <v>-119.62</v>
      </c>
      <c r="J372">
        <v>2.16</v>
      </c>
      <c r="K372">
        <v>6.05</v>
      </c>
      <c r="L372" t="s">
        <v>83</v>
      </c>
      <c r="M372" t="s">
        <v>85</v>
      </c>
      <c r="N372" s="5" t="s">
        <v>86</v>
      </c>
      <c r="O372" t="s">
        <v>28</v>
      </c>
      <c r="P372" t="s">
        <v>21</v>
      </c>
      <c r="Q372" t="s">
        <v>26</v>
      </c>
      <c r="R372">
        <v>0.37</v>
      </c>
      <c r="S372" s="1">
        <v>40305</v>
      </c>
      <c r="T372" t="str">
        <f t="shared" si="11"/>
        <v>07-May-2010</v>
      </c>
    </row>
    <row r="373" spans="1:20" x14ac:dyDescent="0.3">
      <c r="A373">
        <v>4454</v>
      </c>
      <c r="B373" s="1">
        <v>39845</v>
      </c>
      <c r="C373" t="s">
        <v>18</v>
      </c>
      <c r="D373" t="str">
        <f t="shared" si="10"/>
        <v>01-Feb-2009</v>
      </c>
      <c r="E373">
        <v>17</v>
      </c>
      <c r="F373" s="13">
        <v>55.45</v>
      </c>
      <c r="G373">
        <v>0.01</v>
      </c>
      <c r="H373" t="s">
        <v>19</v>
      </c>
      <c r="I373" s="13">
        <v>21.42</v>
      </c>
      <c r="J373">
        <v>3.08</v>
      </c>
      <c r="K373">
        <v>0.5</v>
      </c>
      <c r="L373" t="s">
        <v>88</v>
      </c>
      <c r="M373" t="s">
        <v>85</v>
      </c>
      <c r="N373" s="5" t="s">
        <v>86</v>
      </c>
      <c r="O373" t="s">
        <v>28</v>
      </c>
      <c r="P373" t="s">
        <v>21</v>
      </c>
      <c r="Q373" t="s">
        <v>48</v>
      </c>
      <c r="R373">
        <v>0.37</v>
      </c>
      <c r="S373" s="1">
        <v>39850</v>
      </c>
      <c r="T373" t="str">
        <f t="shared" si="11"/>
        <v>06-Feb-2009</v>
      </c>
    </row>
    <row r="374" spans="1:20" x14ac:dyDescent="0.3">
      <c r="A374">
        <v>32199</v>
      </c>
      <c r="B374" s="1">
        <v>40009</v>
      </c>
      <c r="C374" t="s">
        <v>23</v>
      </c>
      <c r="D374" t="str">
        <f t="shared" si="10"/>
        <v>15-Jul-2009</v>
      </c>
      <c r="E374">
        <v>8</v>
      </c>
      <c r="F374" s="13">
        <v>46.97</v>
      </c>
      <c r="G374">
        <v>0.03</v>
      </c>
      <c r="H374" t="s">
        <v>19</v>
      </c>
      <c r="I374" s="13">
        <v>-0.01</v>
      </c>
      <c r="J374">
        <v>5.84</v>
      </c>
      <c r="K374">
        <v>1.2</v>
      </c>
      <c r="L374" t="s">
        <v>88</v>
      </c>
      <c r="M374" t="s">
        <v>85</v>
      </c>
      <c r="N374" s="5" t="s">
        <v>86</v>
      </c>
      <c r="O374" t="s">
        <v>28</v>
      </c>
      <c r="P374" t="s">
        <v>21</v>
      </c>
      <c r="Q374" t="s">
        <v>50</v>
      </c>
      <c r="R374">
        <v>0.55000000000000004</v>
      </c>
      <c r="S374" s="1">
        <v>40011</v>
      </c>
      <c r="T374" t="str">
        <f t="shared" si="11"/>
        <v>17-Jul-2009</v>
      </c>
    </row>
    <row r="375" spans="1:20" x14ac:dyDescent="0.3">
      <c r="A375">
        <v>59651</v>
      </c>
      <c r="B375" s="1">
        <v>40318</v>
      </c>
      <c r="C375" t="s">
        <v>43</v>
      </c>
      <c r="D375" t="str">
        <f t="shared" si="10"/>
        <v>20-May-2010</v>
      </c>
      <c r="E375">
        <v>18</v>
      </c>
      <c r="F375" s="13">
        <v>45.8</v>
      </c>
      <c r="G375">
        <v>0.04</v>
      </c>
      <c r="H375" t="s">
        <v>19</v>
      </c>
      <c r="I375" s="13">
        <v>-52.92</v>
      </c>
      <c r="J375">
        <v>2.23</v>
      </c>
      <c r="K375">
        <v>4.57</v>
      </c>
      <c r="L375" t="s">
        <v>73</v>
      </c>
      <c r="M375" t="s">
        <v>85</v>
      </c>
      <c r="N375" s="5" t="s">
        <v>86</v>
      </c>
      <c r="O375" t="s">
        <v>28</v>
      </c>
      <c r="P375" t="s">
        <v>32</v>
      </c>
      <c r="Q375" t="s">
        <v>33</v>
      </c>
      <c r="R375">
        <v>0.41</v>
      </c>
      <c r="S375" s="1">
        <v>40320</v>
      </c>
      <c r="T375" t="str">
        <f t="shared" si="11"/>
        <v>22-May-2010</v>
      </c>
    </row>
    <row r="376" spans="1:20" x14ac:dyDescent="0.3">
      <c r="A376">
        <v>46756</v>
      </c>
      <c r="B376" s="1">
        <v>40097</v>
      </c>
      <c r="C376" t="s">
        <v>38</v>
      </c>
      <c r="D376" t="str">
        <f t="shared" si="10"/>
        <v>11-Oct-2009</v>
      </c>
      <c r="E376">
        <v>3</v>
      </c>
      <c r="F376" s="13">
        <v>33.64</v>
      </c>
      <c r="G376">
        <v>0.01</v>
      </c>
      <c r="H376" t="s">
        <v>19</v>
      </c>
      <c r="I376" s="13">
        <v>-22.45</v>
      </c>
      <c r="J376">
        <v>7.28</v>
      </c>
      <c r="K376">
        <v>11.15</v>
      </c>
      <c r="L376" t="s">
        <v>96</v>
      </c>
      <c r="M376" t="s">
        <v>85</v>
      </c>
      <c r="N376" s="5" t="s">
        <v>86</v>
      </c>
      <c r="O376" t="s">
        <v>28</v>
      </c>
      <c r="P376" t="s">
        <v>21</v>
      </c>
      <c r="Q376" t="s">
        <v>37</v>
      </c>
      <c r="R376">
        <v>0.37</v>
      </c>
      <c r="S376" s="1">
        <v>40099</v>
      </c>
      <c r="T376" t="str">
        <f t="shared" si="11"/>
        <v>13-Oct-2009</v>
      </c>
    </row>
    <row r="377" spans="1:20" x14ac:dyDescent="0.3">
      <c r="A377">
        <v>35300</v>
      </c>
      <c r="B377" s="1">
        <v>40239</v>
      </c>
      <c r="C377" t="s">
        <v>38</v>
      </c>
      <c r="D377" t="str">
        <f t="shared" si="10"/>
        <v>02-Mar-2010</v>
      </c>
      <c r="E377">
        <v>10</v>
      </c>
      <c r="F377" s="13">
        <v>28.81</v>
      </c>
      <c r="G377">
        <v>0.02</v>
      </c>
      <c r="H377" t="s">
        <v>19</v>
      </c>
      <c r="I377" s="13">
        <v>7.15</v>
      </c>
      <c r="J377">
        <v>2.89</v>
      </c>
      <c r="K377">
        <v>0.49</v>
      </c>
      <c r="L377" t="s">
        <v>94</v>
      </c>
      <c r="M377" t="s">
        <v>85</v>
      </c>
      <c r="N377" s="5" t="s">
        <v>86</v>
      </c>
      <c r="O377" t="s">
        <v>28</v>
      </c>
      <c r="P377" t="s">
        <v>21</v>
      </c>
      <c r="Q377" t="s">
        <v>48</v>
      </c>
      <c r="R377">
        <v>0.38</v>
      </c>
      <c r="S377" s="1">
        <v>40240</v>
      </c>
      <c r="T377" t="str">
        <f t="shared" si="11"/>
        <v>03-Mar-2010</v>
      </c>
    </row>
    <row r="378" spans="1:20" x14ac:dyDescent="0.3">
      <c r="A378">
        <v>34048</v>
      </c>
      <c r="B378" s="1">
        <v>40630</v>
      </c>
      <c r="C378" t="s">
        <v>18</v>
      </c>
      <c r="D378" t="str">
        <f t="shared" si="10"/>
        <v>28-Mar-2011</v>
      </c>
      <c r="E378">
        <v>1</v>
      </c>
      <c r="F378" s="13">
        <v>26.68</v>
      </c>
      <c r="G378">
        <v>0.04</v>
      </c>
      <c r="H378" t="s">
        <v>19</v>
      </c>
      <c r="I378" s="13">
        <v>-10.74</v>
      </c>
      <c r="J378">
        <v>22.23</v>
      </c>
      <c r="K378">
        <v>3.63</v>
      </c>
      <c r="L378" t="s">
        <v>89</v>
      </c>
      <c r="M378" t="s">
        <v>85</v>
      </c>
      <c r="N378" s="5" t="s">
        <v>86</v>
      </c>
      <c r="O378" t="s">
        <v>28</v>
      </c>
      <c r="P378" t="s">
        <v>32</v>
      </c>
      <c r="Q378" t="s">
        <v>33</v>
      </c>
      <c r="R378">
        <v>0.52</v>
      </c>
      <c r="S378" s="1">
        <v>40632</v>
      </c>
      <c r="T378" t="str">
        <f t="shared" si="11"/>
        <v>30-Mar-2011</v>
      </c>
    </row>
    <row r="379" spans="1:20" x14ac:dyDescent="0.3">
      <c r="A379">
        <v>37185</v>
      </c>
      <c r="B379" s="1">
        <v>41213</v>
      </c>
      <c r="C379" t="s">
        <v>23</v>
      </c>
      <c r="D379" t="str">
        <f t="shared" si="10"/>
        <v>31-Oct-2012</v>
      </c>
      <c r="E379">
        <v>8</v>
      </c>
      <c r="F379" s="13">
        <v>23.19</v>
      </c>
      <c r="G379">
        <v>0.02</v>
      </c>
      <c r="H379" t="s">
        <v>19</v>
      </c>
      <c r="I379" s="13">
        <v>-13.27</v>
      </c>
      <c r="J379">
        <v>2.6</v>
      </c>
      <c r="K379">
        <v>2.4</v>
      </c>
      <c r="L379" t="s">
        <v>87</v>
      </c>
      <c r="M379" t="s">
        <v>85</v>
      </c>
      <c r="N379" s="5" t="s">
        <v>86</v>
      </c>
      <c r="O379" t="s">
        <v>28</v>
      </c>
      <c r="P379" t="s">
        <v>21</v>
      </c>
      <c r="Q379" t="s">
        <v>50</v>
      </c>
      <c r="R379">
        <v>0.57999999999999996</v>
      </c>
      <c r="S379" s="1">
        <v>41214</v>
      </c>
      <c r="T379" t="str">
        <f t="shared" si="11"/>
        <v>01-Nov-2012</v>
      </c>
    </row>
    <row r="380" spans="1:20" x14ac:dyDescent="0.3">
      <c r="A380">
        <v>12773</v>
      </c>
      <c r="B380" s="1">
        <v>40554</v>
      </c>
      <c r="C380" t="s">
        <v>18</v>
      </c>
      <c r="D380" t="str">
        <f t="shared" si="10"/>
        <v>11-Jan-2011</v>
      </c>
      <c r="E380">
        <v>6</v>
      </c>
      <c r="F380" s="13">
        <v>17</v>
      </c>
      <c r="G380">
        <v>7.0000000000000007E-2</v>
      </c>
      <c r="H380" t="s">
        <v>19</v>
      </c>
      <c r="I380" s="13">
        <v>-4.6100000000000003</v>
      </c>
      <c r="J380">
        <v>2.78</v>
      </c>
      <c r="K380">
        <v>1.49</v>
      </c>
      <c r="L380" t="s">
        <v>93</v>
      </c>
      <c r="M380" t="s">
        <v>85</v>
      </c>
      <c r="N380" s="5" t="s">
        <v>86</v>
      </c>
      <c r="O380" t="s">
        <v>28</v>
      </c>
      <c r="P380" t="s">
        <v>21</v>
      </c>
      <c r="Q380" t="s">
        <v>26</v>
      </c>
      <c r="R380">
        <v>0.39</v>
      </c>
      <c r="S380" s="1">
        <v>40556</v>
      </c>
      <c r="T380" t="str">
        <f t="shared" si="11"/>
        <v>13-Jan-2011</v>
      </c>
    </row>
    <row r="381" spans="1:20" x14ac:dyDescent="0.3">
      <c r="A381">
        <v>32869</v>
      </c>
      <c r="B381" s="1">
        <v>39899</v>
      </c>
      <c r="C381" t="s">
        <v>38</v>
      </c>
      <c r="D381" t="str">
        <f t="shared" si="10"/>
        <v>27-Mar-2009</v>
      </c>
      <c r="E381">
        <v>2</v>
      </c>
      <c r="F381" s="13">
        <v>15.26</v>
      </c>
      <c r="G381">
        <v>0.01</v>
      </c>
      <c r="H381" t="s">
        <v>19</v>
      </c>
      <c r="I381" s="13">
        <v>-7.51</v>
      </c>
      <c r="J381">
        <v>6.68</v>
      </c>
      <c r="K381">
        <v>1.5</v>
      </c>
      <c r="L381" t="s">
        <v>89</v>
      </c>
      <c r="M381" t="s">
        <v>85</v>
      </c>
      <c r="N381" s="5" t="s">
        <v>86</v>
      </c>
      <c r="O381" t="s">
        <v>28</v>
      </c>
      <c r="P381" t="s">
        <v>21</v>
      </c>
      <c r="Q381" t="s">
        <v>50</v>
      </c>
      <c r="R381">
        <v>0.48</v>
      </c>
      <c r="S381" s="1">
        <v>39900</v>
      </c>
      <c r="T381" t="str">
        <f t="shared" si="11"/>
        <v>28-Mar-2009</v>
      </c>
    </row>
    <row r="382" spans="1:20" x14ac:dyDescent="0.3">
      <c r="A382">
        <v>30372</v>
      </c>
      <c r="B382" s="1">
        <v>40420</v>
      </c>
      <c r="C382" t="s">
        <v>23</v>
      </c>
      <c r="D382" t="str">
        <f t="shared" si="10"/>
        <v>30-Aug-2010</v>
      </c>
      <c r="E382">
        <v>1</v>
      </c>
      <c r="F382" s="13">
        <v>14.4</v>
      </c>
      <c r="G382">
        <v>0.1</v>
      </c>
      <c r="H382" t="s">
        <v>19</v>
      </c>
      <c r="I382" s="13">
        <v>-7.39</v>
      </c>
      <c r="J382">
        <v>12.22</v>
      </c>
      <c r="K382">
        <v>2.85</v>
      </c>
      <c r="L382" t="s">
        <v>89</v>
      </c>
      <c r="M382" t="s">
        <v>85</v>
      </c>
      <c r="N382" s="5" t="s">
        <v>86</v>
      </c>
      <c r="O382" t="s">
        <v>28</v>
      </c>
      <c r="P382" t="s">
        <v>32</v>
      </c>
      <c r="Q382" t="s">
        <v>33</v>
      </c>
      <c r="R382">
        <v>0.55000000000000004</v>
      </c>
      <c r="S382" s="1">
        <v>40422</v>
      </c>
      <c r="T382" t="str">
        <f t="shared" si="11"/>
        <v>01-Sep-2010</v>
      </c>
    </row>
    <row r="383" spans="1:20" ht="15" thickBot="1" x14ac:dyDescent="0.35">
      <c r="A383">
        <v>58368</v>
      </c>
      <c r="B383" s="1">
        <v>41099</v>
      </c>
      <c r="C383" t="s">
        <v>23</v>
      </c>
      <c r="D383" t="str">
        <f t="shared" si="10"/>
        <v>09-Jul-2012</v>
      </c>
      <c r="E383">
        <v>4</v>
      </c>
      <c r="F383" s="13">
        <v>14.23</v>
      </c>
      <c r="G383">
        <v>0</v>
      </c>
      <c r="H383" t="s">
        <v>19</v>
      </c>
      <c r="I383" s="13">
        <v>-4.43</v>
      </c>
      <c r="J383">
        <v>2.08</v>
      </c>
      <c r="K383">
        <v>5.33</v>
      </c>
      <c r="L383" t="s">
        <v>71</v>
      </c>
      <c r="M383" t="s">
        <v>85</v>
      </c>
      <c r="N383" s="6" t="s">
        <v>86</v>
      </c>
      <c r="O383" t="s">
        <v>28</v>
      </c>
      <c r="P383" t="s">
        <v>32</v>
      </c>
      <c r="Q383" t="s">
        <v>33</v>
      </c>
      <c r="R383">
        <v>0.43</v>
      </c>
      <c r="S383" s="1">
        <v>41101</v>
      </c>
      <c r="T383" t="str">
        <f t="shared" si="11"/>
        <v>11-Jul-2012</v>
      </c>
    </row>
    <row r="384" spans="1:20" ht="15" thickTop="1" x14ac:dyDescent="0.3">
      <c r="A384">
        <v>12419</v>
      </c>
      <c r="B384" s="1">
        <v>40831</v>
      </c>
      <c r="C384" t="s">
        <v>43</v>
      </c>
      <c r="D384" t="str">
        <f t="shared" si="10"/>
        <v>15-Oct-2011</v>
      </c>
      <c r="E384">
        <v>12</v>
      </c>
      <c r="F384" s="13">
        <v>22079.47</v>
      </c>
      <c r="G384">
        <v>0.06</v>
      </c>
      <c r="H384" t="s">
        <v>19</v>
      </c>
      <c r="I384" s="13">
        <v>5322.14</v>
      </c>
      <c r="J384">
        <v>1938.02</v>
      </c>
      <c r="K384">
        <v>13.99</v>
      </c>
      <c r="L384" t="s">
        <v>44</v>
      </c>
      <c r="M384" t="s">
        <v>69</v>
      </c>
      <c r="N384" s="5" t="s">
        <v>69</v>
      </c>
      <c r="O384" t="s">
        <v>28</v>
      </c>
      <c r="P384" t="s">
        <v>29</v>
      </c>
      <c r="Q384" t="s">
        <v>74</v>
      </c>
      <c r="R384">
        <v>0.38</v>
      </c>
      <c r="S384" s="1">
        <v>40833</v>
      </c>
      <c r="T384" t="str">
        <f t="shared" si="11"/>
        <v>17-Oct-2011</v>
      </c>
    </row>
    <row r="385" spans="1:20" x14ac:dyDescent="0.3">
      <c r="A385">
        <v>39364</v>
      </c>
      <c r="B385" s="1">
        <v>41222</v>
      </c>
      <c r="C385" t="s">
        <v>23</v>
      </c>
      <c r="D385" t="str">
        <f t="shared" si="10"/>
        <v>09-Nov-2012</v>
      </c>
      <c r="E385">
        <v>15</v>
      </c>
      <c r="F385" s="13">
        <v>19417.55</v>
      </c>
      <c r="G385">
        <v>0.03</v>
      </c>
      <c r="H385" t="s">
        <v>19</v>
      </c>
      <c r="I385" s="13">
        <v>8417.57</v>
      </c>
      <c r="J385">
        <v>1270.99</v>
      </c>
      <c r="K385">
        <v>19.989999999999998</v>
      </c>
      <c r="L385" t="s">
        <v>72</v>
      </c>
      <c r="M385" t="s">
        <v>69</v>
      </c>
      <c r="N385" s="5" t="s">
        <v>69</v>
      </c>
      <c r="O385" t="s">
        <v>28</v>
      </c>
      <c r="P385" t="s">
        <v>21</v>
      </c>
      <c r="Q385" t="s">
        <v>26</v>
      </c>
      <c r="R385">
        <v>0.35</v>
      </c>
      <c r="S385" s="1">
        <v>41224</v>
      </c>
      <c r="T385" t="str">
        <f t="shared" si="11"/>
        <v>11-Nov-2012</v>
      </c>
    </row>
    <row r="386" spans="1:20" x14ac:dyDescent="0.3">
      <c r="A386">
        <v>27553</v>
      </c>
      <c r="B386" s="1">
        <v>40767</v>
      </c>
      <c r="C386" t="s">
        <v>38</v>
      </c>
      <c r="D386" t="str">
        <f t="shared" ref="D386:D449" si="12">TEXT(B386, "dd-mmm-yyyy" )</f>
        <v>12-Aug-2011</v>
      </c>
      <c r="E386">
        <v>48</v>
      </c>
      <c r="F386" s="13">
        <v>18235.47</v>
      </c>
      <c r="G386">
        <v>0.03</v>
      </c>
      <c r="H386" t="s">
        <v>24</v>
      </c>
      <c r="I386" s="13">
        <v>1166.93</v>
      </c>
      <c r="J386">
        <v>370.98</v>
      </c>
      <c r="K386">
        <v>99</v>
      </c>
      <c r="L386" t="s">
        <v>47</v>
      </c>
      <c r="M386" t="s">
        <v>69</v>
      </c>
      <c r="N386" s="5" t="s">
        <v>69</v>
      </c>
      <c r="O386" t="s">
        <v>28</v>
      </c>
      <c r="P386" t="s">
        <v>21</v>
      </c>
      <c r="Q386" t="s">
        <v>22</v>
      </c>
      <c r="R386">
        <v>0.65</v>
      </c>
      <c r="S386" s="1">
        <v>40769</v>
      </c>
      <c r="T386" t="str">
        <f t="shared" ref="T386:T449" si="13">TEXT(S386, "dd-mmm-yyyy")</f>
        <v>14-Aug-2011</v>
      </c>
    </row>
    <row r="387" spans="1:20" x14ac:dyDescent="0.3">
      <c r="A387">
        <v>30658</v>
      </c>
      <c r="B387" s="1">
        <v>40628</v>
      </c>
      <c r="C387" t="s">
        <v>38</v>
      </c>
      <c r="D387" t="str">
        <f t="shared" si="12"/>
        <v>26-Mar-2011</v>
      </c>
      <c r="E387">
        <v>35</v>
      </c>
      <c r="F387" s="13">
        <v>17387.650000000001</v>
      </c>
      <c r="G387">
        <v>0.08</v>
      </c>
      <c r="H387" t="s">
        <v>19</v>
      </c>
      <c r="I387" s="13">
        <v>6907.61</v>
      </c>
      <c r="J387">
        <v>499.99</v>
      </c>
      <c r="K387">
        <v>24.49</v>
      </c>
      <c r="L387" t="s">
        <v>79</v>
      </c>
      <c r="M387" t="s">
        <v>69</v>
      </c>
      <c r="N387" s="5" t="s">
        <v>69</v>
      </c>
      <c r="O387" t="s">
        <v>28</v>
      </c>
      <c r="P387" t="s">
        <v>29</v>
      </c>
      <c r="Q387" t="s">
        <v>51</v>
      </c>
      <c r="R387">
        <v>0.36</v>
      </c>
      <c r="S387" s="1">
        <v>40629</v>
      </c>
      <c r="T387" t="str">
        <f t="shared" si="13"/>
        <v>27-Mar-2011</v>
      </c>
    </row>
    <row r="388" spans="1:20" x14ac:dyDescent="0.3">
      <c r="A388">
        <v>44519</v>
      </c>
      <c r="B388" s="1">
        <v>40317</v>
      </c>
      <c r="C388" t="s">
        <v>23</v>
      </c>
      <c r="D388" t="str">
        <f t="shared" si="12"/>
        <v>19-May-2010</v>
      </c>
      <c r="E388">
        <v>34</v>
      </c>
      <c r="F388" s="13">
        <v>16073.03</v>
      </c>
      <c r="G388">
        <v>0.01</v>
      </c>
      <c r="H388" t="s">
        <v>24</v>
      </c>
      <c r="I388" s="13">
        <v>5386.32</v>
      </c>
      <c r="J388">
        <v>442.14</v>
      </c>
      <c r="K388">
        <v>14.7</v>
      </c>
      <c r="L388" t="s">
        <v>59</v>
      </c>
      <c r="M388" t="s">
        <v>69</v>
      </c>
      <c r="N388" s="5" t="s">
        <v>69</v>
      </c>
      <c r="O388" t="s">
        <v>28</v>
      </c>
      <c r="P388" t="s">
        <v>29</v>
      </c>
      <c r="Q388" t="s">
        <v>74</v>
      </c>
      <c r="R388">
        <v>0.56000000000000005</v>
      </c>
      <c r="S388" s="1">
        <v>40318</v>
      </c>
      <c r="T388" t="str">
        <f t="shared" si="13"/>
        <v>20-May-2010</v>
      </c>
    </row>
    <row r="389" spans="1:20" x14ac:dyDescent="0.3">
      <c r="A389">
        <v>34631</v>
      </c>
      <c r="B389" s="1">
        <v>40109</v>
      </c>
      <c r="C389" t="s">
        <v>31</v>
      </c>
      <c r="D389" t="str">
        <f t="shared" si="12"/>
        <v>23-Oct-2009</v>
      </c>
      <c r="E389">
        <v>19</v>
      </c>
      <c r="F389" s="13">
        <v>12616.2</v>
      </c>
      <c r="G389">
        <v>7.0000000000000007E-2</v>
      </c>
      <c r="H389" t="s">
        <v>19</v>
      </c>
      <c r="I389" s="13">
        <v>2808.22</v>
      </c>
      <c r="J389">
        <v>699.99</v>
      </c>
      <c r="K389">
        <v>24.49</v>
      </c>
      <c r="L389" t="s">
        <v>73</v>
      </c>
      <c r="M389" t="s">
        <v>69</v>
      </c>
      <c r="N389" s="5" t="s">
        <v>69</v>
      </c>
      <c r="O389" t="s">
        <v>28</v>
      </c>
      <c r="P389" t="s">
        <v>29</v>
      </c>
      <c r="Q389" t="s">
        <v>51</v>
      </c>
      <c r="R389">
        <v>0.41</v>
      </c>
      <c r="S389" s="1">
        <v>40111</v>
      </c>
      <c r="T389" t="str">
        <f t="shared" si="13"/>
        <v>25-Oct-2009</v>
      </c>
    </row>
    <row r="390" spans="1:20" x14ac:dyDescent="0.3">
      <c r="A390">
        <v>16547</v>
      </c>
      <c r="B390" s="1">
        <v>39862</v>
      </c>
      <c r="C390" t="s">
        <v>31</v>
      </c>
      <c r="D390" t="str">
        <f t="shared" si="12"/>
        <v>18-Feb-2009</v>
      </c>
      <c r="E390">
        <v>30</v>
      </c>
      <c r="F390" s="13">
        <v>10554.63</v>
      </c>
      <c r="G390">
        <v>0.09</v>
      </c>
      <c r="H390" t="s">
        <v>24</v>
      </c>
      <c r="I390" s="13">
        <v>1240.25</v>
      </c>
      <c r="J390">
        <v>355.98</v>
      </c>
      <c r="K390">
        <v>58.92</v>
      </c>
      <c r="L390" t="s">
        <v>58</v>
      </c>
      <c r="M390" t="s">
        <v>69</v>
      </c>
      <c r="N390" s="5" t="s">
        <v>69</v>
      </c>
      <c r="O390" t="s">
        <v>28</v>
      </c>
      <c r="P390" t="s">
        <v>32</v>
      </c>
      <c r="Q390" t="s">
        <v>56</v>
      </c>
      <c r="R390">
        <v>0.64</v>
      </c>
      <c r="S390" s="1">
        <v>39864</v>
      </c>
      <c r="T390" t="str">
        <f t="shared" si="13"/>
        <v>20-Feb-2009</v>
      </c>
    </row>
    <row r="391" spans="1:20" x14ac:dyDescent="0.3">
      <c r="A391">
        <v>9927</v>
      </c>
      <c r="B391" s="1">
        <v>40771</v>
      </c>
      <c r="C391" t="s">
        <v>23</v>
      </c>
      <c r="D391" t="str">
        <f t="shared" si="12"/>
        <v>16-Aug-2011</v>
      </c>
      <c r="E391">
        <v>44</v>
      </c>
      <c r="F391" s="13">
        <v>10087.6</v>
      </c>
      <c r="G391">
        <v>0.01</v>
      </c>
      <c r="H391" t="s">
        <v>19</v>
      </c>
      <c r="I391" s="13">
        <v>3387.35</v>
      </c>
      <c r="J391">
        <v>218.08</v>
      </c>
      <c r="K391">
        <v>18.059999999999999</v>
      </c>
      <c r="L391" t="s">
        <v>52</v>
      </c>
      <c r="M391" t="s">
        <v>69</v>
      </c>
      <c r="N391" s="5" t="s">
        <v>69</v>
      </c>
      <c r="O391" t="s">
        <v>28</v>
      </c>
      <c r="P391" t="s">
        <v>32</v>
      </c>
      <c r="Q391" t="s">
        <v>56</v>
      </c>
      <c r="R391">
        <v>0.56999999999999995</v>
      </c>
      <c r="S391" s="1">
        <v>40772</v>
      </c>
      <c r="T391" t="str">
        <f t="shared" si="13"/>
        <v>17-Aug-2011</v>
      </c>
    </row>
    <row r="392" spans="1:20" x14ac:dyDescent="0.3">
      <c r="A392">
        <v>24743</v>
      </c>
      <c r="B392" s="1">
        <v>41088</v>
      </c>
      <c r="C392" t="s">
        <v>18</v>
      </c>
      <c r="D392" t="str">
        <f t="shared" si="12"/>
        <v>28-Jun-2012</v>
      </c>
      <c r="E392">
        <v>47</v>
      </c>
      <c r="F392" s="13">
        <v>9633.59</v>
      </c>
      <c r="G392">
        <v>0.06</v>
      </c>
      <c r="H392" t="s">
        <v>24</v>
      </c>
      <c r="I392" s="13">
        <v>176.67</v>
      </c>
      <c r="J392">
        <v>216.6</v>
      </c>
      <c r="K392">
        <v>64.2</v>
      </c>
      <c r="L392" t="s">
        <v>44</v>
      </c>
      <c r="M392" t="s">
        <v>69</v>
      </c>
      <c r="N392" s="5" t="s">
        <v>69</v>
      </c>
      <c r="O392" t="s">
        <v>28</v>
      </c>
      <c r="P392" t="s">
        <v>32</v>
      </c>
      <c r="Q392" t="s">
        <v>56</v>
      </c>
      <c r="R392">
        <v>0.59</v>
      </c>
      <c r="S392" s="1">
        <v>41095</v>
      </c>
      <c r="T392" t="str">
        <f t="shared" si="13"/>
        <v>05-Jul-2012</v>
      </c>
    </row>
    <row r="393" spans="1:20" x14ac:dyDescent="0.3">
      <c r="A393">
        <v>42209</v>
      </c>
      <c r="B393" s="1">
        <v>40266</v>
      </c>
      <c r="C393" t="s">
        <v>23</v>
      </c>
      <c r="D393" t="str">
        <f t="shared" si="12"/>
        <v>29-Mar-2010</v>
      </c>
      <c r="E393">
        <v>31</v>
      </c>
      <c r="F393" s="13">
        <v>8901.7800000000007</v>
      </c>
      <c r="G393">
        <v>0.04</v>
      </c>
      <c r="H393" t="s">
        <v>19</v>
      </c>
      <c r="I393" s="13">
        <v>2795.36</v>
      </c>
      <c r="J393">
        <v>276.2</v>
      </c>
      <c r="K393">
        <v>24.49</v>
      </c>
      <c r="L393" t="s">
        <v>53</v>
      </c>
      <c r="M393" t="s">
        <v>69</v>
      </c>
      <c r="N393" s="5" t="s">
        <v>69</v>
      </c>
      <c r="O393" t="s">
        <v>28</v>
      </c>
      <c r="P393" t="s">
        <v>32</v>
      </c>
      <c r="Q393" t="s">
        <v>56</v>
      </c>
      <c r="S393" s="1">
        <v>40269</v>
      </c>
      <c r="T393" t="str">
        <f t="shared" si="13"/>
        <v>01-Apr-2010</v>
      </c>
    </row>
    <row r="394" spans="1:20" x14ac:dyDescent="0.3">
      <c r="A394">
        <v>50914</v>
      </c>
      <c r="B394" s="1">
        <v>41093</v>
      </c>
      <c r="C394" t="s">
        <v>43</v>
      </c>
      <c r="D394" t="str">
        <f t="shared" si="12"/>
        <v>03-Jul-2012</v>
      </c>
      <c r="E394">
        <v>49</v>
      </c>
      <c r="F394" s="13">
        <v>8551.5439999999999</v>
      </c>
      <c r="G394">
        <v>0.03</v>
      </c>
      <c r="H394" t="s">
        <v>19</v>
      </c>
      <c r="I394" s="13">
        <v>2763.13</v>
      </c>
      <c r="J394">
        <v>195.99</v>
      </c>
      <c r="K394">
        <v>8.99</v>
      </c>
      <c r="L394" t="s">
        <v>40</v>
      </c>
      <c r="M394" t="s">
        <v>69</v>
      </c>
      <c r="N394" s="5" t="s">
        <v>69</v>
      </c>
      <c r="O394" t="s">
        <v>28</v>
      </c>
      <c r="P394" t="s">
        <v>29</v>
      </c>
      <c r="Q394" t="s">
        <v>30</v>
      </c>
      <c r="R394">
        <v>0.57999999999999996</v>
      </c>
      <c r="S394" s="1">
        <v>41093</v>
      </c>
      <c r="T394" t="str">
        <f t="shared" si="13"/>
        <v>03-Jul-2012</v>
      </c>
    </row>
    <row r="395" spans="1:20" x14ac:dyDescent="0.3">
      <c r="A395">
        <v>39683</v>
      </c>
      <c r="B395" s="1">
        <v>40765</v>
      </c>
      <c r="C395" t="s">
        <v>23</v>
      </c>
      <c r="D395" t="str">
        <f t="shared" si="12"/>
        <v>10-Aug-2011</v>
      </c>
      <c r="E395">
        <v>41</v>
      </c>
      <c r="F395" s="13">
        <v>8387.1</v>
      </c>
      <c r="G395">
        <v>0.1</v>
      </c>
      <c r="H395" t="s">
        <v>19</v>
      </c>
      <c r="I395" s="13">
        <v>2113.9499999999998</v>
      </c>
      <c r="J395">
        <v>218.08</v>
      </c>
      <c r="K395">
        <v>18.059999999999999</v>
      </c>
      <c r="L395" t="s">
        <v>81</v>
      </c>
      <c r="M395" t="s">
        <v>69</v>
      </c>
      <c r="N395" s="5" t="s">
        <v>69</v>
      </c>
      <c r="O395" t="s">
        <v>28</v>
      </c>
      <c r="P395" t="s">
        <v>32</v>
      </c>
      <c r="Q395" t="s">
        <v>56</v>
      </c>
      <c r="R395">
        <v>0.56999999999999995</v>
      </c>
      <c r="S395" s="1">
        <v>40766</v>
      </c>
      <c r="T395" t="str">
        <f t="shared" si="13"/>
        <v>11-Aug-2011</v>
      </c>
    </row>
    <row r="396" spans="1:20" x14ac:dyDescent="0.3">
      <c r="A396">
        <v>31270</v>
      </c>
      <c r="B396" s="1">
        <v>41236</v>
      </c>
      <c r="C396" t="s">
        <v>38</v>
      </c>
      <c r="D396" t="str">
        <f t="shared" si="12"/>
        <v>23-Nov-2012</v>
      </c>
      <c r="E396">
        <v>21</v>
      </c>
      <c r="F396" s="13">
        <v>6806.66</v>
      </c>
      <c r="G396">
        <v>0</v>
      </c>
      <c r="H396" t="s">
        <v>24</v>
      </c>
      <c r="I396" s="13">
        <v>801.72</v>
      </c>
      <c r="J396">
        <v>299.05</v>
      </c>
      <c r="K396">
        <v>87.01</v>
      </c>
      <c r="L396" t="s">
        <v>64</v>
      </c>
      <c r="M396" t="s">
        <v>69</v>
      </c>
      <c r="N396" s="5" t="s">
        <v>69</v>
      </c>
      <c r="O396" t="s">
        <v>28</v>
      </c>
      <c r="P396" t="s">
        <v>32</v>
      </c>
      <c r="Q396" t="s">
        <v>56</v>
      </c>
      <c r="R396">
        <v>0.56999999999999995</v>
      </c>
      <c r="S396" s="1">
        <v>41237</v>
      </c>
      <c r="T396" t="str">
        <f t="shared" si="13"/>
        <v>24-Nov-2012</v>
      </c>
    </row>
    <row r="397" spans="1:20" x14ac:dyDescent="0.3">
      <c r="A397">
        <v>24128</v>
      </c>
      <c r="B397" s="1">
        <v>40505</v>
      </c>
      <c r="C397" t="s">
        <v>23</v>
      </c>
      <c r="D397" t="str">
        <f t="shared" si="12"/>
        <v>23-Nov-2010</v>
      </c>
      <c r="E397">
        <v>43</v>
      </c>
      <c r="F397" s="13">
        <v>6583.9129999999996</v>
      </c>
      <c r="G397">
        <v>0.09</v>
      </c>
      <c r="H397" t="s">
        <v>19</v>
      </c>
      <c r="I397" s="13">
        <v>1459.79</v>
      </c>
      <c r="J397">
        <v>195.99</v>
      </c>
      <c r="K397">
        <v>3.99</v>
      </c>
      <c r="L397" t="s">
        <v>57</v>
      </c>
      <c r="M397" t="s">
        <v>69</v>
      </c>
      <c r="N397" s="5" t="s">
        <v>69</v>
      </c>
      <c r="O397" t="s">
        <v>28</v>
      </c>
      <c r="P397" t="s">
        <v>29</v>
      </c>
      <c r="Q397" t="s">
        <v>30</v>
      </c>
      <c r="R397">
        <v>0.59</v>
      </c>
      <c r="S397" s="1">
        <v>40507</v>
      </c>
      <c r="T397" t="str">
        <f t="shared" si="13"/>
        <v>25-Nov-2010</v>
      </c>
    </row>
    <row r="398" spans="1:20" x14ac:dyDescent="0.3">
      <c r="A398">
        <v>10499</v>
      </c>
      <c r="B398" s="1">
        <v>40498</v>
      </c>
      <c r="C398" t="s">
        <v>31</v>
      </c>
      <c r="D398" t="str">
        <f t="shared" si="12"/>
        <v>16-Nov-2010</v>
      </c>
      <c r="E398">
        <v>29</v>
      </c>
      <c r="F398" s="13">
        <v>6250.9359999999997</v>
      </c>
      <c r="G398">
        <v>0.01</v>
      </c>
      <c r="H398" t="s">
        <v>24</v>
      </c>
      <c r="I398" s="13">
        <v>31.21</v>
      </c>
      <c r="J398">
        <v>262.11</v>
      </c>
      <c r="K398">
        <v>62.74</v>
      </c>
      <c r="L398" t="s">
        <v>71</v>
      </c>
      <c r="M398" t="s">
        <v>69</v>
      </c>
      <c r="N398" s="5" t="s">
        <v>69</v>
      </c>
      <c r="O398" t="s">
        <v>28</v>
      </c>
      <c r="P398" t="s">
        <v>32</v>
      </c>
      <c r="Q398" t="s">
        <v>46</v>
      </c>
      <c r="R398">
        <v>0.75</v>
      </c>
      <c r="S398" s="1">
        <v>40499</v>
      </c>
      <c r="T398" t="str">
        <f t="shared" si="13"/>
        <v>17-Nov-2010</v>
      </c>
    </row>
    <row r="399" spans="1:20" x14ac:dyDescent="0.3">
      <c r="A399">
        <v>16706</v>
      </c>
      <c r="B399" s="1">
        <v>41087</v>
      </c>
      <c r="C399" t="s">
        <v>23</v>
      </c>
      <c r="D399" t="str">
        <f t="shared" si="12"/>
        <v>27-Jun-2012</v>
      </c>
      <c r="E399">
        <v>49</v>
      </c>
      <c r="F399" s="13">
        <v>6175.777</v>
      </c>
      <c r="G399">
        <v>7.0000000000000007E-2</v>
      </c>
      <c r="H399" t="s">
        <v>35</v>
      </c>
      <c r="I399" s="13">
        <v>1881.58</v>
      </c>
      <c r="J399">
        <v>155.99</v>
      </c>
      <c r="K399">
        <v>3.9</v>
      </c>
      <c r="L399" t="s">
        <v>62</v>
      </c>
      <c r="M399" t="s">
        <v>69</v>
      </c>
      <c r="N399" s="5" t="s">
        <v>69</v>
      </c>
      <c r="O399" t="s">
        <v>28</v>
      </c>
      <c r="P399" t="s">
        <v>29</v>
      </c>
      <c r="Q399" t="s">
        <v>30</v>
      </c>
      <c r="R399">
        <v>0.55000000000000004</v>
      </c>
      <c r="S399" s="1">
        <v>41089</v>
      </c>
      <c r="T399" t="str">
        <f t="shared" si="13"/>
        <v>29-Jun-2012</v>
      </c>
    </row>
    <row r="400" spans="1:20" x14ac:dyDescent="0.3">
      <c r="A400">
        <v>26567</v>
      </c>
      <c r="B400" s="1">
        <v>40060</v>
      </c>
      <c r="C400" t="s">
        <v>43</v>
      </c>
      <c r="D400" t="str">
        <f t="shared" si="12"/>
        <v>04-Sep-2009</v>
      </c>
      <c r="E400">
        <v>48</v>
      </c>
      <c r="F400" s="13">
        <v>6109.817</v>
      </c>
      <c r="G400">
        <v>0.04</v>
      </c>
      <c r="H400" t="s">
        <v>19</v>
      </c>
      <c r="I400" s="13">
        <v>1374.95</v>
      </c>
      <c r="J400">
        <v>155.99</v>
      </c>
      <c r="K400">
        <v>8.08</v>
      </c>
      <c r="L400" t="s">
        <v>44</v>
      </c>
      <c r="M400" t="s">
        <v>69</v>
      </c>
      <c r="N400" s="5" t="s">
        <v>69</v>
      </c>
      <c r="O400" t="s">
        <v>28</v>
      </c>
      <c r="P400" t="s">
        <v>29</v>
      </c>
      <c r="Q400" t="s">
        <v>30</v>
      </c>
      <c r="R400">
        <v>0.6</v>
      </c>
      <c r="S400" s="1">
        <v>40061</v>
      </c>
      <c r="T400" t="str">
        <f t="shared" si="13"/>
        <v>05-Sep-2009</v>
      </c>
    </row>
    <row r="401" spans="1:20" x14ac:dyDescent="0.3">
      <c r="A401">
        <v>33123</v>
      </c>
      <c r="B401" s="1">
        <v>40506</v>
      </c>
      <c r="C401" t="s">
        <v>38</v>
      </c>
      <c r="D401" t="str">
        <f t="shared" si="12"/>
        <v>24-Nov-2010</v>
      </c>
      <c r="E401">
        <v>41</v>
      </c>
      <c r="F401" s="13">
        <v>6045.98</v>
      </c>
      <c r="G401">
        <v>0.08</v>
      </c>
      <c r="H401" t="s">
        <v>24</v>
      </c>
      <c r="I401" s="13">
        <v>-996.67</v>
      </c>
      <c r="J401">
        <v>150.97999999999999</v>
      </c>
      <c r="K401">
        <v>66.27</v>
      </c>
      <c r="L401" t="s">
        <v>80</v>
      </c>
      <c r="M401" t="s">
        <v>69</v>
      </c>
      <c r="N401" s="5" t="s">
        <v>69</v>
      </c>
      <c r="O401" t="s">
        <v>28</v>
      </c>
      <c r="P401" t="s">
        <v>32</v>
      </c>
      <c r="Q401" t="s">
        <v>45</v>
      </c>
      <c r="R401">
        <v>0.65</v>
      </c>
      <c r="S401" s="1">
        <v>40508</v>
      </c>
      <c r="T401" t="str">
        <f t="shared" si="13"/>
        <v>26-Nov-2010</v>
      </c>
    </row>
    <row r="402" spans="1:20" x14ac:dyDescent="0.3">
      <c r="A402">
        <v>30658</v>
      </c>
      <c r="B402" s="1">
        <v>40628</v>
      </c>
      <c r="C402" t="s">
        <v>38</v>
      </c>
      <c r="D402" t="str">
        <f t="shared" si="12"/>
        <v>26-Mar-2011</v>
      </c>
      <c r="E402">
        <v>44</v>
      </c>
      <c r="F402" s="13">
        <v>6040.22</v>
      </c>
      <c r="G402">
        <v>0.05</v>
      </c>
      <c r="H402" t="s">
        <v>19</v>
      </c>
      <c r="I402" s="13">
        <v>-942.5</v>
      </c>
      <c r="J402">
        <v>138.13999999999999</v>
      </c>
      <c r="K402">
        <v>35</v>
      </c>
      <c r="L402" t="s">
        <v>79</v>
      </c>
      <c r="M402" t="s">
        <v>69</v>
      </c>
      <c r="N402" s="5" t="s">
        <v>69</v>
      </c>
      <c r="O402" t="s">
        <v>28</v>
      </c>
      <c r="P402" t="s">
        <v>21</v>
      </c>
      <c r="Q402" t="s">
        <v>22</v>
      </c>
      <c r="S402" s="1">
        <v>40630</v>
      </c>
      <c r="T402" t="str">
        <f t="shared" si="13"/>
        <v>28-Mar-2011</v>
      </c>
    </row>
    <row r="403" spans="1:20" x14ac:dyDescent="0.3">
      <c r="A403">
        <v>35266</v>
      </c>
      <c r="B403" s="1">
        <v>40553</v>
      </c>
      <c r="C403" t="s">
        <v>31</v>
      </c>
      <c r="D403" t="str">
        <f t="shared" si="12"/>
        <v>10-Jan-2011</v>
      </c>
      <c r="E403">
        <v>28</v>
      </c>
      <c r="F403" s="13">
        <v>5993.74</v>
      </c>
      <c r="G403">
        <v>7.0000000000000007E-2</v>
      </c>
      <c r="H403" t="s">
        <v>24</v>
      </c>
      <c r="I403" s="13">
        <v>-998.94</v>
      </c>
      <c r="J403">
        <v>218.75</v>
      </c>
      <c r="K403">
        <v>69.64</v>
      </c>
      <c r="L403" t="s">
        <v>62</v>
      </c>
      <c r="M403" t="s">
        <v>69</v>
      </c>
      <c r="N403" s="5" t="s">
        <v>69</v>
      </c>
      <c r="O403" t="s">
        <v>28</v>
      </c>
      <c r="P403" t="s">
        <v>32</v>
      </c>
      <c r="Q403" t="s">
        <v>46</v>
      </c>
      <c r="R403">
        <v>0.77</v>
      </c>
      <c r="S403" s="1">
        <v>40555</v>
      </c>
      <c r="T403" t="str">
        <f t="shared" si="13"/>
        <v>12-Jan-2011</v>
      </c>
    </row>
    <row r="404" spans="1:20" x14ac:dyDescent="0.3">
      <c r="A404">
        <v>27392</v>
      </c>
      <c r="B404" s="1">
        <v>40970</v>
      </c>
      <c r="C404" t="s">
        <v>18</v>
      </c>
      <c r="D404" t="str">
        <f t="shared" si="12"/>
        <v>02-Mar-2012</v>
      </c>
      <c r="E404">
        <v>37</v>
      </c>
      <c r="F404" s="13">
        <v>5753.85</v>
      </c>
      <c r="G404">
        <v>0</v>
      </c>
      <c r="H404" t="s">
        <v>19</v>
      </c>
      <c r="I404" s="13">
        <v>2509.52</v>
      </c>
      <c r="J404">
        <v>150.97999999999999</v>
      </c>
      <c r="K404">
        <v>13.99</v>
      </c>
      <c r="L404" t="s">
        <v>63</v>
      </c>
      <c r="M404" t="s">
        <v>69</v>
      </c>
      <c r="N404" s="5" t="s">
        <v>69</v>
      </c>
      <c r="O404" t="s">
        <v>28</v>
      </c>
      <c r="P404" t="s">
        <v>29</v>
      </c>
      <c r="Q404" t="s">
        <v>74</v>
      </c>
      <c r="R404">
        <v>0.38</v>
      </c>
      <c r="S404" s="1">
        <v>40979</v>
      </c>
      <c r="T404" t="str">
        <f t="shared" si="13"/>
        <v>11-Mar-2012</v>
      </c>
    </row>
    <row r="405" spans="1:20" x14ac:dyDescent="0.3">
      <c r="A405">
        <v>52964</v>
      </c>
      <c r="B405" s="1">
        <v>40268</v>
      </c>
      <c r="C405" t="s">
        <v>43</v>
      </c>
      <c r="D405" t="str">
        <f t="shared" si="12"/>
        <v>31-Mar-2010</v>
      </c>
      <c r="E405">
        <v>44</v>
      </c>
      <c r="F405" s="13">
        <v>5735.79</v>
      </c>
      <c r="G405">
        <v>0.08</v>
      </c>
      <c r="H405" t="s">
        <v>19</v>
      </c>
      <c r="I405" s="13">
        <v>828.27</v>
      </c>
      <c r="J405">
        <v>136.97999999999999</v>
      </c>
      <c r="K405">
        <v>24.49</v>
      </c>
      <c r="L405" t="s">
        <v>47</v>
      </c>
      <c r="M405" t="s">
        <v>69</v>
      </c>
      <c r="N405" s="5" t="s">
        <v>69</v>
      </c>
      <c r="O405" t="s">
        <v>28</v>
      </c>
      <c r="P405" t="s">
        <v>32</v>
      </c>
      <c r="Q405" t="s">
        <v>33</v>
      </c>
      <c r="R405">
        <v>0.59</v>
      </c>
      <c r="S405" s="1">
        <v>40269</v>
      </c>
      <c r="T405" t="str">
        <f t="shared" si="13"/>
        <v>01-Apr-2010</v>
      </c>
    </row>
    <row r="406" spans="1:20" x14ac:dyDescent="0.3">
      <c r="A406">
        <v>14372</v>
      </c>
      <c r="B406" s="1">
        <v>41205</v>
      </c>
      <c r="C406" t="s">
        <v>43</v>
      </c>
      <c r="D406" t="str">
        <f t="shared" si="12"/>
        <v>23-Oct-2012</v>
      </c>
      <c r="E406">
        <v>34</v>
      </c>
      <c r="F406" s="13">
        <v>5350.61</v>
      </c>
      <c r="G406">
        <v>0.09</v>
      </c>
      <c r="H406" t="s">
        <v>24</v>
      </c>
      <c r="I406" s="13">
        <v>-1059.2</v>
      </c>
      <c r="J406">
        <v>170.98</v>
      </c>
      <c r="K406">
        <v>60.49</v>
      </c>
      <c r="L406" t="s">
        <v>62</v>
      </c>
      <c r="M406" t="s">
        <v>69</v>
      </c>
      <c r="N406" s="5" t="s">
        <v>69</v>
      </c>
      <c r="O406" t="s">
        <v>28</v>
      </c>
      <c r="P406" t="s">
        <v>32</v>
      </c>
      <c r="Q406" t="s">
        <v>45</v>
      </c>
      <c r="R406">
        <v>0.69</v>
      </c>
      <c r="S406" s="1">
        <v>41207</v>
      </c>
      <c r="T406" t="str">
        <f t="shared" si="13"/>
        <v>25-Oct-2012</v>
      </c>
    </row>
    <row r="407" spans="1:20" x14ac:dyDescent="0.3">
      <c r="A407">
        <v>12929</v>
      </c>
      <c r="B407" s="1">
        <v>40420</v>
      </c>
      <c r="C407" t="s">
        <v>43</v>
      </c>
      <c r="D407" t="str">
        <f t="shared" si="12"/>
        <v>30-Aug-2010</v>
      </c>
      <c r="E407">
        <v>19</v>
      </c>
      <c r="F407" s="13">
        <v>5297.47</v>
      </c>
      <c r="G407">
        <v>0.02</v>
      </c>
      <c r="H407" t="s">
        <v>24</v>
      </c>
      <c r="I407" s="13">
        <v>-158.93</v>
      </c>
      <c r="J407">
        <v>270.98</v>
      </c>
      <c r="K407">
        <v>50</v>
      </c>
      <c r="L407" t="s">
        <v>47</v>
      </c>
      <c r="M407" t="s">
        <v>69</v>
      </c>
      <c r="N407" s="5" t="s">
        <v>69</v>
      </c>
      <c r="O407" t="s">
        <v>28</v>
      </c>
      <c r="P407" t="s">
        <v>32</v>
      </c>
      <c r="Q407" t="s">
        <v>56</v>
      </c>
      <c r="R407">
        <v>0.77</v>
      </c>
      <c r="S407" s="1">
        <v>40421</v>
      </c>
      <c r="T407" t="str">
        <f t="shared" si="13"/>
        <v>31-Aug-2010</v>
      </c>
    </row>
    <row r="408" spans="1:20" x14ac:dyDescent="0.3">
      <c r="A408">
        <v>18308</v>
      </c>
      <c r="B408" s="1">
        <v>40095</v>
      </c>
      <c r="C408" t="s">
        <v>31</v>
      </c>
      <c r="D408" t="str">
        <f t="shared" si="12"/>
        <v>09-Oct-2009</v>
      </c>
      <c r="E408">
        <v>49</v>
      </c>
      <c r="F408" s="13">
        <v>5247.4835000000003</v>
      </c>
      <c r="G408">
        <v>0</v>
      </c>
      <c r="H408" t="s">
        <v>19</v>
      </c>
      <c r="I408" s="13">
        <v>1465.87</v>
      </c>
      <c r="J408">
        <v>125.99</v>
      </c>
      <c r="K408">
        <v>8.08</v>
      </c>
      <c r="L408" t="s">
        <v>65</v>
      </c>
      <c r="M408" t="s">
        <v>69</v>
      </c>
      <c r="N408" s="5" t="s">
        <v>69</v>
      </c>
      <c r="O408" t="s">
        <v>28</v>
      </c>
      <c r="P408" t="s">
        <v>29</v>
      </c>
      <c r="Q408" t="s">
        <v>30</v>
      </c>
      <c r="R408">
        <v>0.56999999999999995</v>
      </c>
      <c r="S408" s="1">
        <v>40096</v>
      </c>
      <c r="T408" t="str">
        <f t="shared" si="13"/>
        <v>10-Oct-2009</v>
      </c>
    </row>
    <row r="409" spans="1:20" x14ac:dyDescent="0.3">
      <c r="A409">
        <v>27778</v>
      </c>
      <c r="B409" s="1">
        <v>40788</v>
      </c>
      <c r="C409" t="s">
        <v>43</v>
      </c>
      <c r="D409" t="str">
        <f t="shared" si="12"/>
        <v>02-Sep-2011</v>
      </c>
      <c r="E409">
        <v>34</v>
      </c>
      <c r="F409" s="13">
        <v>4805.92</v>
      </c>
      <c r="G409">
        <v>7.0000000000000007E-2</v>
      </c>
      <c r="H409" t="s">
        <v>24</v>
      </c>
      <c r="I409" s="13">
        <v>-393.96</v>
      </c>
      <c r="J409">
        <v>140.97999999999999</v>
      </c>
      <c r="K409">
        <v>36.090000000000003</v>
      </c>
      <c r="L409" t="s">
        <v>80</v>
      </c>
      <c r="M409" t="s">
        <v>69</v>
      </c>
      <c r="N409" s="5" t="s">
        <v>69</v>
      </c>
      <c r="O409" t="s">
        <v>28</v>
      </c>
      <c r="P409" t="s">
        <v>32</v>
      </c>
      <c r="Q409" t="s">
        <v>45</v>
      </c>
      <c r="R409">
        <v>0.77</v>
      </c>
      <c r="S409" s="1">
        <v>40790</v>
      </c>
      <c r="T409" t="str">
        <f t="shared" si="13"/>
        <v>04-Sep-2011</v>
      </c>
    </row>
    <row r="410" spans="1:20" x14ac:dyDescent="0.3">
      <c r="A410">
        <v>40132</v>
      </c>
      <c r="B410" s="1">
        <v>40962</v>
      </c>
      <c r="C410" t="s">
        <v>18</v>
      </c>
      <c r="D410" t="str">
        <f t="shared" si="12"/>
        <v>23-Feb-2012</v>
      </c>
      <c r="E410">
        <v>36</v>
      </c>
      <c r="F410" s="13">
        <v>4698.5</v>
      </c>
      <c r="G410">
        <v>0.04</v>
      </c>
      <c r="H410" t="s">
        <v>24</v>
      </c>
      <c r="I410" s="13">
        <v>-219.38</v>
      </c>
      <c r="J410">
        <v>124.49</v>
      </c>
      <c r="K410">
        <v>51.94</v>
      </c>
      <c r="L410" t="s">
        <v>75</v>
      </c>
      <c r="M410" t="s">
        <v>69</v>
      </c>
      <c r="N410" s="5" t="s">
        <v>69</v>
      </c>
      <c r="O410" t="s">
        <v>28</v>
      </c>
      <c r="P410" t="s">
        <v>32</v>
      </c>
      <c r="Q410" t="s">
        <v>46</v>
      </c>
      <c r="R410">
        <v>0.63</v>
      </c>
      <c r="S410" s="1">
        <v>40968</v>
      </c>
      <c r="T410" t="str">
        <f t="shared" si="13"/>
        <v>29-Feb-2012</v>
      </c>
    </row>
    <row r="411" spans="1:20" x14ac:dyDescent="0.3">
      <c r="A411">
        <v>26531</v>
      </c>
      <c r="B411" s="1">
        <v>40714</v>
      </c>
      <c r="C411" t="s">
        <v>38</v>
      </c>
      <c r="D411" t="str">
        <f t="shared" si="12"/>
        <v>20-Jun-2011</v>
      </c>
      <c r="E411">
        <v>26</v>
      </c>
      <c r="F411" s="13">
        <v>4688.9485000000004</v>
      </c>
      <c r="G411">
        <v>0</v>
      </c>
      <c r="H411" t="s">
        <v>19</v>
      </c>
      <c r="I411" s="13">
        <v>1215.44</v>
      </c>
      <c r="J411">
        <v>205.99</v>
      </c>
      <c r="K411">
        <v>5.26</v>
      </c>
      <c r="L411" t="s">
        <v>64</v>
      </c>
      <c r="M411" t="s">
        <v>69</v>
      </c>
      <c r="N411" s="5" t="s">
        <v>69</v>
      </c>
      <c r="O411" t="s">
        <v>28</v>
      </c>
      <c r="P411" t="s">
        <v>29</v>
      </c>
      <c r="Q411" t="s">
        <v>30</v>
      </c>
      <c r="R411">
        <v>0.56000000000000005</v>
      </c>
      <c r="S411" s="1">
        <v>40716</v>
      </c>
      <c r="T411" t="str">
        <f t="shared" si="13"/>
        <v>22-Jun-2011</v>
      </c>
    </row>
    <row r="412" spans="1:20" x14ac:dyDescent="0.3">
      <c r="A412">
        <v>26182</v>
      </c>
      <c r="B412" s="1">
        <v>40194</v>
      </c>
      <c r="C412" t="s">
        <v>31</v>
      </c>
      <c r="D412" t="str">
        <f t="shared" si="12"/>
        <v>16-Jan-2010</v>
      </c>
      <c r="E412">
        <v>30</v>
      </c>
      <c r="F412" s="13">
        <v>4684.8999999999996</v>
      </c>
      <c r="G412">
        <v>0.01</v>
      </c>
      <c r="H412" t="s">
        <v>24</v>
      </c>
      <c r="I412" s="13">
        <v>-549.27</v>
      </c>
      <c r="J412">
        <v>150.97999999999999</v>
      </c>
      <c r="K412">
        <v>66.27</v>
      </c>
      <c r="L412" t="s">
        <v>71</v>
      </c>
      <c r="M412" t="s">
        <v>69</v>
      </c>
      <c r="N412" s="5" t="s">
        <v>69</v>
      </c>
      <c r="O412" t="s">
        <v>28</v>
      </c>
      <c r="P412" t="s">
        <v>32</v>
      </c>
      <c r="Q412" t="s">
        <v>45</v>
      </c>
      <c r="R412">
        <v>0.65</v>
      </c>
      <c r="S412" s="1">
        <v>40197</v>
      </c>
      <c r="T412" t="str">
        <f t="shared" si="13"/>
        <v>19-Jan-2010</v>
      </c>
    </row>
    <row r="413" spans="1:20" x14ac:dyDescent="0.3">
      <c r="A413">
        <v>11941</v>
      </c>
      <c r="B413" s="1">
        <v>40353</v>
      </c>
      <c r="C413" t="s">
        <v>43</v>
      </c>
      <c r="D413" t="str">
        <f t="shared" si="12"/>
        <v>24-Jun-2010</v>
      </c>
      <c r="E413">
        <v>26</v>
      </c>
      <c r="F413" s="13">
        <v>4679.1000000000004</v>
      </c>
      <c r="G413">
        <v>0.05</v>
      </c>
      <c r="H413" t="s">
        <v>24</v>
      </c>
      <c r="I413" s="13">
        <v>111.52</v>
      </c>
      <c r="J413">
        <v>179.29</v>
      </c>
      <c r="K413">
        <v>29.21</v>
      </c>
      <c r="L413" t="s">
        <v>72</v>
      </c>
      <c r="M413" t="s">
        <v>69</v>
      </c>
      <c r="N413" s="5" t="s">
        <v>69</v>
      </c>
      <c r="O413" t="s">
        <v>28</v>
      </c>
      <c r="P413" t="s">
        <v>32</v>
      </c>
      <c r="Q413" t="s">
        <v>46</v>
      </c>
      <c r="R413">
        <v>0.74</v>
      </c>
      <c r="S413" s="1">
        <v>40354</v>
      </c>
      <c r="T413" t="str">
        <f t="shared" si="13"/>
        <v>25-Jun-2010</v>
      </c>
    </row>
    <row r="414" spans="1:20" x14ac:dyDescent="0.3">
      <c r="A414">
        <v>9927</v>
      </c>
      <c r="B414" s="1">
        <v>40771</v>
      </c>
      <c r="C414" t="s">
        <v>23</v>
      </c>
      <c r="D414" t="str">
        <f t="shared" si="12"/>
        <v>16-Aug-2011</v>
      </c>
      <c r="E414">
        <v>32</v>
      </c>
      <c r="F414" s="13">
        <v>4655.07</v>
      </c>
      <c r="G414">
        <v>0</v>
      </c>
      <c r="H414" t="s">
        <v>24</v>
      </c>
      <c r="I414" s="13">
        <v>-270.63</v>
      </c>
      <c r="J414">
        <v>140.97999999999999</v>
      </c>
      <c r="K414">
        <v>53.48</v>
      </c>
      <c r="L414" t="s">
        <v>52</v>
      </c>
      <c r="M414" t="s">
        <v>69</v>
      </c>
      <c r="N414" s="5" t="s">
        <v>69</v>
      </c>
      <c r="O414" t="s">
        <v>28</v>
      </c>
      <c r="P414" t="s">
        <v>32</v>
      </c>
      <c r="Q414" t="s">
        <v>45</v>
      </c>
      <c r="R414">
        <v>0.65</v>
      </c>
      <c r="S414" s="1">
        <v>40772</v>
      </c>
      <c r="T414" t="str">
        <f t="shared" si="13"/>
        <v>17-Aug-2011</v>
      </c>
    </row>
    <row r="415" spans="1:20" x14ac:dyDescent="0.3">
      <c r="A415">
        <v>15205</v>
      </c>
      <c r="B415" s="1">
        <v>40619</v>
      </c>
      <c r="C415" t="s">
        <v>43</v>
      </c>
      <c r="D415" t="str">
        <f t="shared" si="12"/>
        <v>17-Mar-2011</v>
      </c>
      <c r="E415">
        <v>18</v>
      </c>
      <c r="F415" s="13">
        <v>4605.3599999999997</v>
      </c>
      <c r="G415">
        <v>0.02</v>
      </c>
      <c r="H415" t="s">
        <v>24</v>
      </c>
      <c r="I415" s="13">
        <v>678.26</v>
      </c>
      <c r="J415">
        <v>243.98</v>
      </c>
      <c r="K415">
        <v>43.32</v>
      </c>
      <c r="L415" t="s">
        <v>55</v>
      </c>
      <c r="M415" t="s">
        <v>69</v>
      </c>
      <c r="N415" s="5" t="s">
        <v>69</v>
      </c>
      <c r="O415" t="s">
        <v>28</v>
      </c>
      <c r="P415" t="s">
        <v>32</v>
      </c>
      <c r="Q415" t="s">
        <v>56</v>
      </c>
      <c r="R415">
        <v>0.55000000000000004</v>
      </c>
      <c r="S415" s="1">
        <v>40621</v>
      </c>
      <c r="T415" t="str">
        <f t="shared" si="13"/>
        <v>19-Mar-2011</v>
      </c>
    </row>
    <row r="416" spans="1:20" x14ac:dyDescent="0.3">
      <c r="A416">
        <v>25377</v>
      </c>
      <c r="B416" s="1">
        <v>41239</v>
      </c>
      <c r="C416" t="s">
        <v>18</v>
      </c>
      <c r="D416" t="str">
        <f t="shared" si="12"/>
        <v>26-Nov-2012</v>
      </c>
      <c r="E416">
        <v>3</v>
      </c>
      <c r="F416" s="13">
        <v>4343.51</v>
      </c>
      <c r="G416">
        <v>0.09</v>
      </c>
      <c r="H416" t="s">
        <v>24</v>
      </c>
      <c r="I416" s="13">
        <v>-3755.03</v>
      </c>
      <c r="J416">
        <v>1500.97</v>
      </c>
      <c r="K416">
        <v>29.7</v>
      </c>
      <c r="L416" t="s">
        <v>61</v>
      </c>
      <c r="M416" t="s">
        <v>69</v>
      </c>
      <c r="N416" s="5" t="s">
        <v>69</v>
      </c>
      <c r="O416" t="s">
        <v>28</v>
      </c>
      <c r="P416" t="s">
        <v>29</v>
      </c>
      <c r="Q416" t="s">
        <v>74</v>
      </c>
      <c r="R416">
        <v>0.56999999999999995</v>
      </c>
      <c r="S416" s="1">
        <v>41246</v>
      </c>
      <c r="T416" t="str">
        <f t="shared" si="13"/>
        <v>03-Dec-2012</v>
      </c>
    </row>
    <row r="417" spans="1:20" x14ac:dyDescent="0.3">
      <c r="A417">
        <v>53990</v>
      </c>
      <c r="B417" s="1">
        <v>41214</v>
      </c>
      <c r="C417" t="s">
        <v>31</v>
      </c>
      <c r="D417" t="str">
        <f t="shared" si="12"/>
        <v>01-Nov-2012</v>
      </c>
      <c r="E417">
        <v>44</v>
      </c>
      <c r="F417" s="13">
        <v>4263.9314999999997</v>
      </c>
      <c r="G417">
        <v>0.04</v>
      </c>
      <c r="H417" t="s">
        <v>19</v>
      </c>
      <c r="I417" s="13">
        <v>1411.03</v>
      </c>
      <c r="J417">
        <v>110.99</v>
      </c>
      <c r="K417">
        <v>2.5</v>
      </c>
      <c r="L417" t="s">
        <v>40</v>
      </c>
      <c r="M417" t="s">
        <v>69</v>
      </c>
      <c r="N417" s="5" t="s">
        <v>69</v>
      </c>
      <c r="O417" t="s">
        <v>28</v>
      </c>
      <c r="P417" t="s">
        <v>29</v>
      </c>
      <c r="Q417" t="s">
        <v>30</v>
      </c>
      <c r="R417">
        <v>0.56999999999999995</v>
      </c>
      <c r="S417" s="1">
        <v>41215</v>
      </c>
      <c r="T417" t="str">
        <f t="shared" si="13"/>
        <v>02-Nov-2012</v>
      </c>
    </row>
    <row r="418" spans="1:20" x14ac:dyDescent="0.3">
      <c r="A418">
        <v>24743</v>
      </c>
      <c r="B418" s="1">
        <v>41088</v>
      </c>
      <c r="C418" t="s">
        <v>18</v>
      </c>
      <c r="D418" t="str">
        <f t="shared" si="12"/>
        <v>28-Jun-2012</v>
      </c>
      <c r="E418">
        <v>26</v>
      </c>
      <c r="F418" s="13">
        <v>3758.77</v>
      </c>
      <c r="G418">
        <v>0</v>
      </c>
      <c r="H418" t="s">
        <v>19</v>
      </c>
      <c r="I418" s="13">
        <v>753.61</v>
      </c>
      <c r="J418">
        <v>140.81</v>
      </c>
      <c r="K418">
        <v>24.49</v>
      </c>
      <c r="L418" t="s">
        <v>44</v>
      </c>
      <c r="M418" t="s">
        <v>69</v>
      </c>
      <c r="N418" s="5" t="s">
        <v>69</v>
      </c>
      <c r="O418" t="s">
        <v>28</v>
      </c>
      <c r="P418" t="s">
        <v>32</v>
      </c>
      <c r="Q418" t="s">
        <v>56</v>
      </c>
      <c r="R418">
        <v>0.56999999999999995</v>
      </c>
      <c r="S418" s="1">
        <v>41093</v>
      </c>
      <c r="T418" t="str">
        <f t="shared" si="13"/>
        <v>03-Jul-2012</v>
      </c>
    </row>
    <row r="419" spans="1:20" x14ac:dyDescent="0.3">
      <c r="A419">
        <v>32743</v>
      </c>
      <c r="B419" s="1">
        <v>40305</v>
      </c>
      <c r="C419" t="s">
        <v>43</v>
      </c>
      <c r="D419" t="str">
        <f t="shared" si="12"/>
        <v>07-May-2010</v>
      </c>
      <c r="E419">
        <v>19</v>
      </c>
      <c r="F419" s="13">
        <v>3548.67</v>
      </c>
      <c r="G419">
        <v>0.01</v>
      </c>
      <c r="H419" t="s">
        <v>19</v>
      </c>
      <c r="I419" s="13">
        <v>1280.19</v>
      </c>
      <c r="J419">
        <v>177.98</v>
      </c>
      <c r="K419">
        <v>0.99</v>
      </c>
      <c r="L419" t="s">
        <v>52</v>
      </c>
      <c r="M419" t="s">
        <v>69</v>
      </c>
      <c r="N419" s="5" t="s">
        <v>69</v>
      </c>
      <c r="O419" t="s">
        <v>28</v>
      </c>
      <c r="P419" t="s">
        <v>21</v>
      </c>
      <c r="Q419" t="s">
        <v>25</v>
      </c>
      <c r="R419">
        <v>0.56000000000000005</v>
      </c>
      <c r="S419" s="1">
        <v>40307</v>
      </c>
      <c r="T419" t="str">
        <f t="shared" si="13"/>
        <v>09-May-2010</v>
      </c>
    </row>
    <row r="420" spans="1:20" x14ac:dyDescent="0.3">
      <c r="A420">
        <v>28870</v>
      </c>
      <c r="B420" s="1">
        <v>40857</v>
      </c>
      <c r="C420" t="s">
        <v>23</v>
      </c>
      <c r="D420" t="str">
        <f t="shared" si="12"/>
        <v>10-Nov-2011</v>
      </c>
      <c r="E420">
        <v>35</v>
      </c>
      <c r="F420" s="13">
        <v>3310.9454999999998</v>
      </c>
      <c r="G420">
        <v>0.05</v>
      </c>
      <c r="H420" t="s">
        <v>19</v>
      </c>
      <c r="I420" s="13">
        <v>822.4</v>
      </c>
      <c r="J420">
        <v>115.99</v>
      </c>
      <c r="K420">
        <v>2.5</v>
      </c>
      <c r="L420" t="s">
        <v>82</v>
      </c>
      <c r="M420" t="s">
        <v>69</v>
      </c>
      <c r="N420" s="5" t="s">
        <v>69</v>
      </c>
      <c r="O420" t="s">
        <v>28</v>
      </c>
      <c r="P420" t="s">
        <v>29</v>
      </c>
      <c r="Q420" t="s">
        <v>30</v>
      </c>
      <c r="R420">
        <v>0.56999999999999995</v>
      </c>
      <c r="S420" s="1">
        <v>40860</v>
      </c>
      <c r="T420" t="str">
        <f t="shared" si="13"/>
        <v>13-Nov-2011</v>
      </c>
    </row>
    <row r="421" spans="1:20" x14ac:dyDescent="0.3">
      <c r="A421">
        <v>12289</v>
      </c>
      <c r="B421" s="1">
        <v>40901</v>
      </c>
      <c r="C421" t="s">
        <v>18</v>
      </c>
      <c r="D421" t="str">
        <f t="shared" si="12"/>
        <v>24-Dec-2011</v>
      </c>
      <c r="E421">
        <v>25</v>
      </c>
      <c r="F421" s="13">
        <v>3019.41</v>
      </c>
      <c r="G421">
        <v>0.04</v>
      </c>
      <c r="H421" t="s">
        <v>19</v>
      </c>
      <c r="I421" s="13">
        <v>1269.05</v>
      </c>
      <c r="J421">
        <v>120.97</v>
      </c>
      <c r="K421">
        <v>7.11</v>
      </c>
      <c r="L421" t="s">
        <v>73</v>
      </c>
      <c r="M421" t="s">
        <v>69</v>
      </c>
      <c r="N421" s="5" t="s">
        <v>69</v>
      </c>
      <c r="O421" t="s">
        <v>28</v>
      </c>
      <c r="P421" t="s">
        <v>29</v>
      </c>
      <c r="Q421" t="s">
        <v>74</v>
      </c>
      <c r="R421">
        <v>0.36</v>
      </c>
      <c r="S421" s="1">
        <v>40905</v>
      </c>
      <c r="T421" t="str">
        <f t="shared" si="13"/>
        <v>28-Dec-2011</v>
      </c>
    </row>
    <row r="422" spans="1:20" x14ac:dyDescent="0.3">
      <c r="A422">
        <v>9126</v>
      </c>
      <c r="B422" s="1">
        <v>40134</v>
      </c>
      <c r="C422" t="s">
        <v>38</v>
      </c>
      <c r="D422" t="str">
        <f t="shared" si="12"/>
        <v>17-Nov-2009</v>
      </c>
      <c r="E422">
        <v>47</v>
      </c>
      <c r="F422" s="13">
        <v>2799.7</v>
      </c>
      <c r="G422">
        <v>0.04</v>
      </c>
      <c r="H422" t="s">
        <v>19</v>
      </c>
      <c r="I422" s="13">
        <v>884.08</v>
      </c>
      <c r="J422">
        <v>62.05</v>
      </c>
      <c r="K422">
        <v>3.99</v>
      </c>
      <c r="L422" t="s">
        <v>44</v>
      </c>
      <c r="M422" t="s">
        <v>69</v>
      </c>
      <c r="N422" s="5" t="s">
        <v>69</v>
      </c>
      <c r="O422" t="s">
        <v>28</v>
      </c>
      <c r="P422" t="s">
        <v>21</v>
      </c>
      <c r="Q422" t="s">
        <v>25</v>
      </c>
      <c r="R422">
        <v>0.55000000000000004</v>
      </c>
      <c r="S422" s="1">
        <v>40135</v>
      </c>
      <c r="T422" t="str">
        <f t="shared" si="13"/>
        <v>18-Nov-2009</v>
      </c>
    </row>
    <row r="423" spans="1:20" x14ac:dyDescent="0.3">
      <c r="A423">
        <v>39364</v>
      </c>
      <c r="B423" s="1">
        <v>41222</v>
      </c>
      <c r="C423" t="s">
        <v>23</v>
      </c>
      <c r="D423" t="str">
        <f t="shared" si="12"/>
        <v>09-Nov-2012</v>
      </c>
      <c r="E423">
        <v>29</v>
      </c>
      <c r="F423" s="13">
        <v>2754.93</v>
      </c>
      <c r="G423">
        <v>0.06</v>
      </c>
      <c r="H423" t="s">
        <v>19</v>
      </c>
      <c r="I423" s="13">
        <v>-1.33</v>
      </c>
      <c r="J423">
        <v>92.23</v>
      </c>
      <c r="K423">
        <v>39.61</v>
      </c>
      <c r="L423" t="s">
        <v>72</v>
      </c>
      <c r="M423" t="s">
        <v>69</v>
      </c>
      <c r="N423" s="5" t="s">
        <v>69</v>
      </c>
      <c r="O423" t="s">
        <v>28</v>
      </c>
      <c r="P423" t="s">
        <v>32</v>
      </c>
      <c r="Q423" t="s">
        <v>33</v>
      </c>
      <c r="R423">
        <v>0.67</v>
      </c>
      <c r="S423" s="1">
        <v>41223</v>
      </c>
      <c r="T423" t="str">
        <f t="shared" si="13"/>
        <v>10-Nov-2012</v>
      </c>
    </row>
    <row r="424" spans="1:20" x14ac:dyDescent="0.3">
      <c r="A424">
        <v>56453</v>
      </c>
      <c r="B424" s="1">
        <v>41010</v>
      </c>
      <c r="C424" t="s">
        <v>43</v>
      </c>
      <c r="D424" t="str">
        <f t="shared" si="12"/>
        <v>11-Apr-2012</v>
      </c>
      <c r="E424">
        <v>1</v>
      </c>
      <c r="F424" s="13">
        <v>2728.65</v>
      </c>
      <c r="G424">
        <v>0</v>
      </c>
      <c r="H424" t="s">
        <v>24</v>
      </c>
      <c r="I424" s="13">
        <v>-5572.39</v>
      </c>
      <c r="J424">
        <v>2550.14</v>
      </c>
      <c r="K424">
        <v>29.7</v>
      </c>
      <c r="L424" t="s">
        <v>59</v>
      </c>
      <c r="M424" t="s">
        <v>69</v>
      </c>
      <c r="N424" s="5" t="s">
        <v>69</v>
      </c>
      <c r="O424" t="s">
        <v>28</v>
      </c>
      <c r="P424" t="s">
        <v>29</v>
      </c>
      <c r="Q424" t="s">
        <v>74</v>
      </c>
      <c r="R424">
        <v>0.56999999999999995</v>
      </c>
      <c r="S424" s="1">
        <v>41011</v>
      </c>
      <c r="T424" t="str">
        <f t="shared" si="13"/>
        <v>12-Apr-2012</v>
      </c>
    </row>
    <row r="425" spans="1:20" x14ac:dyDescent="0.3">
      <c r="A425">
        <v>23584</v>
      </c>
      <c r="B425" s="1">
        <v>40980</v>
      </c>
      <c r="C425" t="s">
        <v>43</v>
      </c>
      <c r="D425" t="str">
        <f t="shared" si="12"/>
        <v>12-Mar-2012</v>
      </c>
      <c r="E425">
        <v>14</v>
      </c>
      <c r="F425" s="13">
        <v>2671.21</v>
      </c>
      <c r="G425">
        <v>0.06</v>
      </c>
      <c r="H425" t="s">
        <v>24</v>
      </c>
      <c r="I425" s="13">
        <v>636.17999999999995</v>
      </c>
      <c r="J425">
        <v>200.97</v>
      </c>
      <c r="K425">
        <v>15.59</v>
      </c>
      <c r="L425" t="s">
        <v>53</v>
      </c>
      <c r="M425" t="s">
        <v>69</v>
      </c>
      <c r="N425" s="5" t="s">
        <v>69</v>
      </c>
      <c r="O425" t="s">
        <v>28</v>
      </c>
      <c r="P425" t="s">
        <v>29</v>
      </c>
      <c r="Q425" t="s">
        <v>74</v>
      </c>
      <c r="R425">
        <v>0.36</v>
      </c>
      <c r="S425" s="1">
        <v>40982</v>
      </c>
      <c r="T425" t="str">
        <f t="shared" si="13"/>
        <v>14-Mar-2012</v>
      </c>
    </row>
    <row r="426" spans="1:20" x14ac:dyDescent="0.3">
      <c r="A426">
        <v>27553</v>
      </c>
      <c r="B426" s="1">
        <v>40767</v>
      </c>
      <c r="C426" t="s">
        <v>38</v>
      </c>
      <c r="D426" t="str">
        <f t="shared" si="12"/>
        <v>12-Aug-2011</v>
      </c>
      <c r="E426">
        <v>16</v>
      </c>
      <c r="F426" s="13">
        <v>2631.107</v>
      </c>
      <c r="G426">
        <v>0</v>
      </c>
      <c r="H426" t="s">
        <v>19</v>
      </c>
      <c r="I426" s="13">
        <v>297.11</v>
      </c>
      <c r="J426">
        <v>179.99</v>
      </c>
      <c r="K426">
        <v>13.99</v>
      </c>
      <c r="L426" t="s">
        <v>47</v>
      </c>
      <c r="M426" t="s">
        <v>69</v>
      </c>
      <c r="N426" s="5" t="s">
        <v>69</v>
      </c>
      <c r="O426" t="s">
        <v>28</v>
      </c>
      <c r="P426" t="s">
        <v>29</v>
      </c>
      <c r="Q426" t="s">
        <v>30</v>
      </c>
      <c r="R426">
        <v>0.56999999999999995</v>
      </c>
      <c r="S426" s="1">
        <v>40769</v>
      </c>
      <c r="T426" t="str">
        <f t="shared" si="13"/>
        <v>14-Aug-2011</v>
      </c>
    </row>
    <row r="427" spans="1:20" x14ac:dyDescent="0.3">
      <c r="A427">
        <v>43329</v>
      </c>
      <c r="B427" s="1">
        <v>40244</v>
      </c>
      <c r="C427" t="s">
        <v>38</v>
      </c>
      <c r="D427" t="str">
        <f t="shared" si="12"/>
        <v>07-Mar-2010</v>
      </c>
      <c r="E427">
        <v>42</v>
      </c>
      <c r="F427" s="13">
        <v>2475.83</v>
      </c>
      <c r="G427">
        <v>0.09</v>
      </c>
      <c r="H427" t="s">
        <v>19</v>
      </c>
      <c r="I427" s="13">
        <v>752.37</v>
      </c>
      <c r="J427">
        <v>59.98</v>
      </c>
      <c r="K427">
        <v>3.99</v>
      </c>
      <c r="L427" t="s">
        <v>71</v>
      </c>
      <c r="M427" t="s">
        <v>69</v>
      </c>
      <c r="N427" s="5" t="s">
        <v>69</v>
      </c>
      <c r="O427" t="s">
        <v>28</v>
      </c>
      <c r="P427" t="s">
        <v>21</v>
      </c>
      <c r="Q427" t="s">
        <v>25</v>
      </c>
      <c r="R427">
        <v>0.56999999999999995</v>
      </c>
      <c r="S427" s="1">
        <v>40247</v>
      </c>
      <c r="T427" t="str">
        <f t="shared" si="13"/>
        <v>10-Mar-2010</v>
      </c>
    </row>
    <row r="428" spans="1:20" x14ac:dyDescent="0.3">
      <c r="A428">
        <v>36644</v>
      </c>
      <c r="B428" s="1">
        <v>41042</v>
      </c>
      <c r="C428" t="s">
        <v>23</v>
      </c>
      <c r="D428" t="str">
        <f t="shared" si="12"/>
        <v>13-May-2012</v>
      </c>
      <c r="E428">
        <v>24</v>
      </c>
      <c r="F428" s="13">
        <v>2298.3200000000002</v>
      </c>
      <c r="G428">
        <v>0.06</v>
      </c>
      <c r="H428" t="s">
        <v>19</v>
      </c>
      <c r="I428" s="13">
        <v>218.72</v>
      </c>
      <c r="J428">
        <v>99.99</v>
      </c>
      <c r="K428">
        <v>19.989999999999998</v>
      </c>
      <c r="L428" t="s">
        <v>59</v>
      </c>
      <c r="M428" t="s">
        <v>69</v>
      </c>
      <c r="N428" s="5" t="s">
        <v>69</v>
      </c>
      <c r="O428" t="s">
        <v>28</v>
      </c>
      <c r="P428" t="s">
        <v>29</v>
      </c>
      <c r="Q428" t="s">
        <v>41</v>
      </c>
      <c r="R428">
        <v>0.5</v>
      </c>
      <c r="S428" s="1">
        <v>41043</v>
      </c>
      <c r="T428" t="str">
        <f t="shared" si="13"/>
        <v>14-May-2012</v>
      </c>
    </row>
    <row r="429" spans="1:20" x14ac:dyDescent="0.3">
      <c r="A429">
        <v>50278</v>
      </c>
      <c r="B429" s="1">
        <v>40323</v>
      </c>
      <c r="C429" t="s">
        <v>23</v>
      </c>
      <c r="D429" t="str">
        <f t="shared" si="12"/>
        <v>25-May-2010</v>
      </c>
      <c r="E429">
        <v>20</v>
      </c>
      <c r="F429" s="13">
        <v>2195.5500000000002</v>
      </c>
      <c r="G429">
        <v>0.01</v>
      </c>
      <c r="H429" t="s">
        <v>24</v>
      </c>
      <c r="I429" s="13">
        <v>-355.94</v>
      </c>
      <c r="J429">
        <v>100.8</v>
      </c>
      <c r="K429">
        <v>60</v>
      </c>
      <c r="L429" t="s">
        <v>62</v>
      </c>
      <c r="M429" t="s">
        <v>69</v>
      </c>
      <c r="N429" s="5" t="s">
        <v>69</v>
      </c>
      <c r="O429" t="s">
        <v>28</v>
      </c>
      <c r="P429" t="s">
        <v>32</v>
      </c>
      <c r="Q429" t="s">
        <v>46</v>
      </c>
      <c r="R429">
        <v>0.59</v>
      </c>
      <c r="S429" s="1">
        <v>40325</v>
      </c>
      <c r="T429" t="str">
        <f t="shared" si="13"/>
        <v>27-May-2010</v>
      </c>
    </row>
    <row r="430" spans="1:20" x14ac:dyDescent="0.3">
      <c r="A430">
        <v>40067</v>
      </c>
      <c r="B430" s="1">
        <v>40956</v>
      </c>
      <c r="C430" t="s">
        <v>18</v>
      </c>
      <c r="D430" t="str">
        <f t="shared" si="12"/>
        <v>17-Feb-2012</v>
      </c>
      <c r="E430">
        <v>38</v>
      </c>
      <c r="F430" s="13">
        <v>2157.3085000000001</v>
      </c>
      <c r="G430">
        <v>0</v>
      </c>
      <c r="H430" t="s">
        <v>19</v>
      </c>
      <c r="I430" s="13">
        <v>519.25</v>
      </c>
      <c r="J430">
        <v>65.989999999999995</v>
      </c>
      <c r="K430">
        <v>5.31</v>
      </c>
      <c r="L430" t="s">
        <v>53</v>
      </c>
      <c r="M430" t="s">
        <v>69</v>
      </c>
      <c r="N430" s="5" t="s">
        <v>69</v>
      </c>
      <c r="O430" t="s">
        <v>28</v>
      </c>
      <c r="P430" t="s">
        <v>29</v>
      </c>
      <c r="Q430" t="s">
        <v>30</v>
      </c>
      <c r="R430">
        <v>0.56999999999999995</v>
      </c>
      <c r="S430" s="1">
        <v>40958</v>
      </c>
      <c r="T430" t="str">
        <f t="shared" si="13"/>
        <v>19-Feb-2012</v>
      </c>
    </row>
    <row r="431" spans="1:20" x14ac:dyDescent="0.3">
      <c r="A431">
        <v>9127</v>
      </c>
      <c r="B431" s="1">
        <v>40826</v>
      </c>
      <c r="C431" t="s">
        <v>31</v>
      </c>
      <c r="D431" t="str">
        <f t="shared" si="12"/>
        <v>10-Oct-2011</v>
      </c>
      <c r="E431">
        <v>7</v>
      </c>
      <c r="F431" s="13">
        <v>2039.56</v>
      </c>
      <c r="G431">
        <v>0.04</v>
      </c>
      <c r="H431" t="s">
        <v>35</v>
      </c>
      <c r="I431" s="13">
        <v>-329.49</v>
      </c>
      <c r="J431">
        <v>279.48</v>
      </c>
      <c r="K431">
        <v>35</v>
      </c>
      <c r="L431" t="s">
        <v>70</v>
      </c>
      <c r="M431" t="s">
        <v>69</v>
      </c>
      <c r="N431" s="5" t="s">
        <v>69</v>
      </c>
      <c r="O431" t="s">
        <v>28</v>
      </c>
      <c r="P431" t="s">
        <v>21</v>
      </c>
      <c r="Q431" t="s">
        <v>22</v>
      </c>
      <c r="R431">
        <v>0.8</v>
      </c>
      <c r="S431" s="1">
        <v>40828</v>
      </c>
      <c r="T431" t="str">
        <f t="shared" si="13"/>
        <v>12-Oct-2011</v>
      </c>
    </row>
    <row r="432" spans="1:20" x14ac:dyDescent="0.3">
      <c r="A432">
        <v>16706</v>
      </c>
      <c r="B432" s="1">
        <v>41087</v>
      </c>
      <c r="C432" t="s">
        <v>23</v>
      </c>
      <c r="D432" t="str">
        <f t="shared" si="12"/>
        <v>27-Jun-2012</v>
      </c>
      <c r="E432">
        <v>47</v>
      </c>
      <c r="F432" s="13">
        <v>1943.72</v>
      </c>
      <c r="G432">
        <v>0.03</v>
      </c>
      <c r="H432" t="s">
        <v>19</v>
      </c>
      <c r="I432" s="13">
        <v>-1003.58</v>
      </c>
      <c r="J432">
        <v>41.47</v>
      </c>
      <c r="K432">
        <v>34.200000000000003</v>
      </c>
      <c r="L432" t="s">
        <v>62</v>
      </c>
      <c r="M432" t="s">
        <v>69</v>
      </c>
      <c r="N432" s="5" t="s">
        <v>69</v>
      </c>
      <c r="O432" t="s">
        <v>28</v>
      </c>
      <c r="P432" t="s">
        <v>32</v>
      </c>
      <c r="Q432" t="s">
        <v>33</v>
      </c>
      <c r="R432">
        <v>0.73</v>
      </c>
      <c r="S432" s="1">
        <v>41088</v>
      </c>
      <c r="T432" t="str">
        <f t="shared" si="13"/>
        <v>28-Jun-2012</v>
      </c>
    </row>
    <row r="433" spans="1:20" x14ac:dyDescent="0.3">
      <c r="A433">
        <v>18144</v>
      </c>
      <c r="B433" s="1">
        <v>40701</v>
      </c>
      <c r="C433" t="s">
        <v>43</v>
      </c>
      <c r="D433" t="str">
        <f t="shared" si="12"/>
        <v>07-Jun-2011</v>
      </c>
      <c r="E433">
        <v>41</v>
      </c>
      <c r="F433" s="13">
        <v>1779.8915</v>
      </c>
      <c r="G433">
        <v>0.09</v>
      </c>
      <c r="H433" t="s">
        <v>19</v>
      </c>
      <c r="I433" s="13">
        <v>-250.17</v>
      </c>
      <c r="J433">
        <v>55.99</v>
      </c>
      <c r="K433">
        <v>5</v>
      </c>
      <c r="L433" t="s">
        <v>59</v>
      </c>
      <c r="M433" t="s">
        <v>69</v>
      </c>
      <c r="N433" s="5" t="s">
        <v>69</v>
      </c>
      <c r="O433" t="s">
        <v>28</v>
      </c>
      <c r="P433" t="s">
        <v>29</v>
      </c>
      <c r="Q433" t="s">
        <v>30</v>
      </c>
      <c r="R433">
        <v>0.8</v>
      </c>
      <c r="S433" s="1">
        <v>40703</v>
      </c>
      <c r="T433" t="str">
        <f t="shared" si="13"/>
        <v>09-Jun-2011</v>
      </c>
    </row>
    <row r="434" spans="1:20" x14ac:dyDescent="0.3">
      <c r="A434">
        <v>15205</v>
      </c>
      <c r="B434" s="1">
        <v>40619</v>
      </c>
      <c r="C434" t="s">
        <v>43</v>
      </c>
      <c r="D434" t="str">
        <f t="shared" si="12"/>
        <v>17-Mar-2011</v>
      </c>
      <c r="E434">
        <v>42</v>
      </c>
      <c r="F434" s="13">
        <v>1753.51</v>
      </c>
      <c r="G434">
        <v>0.02</v>
      </c>
      <c r="H434" t="s">
        <v>19</v>
      </c>
      <c r="I434" s="13">
        <v>155.72</v>
      </c>
      <c r="J434">
        <v>39.979999999999997</v>
      </c>
      <c r="K434">
        <v>9.1999999999999993</v>
      </c>
      <c r="L434" t="s">
        <v>55</v>
      </c>
      <c r="M434" t="s">
        <v>69</v>
      </c>
      <c r="N434" s="5" t="s">
        <v>69</v>
      </c>
      <c r="O434" t="s">
        <v>28</v>
      </c>
      <c r="P434" t="s">
        <v>32</v>
      </c>
      <c r="Q434" t="s">
        <v>33</v>
      </c>
      <c r="R434">
        <v>0.65</v>
      </c>
      <c r="S434" s="1">
        <v>40620</v>
      </c>
      <c r="T434" t="str">
        <f t="shared" si="13"/>
        <v>18-Mar-2011</v>
      </c>
    </row>
    <row r="435" spans="1:20" x14ac:dyDescent="0.3">
      <c r="A435">
        <v>16547</v>
      </c>
      <c r="B435" s="1">
        <v>39862</v>
      </c>
      <c r="C435" t="s">
        <v>31</v>
      </c>
      <c r="D435" t="str">
        <f t="shared" si="12"/>
        <v>18-Feb-2009</v>
      </c>
      <c r="E435">
        <v>8</v>
      </c>
      <c r="F435" s="13">
        <v>1749.64</v>
      </c>
      <c r="G435">
        <v>0.04</v>
      </c>
      <c r="H435" t="s">
        <v>24</v>
      </c>
      <c r="I435" s="13">
        <v>-533.23</v>
      </c>
      <c r="J435">
        <v>218.75</v>
      </c>
      <c r="K435">
        <v>69.64</v>
      </c>
      <c r="L435" t="s">
        <v>58</v>
      </c>
      <c r="M435" t="s">
        <v>69</v>
      </c>
      <c r="N435" s="5" t="s">
        <v>69</v>
      </c>
      <c r="O435" t="s">
        <v>28</v>
      </c>
      <c r="P435" t="s">
        <v>32</v>
      </c>
      <c r="Q435" t="s">
        <v>46</v>
      </c>
      <c r="R435">
        <v>0.77</v>
      </c>
      <c r="S435" s="1">
        <v>39862</v>
      </c>
      <c r="T435" t="str">
        <f t="shared" si="13"/>
        <v>18-Feb-2009</v>
      </c>
    </row>
    <row r="436" spans="1:20" x14ac:dyDescent="0.3">
      <c r="A436">
        <v>9927</v>
      </c>
      <c r="B436" s="1">
        <v>40771</v>
      </c>
      <c r="C436" t="s">
        <v>23</v>
      </c>
      <c r="D436" t="str">
        <f t="shared" si="12"/>
        <v>16-Aug-2011</v>
      </c>
      <c r="E436">
        <v>34</v>
      </c>
      <c r="F436" s="13">
        <v>1608.08</v>
      </c>
      <c r="G436">
        <v>0.09</v>
      </c>
      <c r="H436" t="s">
        <v>35</v>
      </c>
      <c r="I436" s="13">
        <v>-82.16</v>
      </c>
      <c r="J436">
        <v>50.98</v>
      </c>
      <c r="K436">
        <v>6.5</v>
      </c>
      <c r="L436" t="s">
        <v>52</v>
      </c>
      <c r="M436" t="s">
        <v>69</v>
      </c>
      <c r="N436" s="5" t="s">
        <v>69</v>
      </c>
      <c r="O436" t="s">
        <v>28</v>
      </c>
      <c r="P436" t="s">
        <v>29</v>
      </c>
      <c r="Q436" t="s">
        <v>41</v>
      </c>
      <c r="R436">
        <v>0.73</v>
      </c>
      <c r="S436" s="1">
        <v>40772</v>
      </c>
      <c r="T436" t="str">
        <f t="shared" si="13"/>
        <v>17-Aug-2011</v>
      </c>
    </row>
    <row r="437" spans="1:20" x14ac:dyDescent="0.3">
      <c r="A437">
        <v>28135</v>
      </c>
      <c r="B437" s="1">
        <v>40081</v>
      </c>
      <c r="C437" t="s">
        <v>43</v>
      </c>
      <c r="D437" t="str">
        <f t="shared" si="12"/>
        <v>25-Sep-2009</v>
      </c>
      <c r="E437">
        <v>37</v>
      </c>
      <c r="F437" s="13">
        <v>1601.24</v>
      </c>
      <c r="G437">
        <v>0.08</v>
      </c>
      <c r="H437" t="s">
        <v>19</v>
      </c>
      <c r="I437" s="13">
        <v>520.69000000000005</v>
      </c>
      <c r="J437">
        <v>46.89</v>
      </c>
      <c r="K437">
        <v>5.0999999999999996</v>
      </c>
      <c r="L437" t="s">
        <v>81</v>
      </c>
      <c r="M437" t="s">
        <v>69</v>
      </c>
      <c r="N437" s="5" t="s">
        <v>69</v>
      </c>
      <c r="O437" t="s">
        <v>28</v>
      </c>
      <c r="P437" t="s">
        <v>21</v>
      </c>
      <c r="Q437" t="s">
        <v>25</v>
      </c>
      <c r="R437">
        <v>0.46</v>
      </c>
      <c r="S437" s="1">
        <v>40083</v>
      </c>
      <c r="T437" t="str">
        <f t="shared" si="13"/>
        <v>27-Sep-2009</v>
      </c>
    </row>
    <row r="438" spans="1:20" x14ac:dyDescent="0.3">
      <c r="A438">
        <v>54274</v>
      </c>
      <c r="B438" s="1">
        <v>40505</v>
      </c>
      <c r="C438" t="s">
        <v>31</v>
      </c>
      <c r="D438" t="str">
        <f t="shared" si="12"/>
        <v>23-Nov-2010</v>
      </c>
      <c r="E438">
        <v>20</v>
      </c>
      <c r="F438" s="13">
        <v>1583.06</v>
      </c>
      <c r="G438">
        <v>0.05</v>
      </c>
      <c r="H438" t="s">
        <v>19</v>
      </c>
      <c r="I438" s="13">
        <v>328</v>
      </c>
      <c r="J438">
        <v>78.650000000000006</v>
      </c>
      <c r="K438">
        <v>13.99</v>
      </c>
      <c r="L438" t="s">
        <v>61</v>
      </c>
      <c r="M438" t="s">
        <v>69</v>
      </c>
      <c r="N438" s="5" t="s">
        <v>69</v>
      </c>
      <c r="O438" t="s">
        <v>28</v>
      </c>
      <c r="P438" t="s">
        <v>21</v>
      </c>
      <c r="Q438" t="s">
        <v>25</v>
      </c>
      <c r="R438">
        <v>0.52</v>
      </c>
      <c r="S438" s="1">
        <v>40507</v>
      </c>
      <c r="T438" t="str">
        <f t="shared" si="13"/>
        <v>25-Nov-2010</v>
      </c>
    </row>
    <row r="439" spans="1:20" x14ac:dyDescent="0.3">
      <c r="A439">
        <v>11456</v>
      </c>
      <c r="B439" s="1">
        <v>40280</v>
      </c>
      <c r="C439" t="s">
        <v>18</v>
      </c>
      <c r="D439" t="str">
        <f t="shared" si="12"/>
        <v>12-Apr-2010</v>
      </c>
      <c r="E439">
        <v>15</v>
      </c>
      <c r="F439" s="13">
        <v>1519.9</v>
      </c>
      <c r="G439">
        <v>0.09</v>
      </c>
      <c r="H439" t="s">
        <v>19</v>
      </c>
      <c r="I439" s="13">
        <v>399.37</v>
      </c>
      <c r="J439">
        <v>105.34</v>
      </c>
      <c r="K439">
        <v>24.49</v>
      </c>
      <c r="L439" t="s">
        <v>71</v>
      </c>
      <c r="M439" t="s">
        <v>69</v>
      </c>
      <c r="N439" s="5" t="s">
        <v>69</v>
      </c>
      <c r="O439" t="s">
        <v>28</v>
      </c>
      <c r="P439" t="s">
        <v>32</v>
      </c>
      <c r="Q439" t="s">
        <v>33</v>
      </c>
      <c r="R439">
        <v>0.61</v>
      </c>
      <c r="S439" s="1">
        <v>40287</v>
      </c>
      <c r="T439" t="str">
        <f t="shared" si="13"/>
        <v>19-Apr-2010</v>
      </c>
    </row>
    <row r="440" spans="1:20" x14ac:dyDescent="0.3">
      <c r="A440">
        <v>16193</v>
      </c>
      <c r="B440" s="1">
        <v>41008</v>
      </c>
      <c r="C440" t="s">
        <v>31</v>
      </c>
      <c r="D440" t="str">
        <f t="shared" si="12"/>
        <v>09-Apr-2012</v>
      </c>
      <c r="E440">
        <v>29</v>
      </c>
      <c r="F440" s="13">
        <v>1364.8025</v>
      </c>
      <c r="G440">
        <v>7.0000000000000007E-2</v>
      </c>
      <c r="H440" t="s">
        <v>19</v>
      </c>
      <c r="I440" s="13">
        <v>-183.68</v>
      </c>
      <c r="J440">
        <v>55.99</v>
      </c>
      <c r="K440">
        <v>5</v>
      </c>
      <c r="L440" t="s">
        <v>63</v>
      </c>
      <c r="M440" t="s">
        <v>69</v>
      </c>
      <c r="N440" s="5" t="s">
        <v>69</v>
      </c>
      <c r="O440" t="s">
        <v>28</v>
      </c>
      <c r="P440" t="s">
        <v>29</v>
      </c>
      <c r="Q440" t="s">
        <v>30</v>
      </c>
      <c r="R440">
        <v>0.83</v>
      </c>
      <c r="S440" s="1">
        <v>41010</v>
      </c>
      <c r="T440" t="str">
        <f t="shared" si="13"/>
        <v>11-Apr-2012</v>
      </c>
    </row>
    <row r="441" spans="1:20" x14ac:dyDescent="0.3">
      <c r="A441">
        <v>40132</v>
      </c>
      <c r="B441" s="1">
        <v>40962</v>
      </c>
      <c r="C441" t="s">
        <v>18</v>
      </c>
      <c r="D441" t="str">
        <f t="shared" si="12"/>
        <v>23-Feb-2012</v>
      </c>
      <c r="E441">
        <v>26</v>
      </c>
      <c r="F441" s="13">
        <v>1363</v>
      </c>
      <c r="G441">
        <v>0.04</v>
      </c>
      <c r="H441" t="s">
        <v>24</v>
      </c>
      <c r="I441" s="13">
        <v>149.83000000000001</v>
      </c>
      <c r="J441">
        <v>50.98</v>
      </c>
      <c r="K441">
        <v>14.19</v>
      </c>
      <c r="L441" t="s">
        <v>75</v>
      </c>
      <c r="M441" t="s">
        <v>69</v>
      </c>
      <c r="N441" s="5" t="s">
        <v>69</v>
      </c>
      <c r="O441" t="s">
        <v>28</v>
      </c>
      <c r="P441" t="s">
        <v>32</v>
      </c>
      <c r="Q441" t="s">
        <v>56</v>
      </c>
      <c r="R441">
        <v>0.56000000000000005</v>
      </c>
      <c r="S441" s="1">
        <v>40968</v>
      </c>
      <c r="T441" t="str">
        <f t="shared" si="13"/>
        <v>29-Feb-2012</v>
      </c>
    </row>
    <row r="442" spans="1:20" x14ac:dyDescent="0.3">
      <c r="A442">
        <v>33186</v>
      </c>
      <c r="B442" s="1">
        <v>41149</v>
      </c>
      <c r="C442" t="s">
        <v>18</v>
      </c>
      <c r="D442" t="str">
        <f t="shared" si="12"/>
        <v>28-Aug-2012</v>
      </c>
      <c r="E442">
        <v>24</v>
      </c>
      <c r="F442" s="13">
        <v>1350.5309999999999</v>
      </c>
      <c r="G442">
        <v>0.01</v>
      </c>
      <c r="H442" t="s">
        <v>19</v>
      </c>
      <c r="I442" s="13">
        <v>221.18</v>
      </c>
      <c r="J442">
        <v>65.989999999999995</v>
      </c>
      <c r="K442">
        <v>5.26</v>
      </c>
      <c r="L442" t="s">
        <v>61</v>
      </c>
      <c r="M442" t="s">
        <v>69</v>
      </c>
      <c r="N442" s="5" t="s">
        <v>69</v>
      </c>
      <c r="O442" t="s">
        <v>28</v>
      </c>
      <c r="P442" t="s">
        <v>29</v>
      </c>
      <c r="Q442" t="s">
        <v>30</v>
      </c>
      <c r="R442">
        <v>0.56000000000000005</v>
      </c>
      <c r="S442" s="1">
        <v>41151</v>
      </c>
      <c r="T442" t="str">
        <f t="shared" si="13"/>
        <v>30-Aug-2012</v>
      </c>
    </row>
    <row r="443" spans="1:20" x14ac:dyDescent="0.3">
      <c r="A443">
        <v>49952</v>
      </c>
      <c r="B443" s="1">
        <v>40866</v>
      </c>
      <c r="C443" t="s">
        <v>23</v>
      </c>
      <c r="D443" t="str">
        <f t="shared" si="12"/>
        <v>19-Nov-2011</v>
      </c>
      <c r="E443">
        <v>12</v>
      </c>
      <c r="F443" s="13">
        <v>1323.67</v>
      </c>
      <c r="G443">
        <v>0.04</v>
      </c>
      <c r="H443" t="s">
        <v>35</v>
      </c>
      <c r="I443" s="13">
        <v>630.28</v>
      </c>
      <c r="J443">
        <v>107.53</v>
      </c>
      <c r="K443">
        <v>5.81</v>
      </c>
      <c r="L443" t="s">
        <v>62</v>
      </c>
      <c r="M443" t="s">
        <v>69</v>
      </c>
      <c r="N443" s="5" t="s">
        <v>69</v>
      </c>
      <c r="O443" t="s">
        <v>28</v>
      </c>
      <c r="P443" t="s">
        <v>32</v>
      </c>
      <c r="Q443" t="s">
        <v>33</v>
      </c>
      <c r="R443">
        <v>0.65</v>
      </c>
      <c r="S443" s="1">
        <v>40867</v>
      </c>
      <c r="T443" t="str">
        <f t="shared" si="13"/>
        <v>20-Nov-2011</v>
      </c>
    </row>
    <row r="444" spans="1:20" x14ac:dyDescent="0.3">
      <c r="A444">
        <v>32229</v>
      </c>
      <c r="B444" s="1">
        <v>40420</v>
      </c>
      <c r="C444" t="s">
        <v>23</v>
      </c>
      <c r="D444" t="str">
        <f t="shared" si="12"/>
        <v>30-Aug-2010</v>
      </c>
      <c r="E444">
        <v>8</v>
      </c>
      <c r="F444" s="13">
        <v>1219.19</v>
      </c>
      <c r="G444">
        <v>0.02</v>
      </c>
      <c r="H444" t="s">
        <v>19</v>
      </c>
      <c r="I444" s="13">
        <v>44.37</v>
      </c>
      <c r="J444">
        <v>150.97999999999999</v>
      </c>
      <c r="K444">
        <v>13.99</v>
      </c>
      <c r="L444" t="s">
        <v>40</v>
      </c>
      <c r="M444" t="s">
        <v>69</v>
      </c>
      <c r="N444" s="5" t="s">
        <v>69</v>
      </c>
      <c r="O444" t="s">
        <v>28</v>
      </c>
      <c r="P444" t="s">
        <v>29</v>
      </c>
      <c r="Q444" t="s">
        <v>74</v>
      </c>
      <c r="R444">
        <v>0.38</v>
      </c>
      <c r="S444" s="1">
        <v>40420</v>
      </c>
      <c r="T444" t="str">
        <f t="shared" si="13"/>
        <v>30-Aug-2010</v>
      </c>
    </row>
    <row r="445" spans="1:20" x14ac:dyDescent="0.3">
      <c r="A445">
        <v>18080</v>
      </c>
      <c r="B445" s="1">
        <v>39986</v>
      </c>
      <c r="C445" t="s">
        <v>23</v>
      </c>
      <c r="D445" t="str">
        <f t="shared" si="12"/>
        <v>22-Jun-2009</v>
      </c>
      <c r="E445">
        <v>7</v>
      </c>
      <c r="F445" s="13">
        <v>1211.98</v>
      </c>
      <c r="G445">
        <v>0.1</v>
      </c>
      <c r="H445" t="s">
        <v>24</v>
      </c>
      <c r="I445" s="13">
        <v>-80.83</v>
      </c>
      <c r="J445">
        <v>180.98</v>
      </c>
      <c r="K445">
        <v>26.2</v>
      </c>
      <c r="L445" t="s">
        <v>44</v>
      </c>
      <c r="M445" t="s">
        <v>69</v>
      </c>
      <c r="N445" s="5" t="s">
        <v>69</v>
      </c>
      <c r="O445" t="s">
        <v>28</v>
      </c>
      <c r="P445" t="s">
        <v>32</v>
      </c>
      <c r="Q445" t="s">
        <v>56</v>
      </c>
      <c r="R445">
        <v>0.59</v>
      </c>
      <c r="S445" s="1">
        <v>39987</v>
      </c>
      <c r="T445" t="str">
        <f t="shared" si="13"/>
        <v>23-Jun-2009</v>
      </c>
    </row>
    <row r="446" spans="1:20" x14ac:dyDescent="0.3">
      <c r="A446">
        <v>44071</v>
      </c>
      <c r="B446" s="1">
        <v>41014</v>
      </c>
      <c r="C446" t="s">
        <v>31</v>
      </c>
      <c r="D446" t="str">
        <f t="shared" si="12"/>
        <v>15-Apr-2012</v>
      </c>
      <c r="E446">
        <v>20</v>
      </c>
      <c r="F446" s="13">
        <v>1163.123</v>
      </c>
      <c r="G446">
        <v>0</v>
      </c>
      <c r="H446" t="s">
        <v>19</v>
      </c>
      <c r="I446" s="13">
        <v>83.84</v>
      </c>
      <c r="J446">
        <v>65.989999999999995</v>
      </c>
      <c r="K446">
        <v>8.99</v>
      </c>
      <c r="L446" t="s">
        <v>63</v>
      </c>
      <c r="M446" t="s">
        <v>69</v>
      </c>
      <c r="N446" s="5" t="s">
        <v>69</v>
      </c>
      <c r="O446" t="s">
        <v>28</v>
      </c>
      <c r="P446" t="s">
        <v>29</v>
      </c>
      <c r="Q446" t="s">
        <v>30</v>
      </c>
      <c r="R446">
        <v>0.57999999999999996</v>
      </c>
      <c r="S446" s="1">
        <v>41015</v>
      </c>
      <c r="T446" t="str">
        <f t="shared" si="13"/>
        <v>16-Apr-2012</v>
      </c>
    </row>
    <row r="447" spans="1:20" x14ac:dyDescent="0.3">
      <c r="A447">
        <v>19655</v>
      </c>
      <c r="B447" s="1">
        <v>39824</v>
      </c>
      <c r="C447" t="s">
        <v>23</v>
      </c>
      <c r="D447" t="str">
        <f t="shared" si="12"/>
        <v>11-Jan-2009</v>
      </c>
      <c r="E447">
        <v>31</v>
      </c>
      <c r="F447" s="13">
        <v>1143.45</v>
      </c>
      <c r="G447">
        <v>0.06</v>
      </c>
      <c r="H447" t="s">
        <v>19</v>
      </c>
      <c r="I447" s="13">
        <v>304.42</v>
      </c>
      <c r="J447">
        <v>39.24</v>
      </c>
      <c r="K447">
        <v>1.99</v>
      </c>
      <c r="L447" t="s">
        <v>53</v>
      </c>
      <c r="M447" t="s">
        <v>69</v>
      </c>
      <c r="N447" s="5" t="s">
        <v>69</v>
      </c>
      <c r="O447" t="s">
        <v>28</v>
      </c>
      <c r="P447" t="s">
        <v>29</v>
      </c>
      <c r="Q447" t="s">
        <v>41</v>
      </c>
      <c r="R447">
        <v>0.51</v>
      </c>
      <c r="S447" s="1">
        <v>39825</v>
      </c>
      <c r="T447" t="str">
        <f t="shared" si="13"/>
        <v>12-Jan-2009</v>
      </c>
    </row>
    <row r="448" spans="1:20" x14ac:dyDescent="0.3">
      <c r="A448">
        <v>57344</v>
      </c>
      <c r="B448" s="1">
        <v>40445</v>
      </c>
      <c r="C448" t="s">
        <v>23</v>
      </c>
      <c r="D448" t="str">
        <f t="shared" si="12"/>
        <v>24-Sep-2010</v>
      </c>
      <c r="E448">
        <v>47</v>
      </c>
      <c r="F448" s="13">
        <v>1060.0605</v>
      </c>
      <c r="G448">
        <v>0.1</v>
      </c>
      <c r="H448" t="s">
        <v>19</v>
      </c>
      <c r="I448" s="13">
        <v>-71.03</v>
      </c>
      <c r="J448">
        <v>28.99</v>
      </c>
      <c r="K448">
        <v>8.59</v>
      </c>
      <c r="L448" t="s">
        <v>44</v>
      </c>
      <c r="M448" t="s">
        <v>69</v>
      </c>
      <c r="N448" s="5" t="s">
        <v>69</v>
      </c>
      <c r="O448" t="s">
        <v>28</v>
      </c>
      <c r="P448" t="s">
        <v>29</v>
      </c>
      <c r="Q448" t="s">
        <v>30</v>
      </c>
      <c r="R448">
        <v>0.56000000000000005</v>
      </c>
      <c r="S448" s="1">
        <v>40447</v>
      </c>
      <c r="T448" t="str">
        <f t="shared" si="13"/>
        <v>26-Sep-2010</v>
      </c>
    </row>
    <row r="449" spans="1:20" x14ac:dyDescent="0.3">
      <c r="A449">
        <v>11495</v>
      </c>
      <c r="B449" s="1">
        <v>40728</v>
      </c>
      <c r="C449" t="s">
        <v>23</v>
      </c>
      <c r="D449" t="str">
        <f t="shared" si="12"/>
        <v>04-Jul-2011</v>
      </c>
      <c r="E449">
        <v>6</v>
      </c>
      <c r="F449" s="13">
        <v>965.69</v>
      </c>
      <c r="G449">
        <v>0</v>
      </c>
      <c r="H449" t="s">
        <v>24</v>
      </c>
      <c r="I449" s="13">
        <v>-144.19999999999999</v>
      </c>
      <c r="J449">
        <v>146.34</v>
      </c>
      <c r="K449">
        <v>43.75</v>
      </c>
      <c r="L449" t="s">
        <v>73</v>
      </c>
      <c r="M449" t="s">
        <v>69</v>
      </c>
      <c r="N449" s="5" t="s">
        <v>69</v>
      </c>
      <c r="O449" t="s">
        <v>28</v>
      </c>
      <c r="P449" t="s">
        <v>32</v>
      </c>
      <c r="Q449" t="s">
        <v>46</v>
      </c>
      <c r="R449">
        <v>0.65</v>
      </c>
      <c r="S449" s="1">
        <v>40729</v>
      </c>
      <c r="T449" t="str">
        <f t="shared" si="13"/>
        <v>05-Jul-2011</v>
      </c>
    </row>
    <row r="450" spans="1:20" x14ac:dyDescent="0.3">
      <c r="A450">
        <v>31270</v>
      </c>
      <c r="B450" s="1">
        <v>41236</v>
      </c>
      <c r="C450" t="s">
        <v>38</v>
      </c>
      <c r="D450" t="str">
        <f t="shared" ref="D450:D513" si="14">TEXT(B450, "dd-mmm-yyyy" )</f>
        <v>23-Nov-2012</v>
      </c>
      <c r="E450">
        <v>3</v>
      </c>
      <c r="F450" s="13">
        <v>891.61</v>
      </c>
      <c r="G450">
        <v>0.1</v>
      </c>
      <c r="H450" t="s">
        <v>24</v>
      </c>
      <c r="I450" s="13">
        <v>-328.36</v>
      </c>
      <c r="J450">
        <v>291.73</v>
      </c>
      <c r="K450">
        <v>48.8</v>
      </c>
      <c r="L450" t="s">
        <v>64</v>
      </c>
      <c r="M450" t="s">
        <v>69</v>
      </c>
      <c r="N450" s="5" t="s">
        <v>69</v>
      </c>
      <c r="O450" t="s">
        <v>28</v>
      </c>
      <c r="P450" t="s">
        <v>32</v>
      </c>
      <c r="Q450" t="s">
        <v>56</v>
      </c>
      <c r="R450">
        <v>0.56000000000000005</v>
      </c>
      <c r="S450" s="1">
        <v>41238</v>
      </c>
      <c r="T450" t="str">
        <f t="shared" ref="T450:T513" si="15">TEXT(S450, "dd-mmm-yyyy")</f>
        <v>25-Nov-2012</v>
      </c>
    </row>
    <row r="451" spans="1:20" x14ac:dyDescent="0.3">
      <c r="A451">
        <v>41153</v>
      </c>
      <c r="B451" s="1">
        <v>39874</v>
      </c>
      <c r="C451" t="s">
        <v>38</v>
      </c>
      <c r="D451" t="str">
        <f t="shared" si="14"/>
        <v>02-Mar-2009</v>
      </c>
      <c r="E451">
        <v>29</v>
      </c>
      <c r="F451" s="13">
        <v>862.2</v>
      </c>
      <c r="G451">
        <v>0.1</v>
      </c>
      <c r="H451" t="s">
        <v>19</v>
      </c>
      <c r="I451" s="13">
        <v>-45.1</v>
      </c>
      <c r="J451">
        <v>30.73</v>
      </c>
      <c r="K451">
        <v>4</v>
      </c>
      <c r="L451" t="s">
        <v>53</v>
      </c>
      <c r="M451" t="s">
        <v>69</v>
      </c>
      <c r="N451" s="5" t="s">
        <v>69</v>
      </c>
      <c r="O451" t="s">
        <v>28</v>
      </c>
      <c r="P451" t="s">
        <v>29</v>
      </c>
      <c r="Q451" t="s">
        <v>41</v>
      </c>
      <c r="R451">
        <v>0.75</v>
      </c>
      <c r="S451" s="1">
        <v>39875</v>
      </c>
      <c r="T451" t="str">
        <f t="shared" si="15"/>
        <v>03-Mar-2009</v>
      </c>
    </row>
    <row r="452" spans="1:20" x14ac:dyDescent="0.3">
      <c r="A452">
        <v>10535</v>
      </c>
      <c r="B452" s="1">
        <v>40690</v>
      </c>
      <c r="C452" t="s">
        <v>18</v>
      </c>
      <c r="D452" t="str">
        <f t="shared" si="14"/>
        <v>27-May-2011</v>
      </c>
      <c r="E452">
        <v>25</v>
      </c>
      <c r="F452" s="13">
        <v>854.88</v>
      </c>
      <c r="G452">
        <v>0.09</v>
      </c>
      <c r="H452" t="s">
        <v>19</v>
      </c>
      <c r="I452" s="13">
        <v>-44.14</v>
      </c>
      <c r="J452">
        <v>33.979999999999997</v>
      </c>
      <c r="K452">
        <v>19.989999999999998</v>
      </c>
      <c r="L452" t="s">
        <v>71</v>
      </c>
      <c r="M452" t="s">
        <v>69</v>
      </c>
      <c r="N452" s="5" t="s">
        <v>69</v>
      </c>
      <c r="O452" t="s">
        <v>28</v>
      </c>
      <c r="P452" t="s">
        <v>32</v>
      </c>
      <c r="Q452" t="s">
        <v>33</v>
      </c>
      <c r="R452">
        <v>0.55000000000000004</v>
      </c>
      <c r="S452" s="1">
        <v>40692</v>
      </c>
      <c r="T452" t="str">
        <f t="shared" si="15"/>
        <v>29-May-2011</v>
      </c>
    </row>
    <row r="453" spans="1:20" x14ac:dyDescent="0.3">
      <c r="A453">
        <v>34177</v>
      </c>
      <c r="B453" s="1">
        <v>40040</v>
      </c>
      <c r="C453" t="s">
        <v>23</v>
      </c>
      <c r="D453" t="str">
        <f t="shared" si="14"/>
        <v>15-Aug-2009</v>
      </c>
      <c r="E453">
        <v>50</v>
      </c>
      <c r="F453" s="13">
        <v>853.16200000000003</v>
      </c>
      <c r="G453">
        <v>0.1</v>
      </c>
      <c r="H453" t="s">
        <v>19</v>
      </c>
      <c r="I453" s="13">
        <v>-83.95</v>
      </c>
      <c r="J453">
        <v>20.99</v>
      </c>
      <c r="K453">
        <v>2.5</v>
      </c>
      <c r="L453" t="s">
        <v>84</v>
      </c>
      <c r="M453" t="s">
        <v>69</v>
      </c>
      <c r="N453" s="5" t="s">
        <v>69</v>
      </c>
      <c r="O453" t="s">
        <v>28</v>
      </c>
      <c r="P453" t="s">
        <v>29</v>
      </c>
      <c r="Q453" t="s">
        <v>30</v>
      </c>
      <c r="R453">
        <v>0.81</v>
      </c>
      <c r="S453" s="1">
        <v>40041</v>
      </c>
      <c r="T453" t="str">
        <f t="shared" si="15"/>
        <v>16-Aug-2009</v>
      </c>
    </row>
    <row r="454" spans="1:20" x14ac:dyDescent="0.3">
      <c r="A454">
        <v>36134</v>
      </c>
      <c r="B454" s="1">
        <v>40504</v>
      </c>
      <c r="C454" t="s">
        <v>18</v>
      </c>
      <c r="D454" t="str">
        <f t="shared" si="14"/>
        <v>22-Nov-2010</v>
      </c>
      <c r="E454">
        <v>6</v>
      </c>
      <c r="F454" s="13">
        <v>826.97349999999994</v>
      </c>
      <c r="G454">
        <v>0.01</v>
      </c>
      <c r="H454" t="s">
        <v>19</v>
      </c>
      <c r="I454" s="13">
        <v>-413.33</v>
      </c>
      <c r="J454">
        <v>155.99</v>
      </c>
      <c r="K454">
        <v>8.99</v>
      </c>
      <c r="L454" t="s">
        <v>52</v>
      </c>
      <c r="M454" t="s">
        <v>69</v>
      </c>
      <c r="N454" s="5" t="s">
        <v>69</v>
      </c>
      <c r="O454" t="s">
        <v>28</v>
      </c>
      <c r="P454" t="s">
        <v>29</v>
      </c>
      <c r="Q454" t="s">
        <v>30</v>
      </c>
      <c r="R454">
        <v>0.55000000000000004</v>
      </c>
      <c r="S454" s="1">
        <v>40504</v>
      </c>
      <c r="T454" t="str">
        <f t="shared" si="15"/>
        <v>22-Nov-2010</v>
      </c>
    </row>
    <row r="455" spans="1:20" x14ac:dyDescent="0.3">
      <c r="A455">
        <v>10437</v>
      </c>
      <c r="B455" s="1">
        <v>40043</v>
      </c>
      <c r="C455" t="s">
        <v>43</v>
      </c>
      <c r="D455" t="str">
        <f t="shared" si="14"/>
        <v>18-Aug-2009</v>
      </c>
      <c r="E455">
        <v>50</v>
      </c>
      <c r="F455" s="13">
        <v>820.52</v>
      </c>
      <c r="G455">
        <v>0.01</v>
      </c>
      <c r="H455" t="s">
        <v>19</v>
      </c>
      <c r="I455" s="13">
        <v>-191.22</v>
      </c>
      <c r="J455">
        <v>15.99</v>
      </c>
      <c r="K455">
        <v>13.18</v>
      </c>
      <c r="L455" t="s">
        <v>61</v>
      </c>
      <c r="M455" t="s">
        <v>69</v>
      </c>
      <c r="N455" s="5" t="s">
        <v>69</v>
      </c>
      <c r="O455" t="s">
        <v>28</v>
      </c>
      <c r="P455" t="s">
        <v>21</v>
      </c>
      <c r="Q455" t="s">
        <v>26</v>
      </c>
      <c r="R455">
        <v>0.37</v>
      </c>
      <c r="S455" s="1">
        <v>40045</v>
      </c>
      <c r="T455" t="str">
        <f t="shared" si="15"/>
        <v>20-Aug-2009</v>
      </c>
    </row>
    <row r="456" spans="1:20" x14ac:dyDescent="0.3">
      <c r="A456">
        <v>28486</v>
      </c>
      <c r="B456" s="1">
        <v>40051</v>
      </c>
      <c r="C456" t="s">
        <v>23</v>
      </c>
      <c r="D456" t="str">
        <f t="shared" si="14"/>
        <v>26-Aug-2009</v>
      </c>
      <c r="E456">
        <v>2</v>
      </c>
      <c r="F456" s="13">
        <v>811.13</v>
      </c>
      <c r="G456">
        <v>0.08</v>
      </c>
      <c r="H456" t="s">
        <v>19</v>
      </c>
      <c r="I456" s="13">
        <v>-517.47</v>
      </c>
      <c r="J456">
        <v>415.88</v>
      </c>
      <c r="K456">
        <v>11.37</v>
      </c>
      <c r="L456" t="s">
        <v>40</v>
      </c>
      <c r="M456" t="s">
        <v>69</v>
      </c>
      <c r="N456" s="5" t="s">
        <v>69</v>
      </c>
      <c r="O456" t="s">
        <v>28</v>
      </c>
      <c r="P456" t="s">
        <v>21</v>
      </c>
      <c r="Q456" t="s">
        <v>22</v>
      </c>
      <c r="R456">
        <v>0.56999999999999995</v>
      </c>
      <c r="S456" s="1">
        <v>40052</v>
      </c>
      <c r="T456" t="str">
        <f t="shared" si="15"/>
        <v>27-Aug-2009</v>
      </c>
    </row>
    <row r="457" spans="1:20" x14ac:dyDescent="0.3">
      <c r="A457">
        <v>33703</v>
      </c>
      <c r="B457" s="1">
        <v>40215</v>
      </c>
      <c r="C457" t="s">
        <v>31</v>
      </c>
      <c r="D457" t="str">
        <f t="shared" si="14"/>
        <v>06-Feb-2010</v>
      </c>
      <c r="E457">
        <v>25</v>
      </c>
      <c r="F457" s="13">
        <v>802.19</v>
      </c>
      <c r="G457">
        <v>0</v>
      </c>
      <c r="H457" t="s">
        <v>19</v>
      </c>
      <c r="I457" s="13">
        <v>56.26</v>
      </c>
      <c r="J457">
        <v>29.74</v>
      </c>
      <c r="K457">
        <v>6.64</v>
      </c>
      <c r="L457" t="s">
        <v>49</v>
      </c>
      <c r="M457" t="s">
        <v>69</v>
      </c>
      <c r="N457" s="5" t="s">
        <v>69</v>
      </c>
      <c r="O457" t="s">
        <v>28</v>
      </c>
      <c r="P457" t="s">
        <v>21</v>
      </c>
      <c r="Q457" t="s">
        <v>22</v>
      </c>
      <c r="R457">
        <v>0.7</v>
      </c>
      <c r="S457" s="1">
        <v>40216</v>
      </c>
      <c r="T457" t="str">
        <f t="shared" si="15"/>
        <v>07-Feb-2010</v>
      </c>
    </row>
    <row r="458" spans="1:20" x14ac:dyDescent="0.3">
      <c r="A458">
        <v>31364</v>
      </c>
      <c r="B458" s="1">
        <v>39934</v>
      </c>
      <c r="C458" t="s">
        <v>31</v>
      </c>
      <c r="D458" t="str">
        <f t="shared" si="14"/>
        <v>01-May-2009</v>
      </c>
      <c r="E458">
        <v>2</v>
      </c>
      <c r="F458" s="13">
        <v>789.01</v>
      </c>
      <c r="G458">
        <v>7.0000000000000007E-2</v>
      </c>
      <c r="H458" t="s">
        <v>19</v>
      </c>
      <c r="I458" s="13">
        <v>-539.59</v>
      </c>
      <c r="J458">
        <v>415.88</v>
      </c>
      <c r="K458">
        <v>11.37</v>
      </c>
      <c r="L458" t="s">
        <v>62</v>
      </c>
      <c r="M458" t="s">
        <v>69</v>
      </c>
      <c r="N458" s="5" t="s">
        <v>69</v>
      </c>
      <c r="O458" t="s">
        <v>28</v>
      </c>
      <c r="P458" t="s">
        <v>21</v>
      </c>
      <c r="Q458" t="s">
        <v>22</v>
      </c>
      <c r="R458">
        <v>0.56999999999999995</v>
      </c>
      <c r="S458" s="1">
        <v>39934</v>
      </c>
      <c r="T458" t="str">
        <f t="shared" si="15"/>
        <v>01-May-2009</v>
      </c>
    </row>
    <row r="459" spans="1:20" x14ac:dyDescent="0.3">
      <c r="A459">
        <v>45440</v>
      </c>
      <c r="B459" s="1">
        <v>41130</v>
      </c>
      <c r="C459" t="s">
        <v>43</v>
      </c>
      <c r="D459" t="str">
        <f t="shared" si="14"/>
        <v>09-Aug-2012</v>
      </c>
      <c r="E459">
        <v>5</v>
      </c>
      <c r="F459" s="13">
        <v>748.29</v>
      </c>
      <c r="G459">
        <v>0.02</v>
      </c>
      <c r="H459" t="s">
        <v>24</v>
      </c>
      <c r="I459" s="13">
        <v>-183.6</v>
      </c>
      <c r="J459">
        <v>135.99</v>
      </c>
      <c r="K459">
        <v>28.63</v>
      </c>
      <c r="L459" t="s">
        <v>64</v>
      </c>
      <c r="M459" t="s">
        <v>69</v>
      </c>
      <c r="N459" s="5" t="s">
        <v>69</v>
      </c>
      <c r="O459" t="s">
        <v>28</v>
      </c>
      <c r="P459" t="s">
        <v>32</v>
      </c>
      <c r="Q459" t="s">
        <v>56</v>
      </c>
      <c r="R459">
        <v>0.76</v>
      </c>
      <c r="S459" s="1">
        <v>41132</v>
      </c>
      <c r="T459" t="str">
        <f t="shared" si="15"/>
        <v>11-Aug-2012</v>
      </c>
    </row>
    <row r="460" spans="1:20" x14ac:dyDescent="0.3">
      <c r="A460">
        <v>30947</v>
      </c>
      <c r="B460" s="1">
        <v>40373</v>
      </c>
      <c r="C460" t="s">
        <v>18</v>
      </c>
      <c r="D460" t="str">
        <f t="shared" si="14"/>
        <v>14-Jul-2010</v>
      </c>
      <c r="E460">
        <v>17</v>
      </c>
      <c r="F460" s="13">
        <v>691.59</v>
      </c>
      <c r="G460">
        <v>0.03</v>
      </c>
      <c r="H460" t="s">
        <v>19</v>
      </c>
      <c r="I460" s="13">
        <v>261.24</v>
      </c>
      <c r="J460">
        <v>41.94</v>
      </c>
      <c r="K460">
        <v>2.99</v>
      </c>
      <c r="L460" t="s">
        <v>79</v>
      </c>
      <c r="M460" t="s">
        <v>69</v>
      </c>
      <c r="N460" s="5" t="s">
        <v>69</v>
      </c>
      <c r="O460" t="s">
        <v>28</v>
      </c>
      <c r="P460" t="s">
        <v>21</v>
      </c>
      <c r="Q460" t="s">
        <v>26</v>
      </c>
      <c r="R460">
        <v>0.35</v>
      </c>
      <c r="S460" s="1">
        <v>40377</v>
      </c>
      <c r="T460" t="str">
        <f t="shared" si="15"/>
        <v>18-Jul-2010</v>
      </c>
    </row>
    <row r="461" spans="1:20" x14ac:dyDescent="0.3">
      <c r="A461">
        <v>50565</v>
      </c>
      <c r="B461" s="1">
        <v>41151</v>
      </c>
      <c r="C461" t="s">
        <v>23</v>
      </c>
      <c r="D461" t="str">
        <f t="shared" si="14"/>
        <v>30-Aug-2012</v>
      </c>
      <c r="E461">
        <v>43</v>
      </c>
      <c r="F461" s="13">
        <v>683.46</v>
      </c>
      <c r="G461">
        <v>0.09</v>
      </c>
      <c r="H461" t="s">
        <v>19</v>
      </c>
      <c r="I461" s="13">
        <v>-138.82</v>
      </c>
      <c r="J461">
        <v>16.98</v>
      </c>
      <c r="K461">
        <v>12.39</v>
      </c>
      <c r="L461" t="s">
        <v>44</v>
      </c>
      <c r="M461" t="s">
        <v>69</v>
      </c>
      <c r="N461" s="5" t="s">
        <v>69</v>
      </c>
      <c r="O461" t="s">
        <v>28</v>
      </c>
      <c r="P461" t="s">
        <v>21</v>
      </c>
      <c r="Q461" t="s">
        <v>42</v>
      </c>
      <c r="R461">
        <v>0.35</v>
      </c>
      <c r="S461" s="1">
        <v>41151</v>
      </c>
      <c r="T461" t="str">
        <f t="shared" si="15"/>
        <v>30-Aug-2012</v>
      </c>
    </row>
    <row r="462" spans="1:20" x14ac:dyDescent="0.3">
      <c r="A462">
        <v>25634</v>
      </c>
      <c r="B462" s="1">
        <v>40388</v>
      </c>
      <c r="C462" t="s">
        <v>31</v>
      </c>
      <c r="D462" t="str">
        <f t="shared" si="14"/>
        <v>29-Jul-2010</v>
      </c>
      <c r="E462">
        <v>26</v>
      </c>
      <c r="F462" s="13">
        <v>626.07000000000005</v>
      </c>
      <c r="G462">
        <v>0.03</v>
      </c>
      <c r="H462" t="s">
        <v>35</v>
      </c>
      <c r="I462" s="13">
        <v>185.32</v>
      </c>
      <c r="J462">
        <v>23.99</v>
      </c>
      <c r="K462">
        <v>6.71</v>
      </c>
      <c r="L462" t="s">
        <v>78</v>
      </c>
      <c r="M462" t="s">
        <v>69</v>
      </c>
      <c r="N462" s="5" t="s">
        <v>69</v>
      </c>
      <c r="O462" t="s">
        <v>28</v>
      </c>
      <c r="P462" t="s">
        <v>21</v>
      </c>
      <c r="Q462" t="s">
        <v>42</v>
      </c>
      <c r="R462">
        <v>0.35</v>
      </c>
      <c r="S462" s="1">
        <v>40389</v>
      </c>
      <c r="T462" t="str">
        <f t="shared" si="15"/>
        <v>30-Jul-2010</v>
      </c>
    </row>
    <row r="463" spans="1:20" x14ac:dyDescent="0.3">
      <c r="A463">
        <v>39683</v>
      </c>
      <c r="B463" s="1">
        <v>40765</v>
      </c>
      <c r="C463" t="s">
        <v>23</v>
      </c>
      <c r="D463" t="str">
        <f t="shared" si="14"/>
        <v>10-Aug-2011</v>
      </c>
      <c r="E463">
        <v>31</v>
      </c>
      <c r="F463" s="13">
        <v>615.58000000000004</v>
      </c>
      <c r="G463">
        <v>0.04</v>
      </c>
      <c r="H463" t="s">
        <v>19</v>
      </c>
      <c r="I463" s="13">
        <v>168</v>
      </c>
      <c r="J463">
        <v>18.989999999999998</v>
      </c>
      <c r="K463">
        <v>5.23</v>
      </c>
      <c r="L463" t="s">
        <v>81</v>
      </c>
      <c r="M463" t="s">
        <v>69</v>
      </c>
      <c r="N463" s="5" t="s">
        <v>69</v>
      </c>
      <c r="O463" t="s">
        <v>28</v>
      </c>
      <c r="P463" t="s">
        <v>21</v>
      </c>
      <c r="Q463" t="s">
        <v>26</v>
      </c>
      <c r="R463">
        <v>0.37</v>
      </c>
      <c r="S463" s="1">
        <v>40768</v>
      </c>
      <c r="T463" t="str">
        <f t="shared" si="15"/>
        <v>13-Aug-2011</v>
      </c>
    </row>
    <row r="464" spans="1:20" x14ac:dyDescent="0.3">
      <c r="A464">
        <v>25767</v>
      </c>
      <c r="B464" s="1">
        <v>40971</v>
      </c>
      <c r="C464" t="s">
        <v>23</v>
      </c>
      <c r="D464" t="str">
        <f t="shared" si="14"/>
        <v>03-Mar-2012</v>
      </c>
      <c r="E464">
        <v>15</v>
      </c>
      <c r="F464" s="13">
        <v>593.73</v>
      </c>
      <c r="G464">
        <v>0.04</v>
      </c>
      <c r="H464" t="s">
        <v>19</v>
      </c>
      <c r="I464" s="13">
        <v>108.01</v>
      </c>
      <c r="J464">
        <v>38.76</v>
      </c>
      <c r="K464">
        <v>13.26</v>
      </c>
      <c r="L464" t="s">
        <v>65</v>
      </c>
      <c r="M464" t="s">
        <v>69</v>
      </c>
      <c r="N464" s="5" t="s">
        <v>69</v>
      </c>
      <c r="O464" t="s">
        <v>28</v>
      </c>
      <c r="P464" t="s">
        <v>21</v>
      </c>
      <c r="Q464" t="s">
        <v>37</v>
      </c>
      <c r="R464">
        <v>0.36</v>
      </c>
      <c r="S464" s="1">
        <v>40972</v>
      </c>
      <c r="T464" t="str">
        <f t="shared" si="15"/>
        <v>04-Mar-2012</v>
      </c>
    </row>
    <row r="465" spans="1:20" x14ac:dyDescent="0.3">
      <c r="A465">
        <v>25634</v>
      </c>
      <c r="B465" s="1">
        <v>40388</v>
      </c>
      <c r="C465" t="s">
        <v>31</v>
      </c>
      <c r="D465" t="str">
        <f t="shared" si="14"/>
        <v>29-Jul-2010</v>
      </c>
      <c r="E465">
        <v>29</v>
      </c>
      <c r="F465" s="13">
        <v>593.32000000000005</v>
      </c>
      <c r="G465">
        <v>0.03</v>
      </c>
      <c r="H465" t="s">
        <v>19</v>
      </c>
      <c r="I465" s="13">
        <v>28.99</v>
      </c>
      <c r="J465">
        <v>20.95</v>
      </c>
      <c r="K465">
        <v>4</v>
      </c>
      <c r="L465" t="s">
        <v>78</v>
      </c>
      <c r="M465" t="s">
        <v>69</v>
      </c>
      <c r="N465" s="5" t="s">
        <v>69</v>
      </c>
      <c r="O465" t="s">
        <v>28</v>
      </c>
      <c r="P465" t="s">
        <v>29</v>
      </c>
      <c r="Q465" t="s">
        <v>41</v>
      </c>
      <c r="R465">
        <v>0.6</v>
      </c>
      <c r="S465" s="1">
        <v>40391</v>
      </c>
      <c r="T465" t="str">
        <f t="shared" si="15"/>
        <v>01-Aug-2010</v>
      </c>
    </row>
    <row r="466" spans="1:20" x14ac:dyDescent="0.3">
      <c r="A466">
        <v>43364</v>
      </c>
      <c r="B466" s="1">
        <v>41006</v>
      </c>
      <c r="C466" t="s">
        <v>23</v>
      </c>
      <c r="D466" t="str">
        <f t="shared" si="14"/>
        <v>07-Apr-2012</v>
      </c>
      <c r="E466">
        <v>21</v>
      </c>
      <c r="F466" s="13">
        <v>524.20000000000005</v>
      </c>
      <c r="G466">
        <v>0.04</v>
      </c>
      <c r="H466" t="s">
        <v>19</v>
      </c>
      <c r="I466" s="13">
        <v>158.97999999999999</v>
      </c>
      <c r="J466">
        <v>23.99</v>
      </c>
      <c r="K466">
        <v>6.71</v>
      </c>
      <c r="L466" t="s">
        <v>83</v>
      </c>
      <c r="M466" t="s">
        <v>69</v>
      </c>
      <c r="N466" s="5" t="s">
        <v>69</v>
      </c>
      <c r="O466" t="s">
        <v>28</v>
      </c>
      <c r="P466" t="s">
        <v>21</v>
      </c>
      <c r="Q466" t="s">
        <v>42</v>
      </c>
      <c r="R466">
        <v>0.35</v>
      </c>
      <c r="S466" s="1">
        <v>41009</v>
      </c>
      <c r="T466" t="str">
        <f t="shared" si="15"/>
        <v>10-Apr-2012</v>
      </c>
    </row>
    <row r="467" spans="1:20" x14ac:dyDescent="0.3">
      <c r="A467">
        <v>43109</v>
      </c>
      <c r="B467" s="1">
        <v>41264</v>
      </c>
      <c r="C467" t="s">
        <v>43</v>
      </c>
      <c r="D467" t="str">
        <f t="shared" si="14"/>
        <v>21-Dec-2012</v>
      </c>
      <c r="E467">
        <v>25</v>
      </c>
      <c r="F467" s="13">
        <v>509.52</v>
      </c>
      <c r="G467">
        <v>0.05</v>
      </c>
      <c r="H467" t="s">
        <v>19</v>
      </c>
      <c r="I467" s="13">
        <v>-145.78</v>
      </c>
      <c r="J467">
        <v>20.97</v>
      </c>
      <c r="K467">
        <v>6.5</v>
      </c>
      <c r="L467" t="s">
        <v>59</v>
      </c>
      <c r="M467" t="s">
        <v>69</v>
      </c>
      <c r="N467" s="5" t="s">
        <v>69</v>
      </c>
      <c r="O467" t="s">
        <v>28</v>
      </c>
      <c r="P467" t="s">
        <v>29</v>
      </c>
      <c r="Q467" t="s">
        <v>41</v>
      </c>
      <c r="R467">
        <v>0.78</v>
      </c>
      <c r="S467" s="1">
        <v>41265</v>
      </c>
      <c r="T467" t="str">
        <f t="shared" si="15"/>
        <v>22-Dec-2012</v>
      </c>
    </row>
    <row r="468" spans="1:20" x14ac:dyDescent="0.3">
      <c r="A468">
        <v>51938</v>
      </c>
      <c r="B468" s="1">
        <v>40680</v>
      </c>
      <c r="C468" t="s">
        <v>18</v>
      </c>
      <c r="D468" t="str">
        <f t="shared" si="14"/>
        <v>17-May-2011</v>
      </c>
      <c r="E468">
        <v>5</v>
      </c>
      <c r="F468" s="13">
        <v>503.32749999999999</v>
      </c>
      <c r="G468">
        <v>0.06</v>
      </c>
      <c r="H468" t="s">
        <v>19</v>
      </c>
      <c r="I468" s="13">
        <v>-488.31</v>
      </c>
      <c r="J468">
        <v>125.99</v>
      </c>
      <c r="K468">
        <v>5.63</v>
      </c>
      <c r="L468" t="s">
        <v>47</v>
      </c>
      <c r="M468" t="s">
        <v>69</v>
      </c>
      <c r="N468" s="5" t="s">
        <v>69</v>
      </c>
      <c r="O468" t="s">
        <v>28</v>
      </c>
      <c r="P468" t="s">
        <v>29</v>
      </c>
      <c r="Q468" t="s">
        <v>30</v>
      </c>
      <c r="R468">
        <v>0.6</v>
      </c>
      <c r="S468" s="1">
        <v>40684</v>
      </c>
      <c r="T468" t="str">
        <f t="shared" si="15"/>
        <v>21-May-2011</v>
      </c>
    </row>
    <row r="469" spans="1:20" x14ac:dyDescent="0.3">
      <c r="A469">
        <v>28135</v>
      </c>
      <c r="B469" s="1">
        <v>40081</v>
      </c>
      <c r="C469" t="s">
        <v>43</v>
      </c>
      <c r="D469" t="str">
        <f t="shared" si="14"/>
        <v>25-Sep-2009</v>
      </c>
      <c r="E469">
        <v>40</v>
      </c>
      <c r="F469" s="13">
        <v>501.31</v>
      </c>
      <c r="G469">
        <v>0.05</v>
      </c>
      <c r="H469" t="s">
        <v>19</v>
      </c>
      <c r="I469" s="13">
        <v>38.229999999999997</v>
      </c>
      <c r="J469">
        <v>12.98</v>
      </c>
      <c r="K469">
        <v>3.14</v>
      </c>
      <c r="L469" t="s">
        <v>81</v>
      </c>
      <c r="M469" t="s">
        <v>69</v>
      </c>
      <c r="N469" s="5" t="s">
        <v>69</v>
      </c>
      <c r="O469" t="s">
        <v>28</v>
      </c>
      <c r="P469" t="s">
        <v>21</v>
      </c>
      <c r="Q469" t="s">
        <v>67</v>
      </c>
      <c r="R469">
        <v>0.6</v>
      </c>
      <c r="S469" s="1">
        <v>40081</v>
      </c>
      <c r="T469" t="str">
        <f t="shared" si="15"/>
        <v>25-Sep-2009</v>
      </c>
    </row>
    <row r="470" spans="1:20" x14ac:dyDescent="0.3">
      <c r="A470">
        <v>22151</v>
      </c>
      <c r="B470" s="1">
        <v>40390</v>
      </c>
      <c r="C470" t="s">
        <v>23</v>
      </c>
      <c r="D470" t="str">
        <f t="shared" si="14"/>
        <v>31-Jul-2010</v>
      </c>
      <c r="E470">
        <v>49</v>
      </c>
      <c r="F470" s="13">
        <v>465.83</v>
      </c>
      <c r="G470">
        <v>0.1</v>
      </c>
      <c r="H470" t="s">
        <v>19</v>
      </c>
      <c r="I470" s="13">
        <v>-79.72</v>
      </c>
      <c r="J470">
        <v>9.65</v>
      </c>
      <c r="K470">
        <v>6.22</v>
      </c>
      <c r="L470" t="s">
        <v>62</v>
      </c>
      <c r="M470" t="s">
        <v>69</v>
      </c>
      <c r="N470" s="5" t="s">
        <v>69</v>
      </c>
      <c r="O470" t="s">
        <v>28</v>
      </c>
      <c r="P470" t="s">
        <v>32</v>
      </c>
      <c r="Q470" t="s">
        <v>33</v>
      </c>
      <c r="R470">
        <v>0.55000000000000004</v>
      </c>
      <c r="S470" s="1">
        <v>40390</v>
      </c>
      <c r="T470" t="str">
        <f t="shared" si="15"/>
        <v>31-Jul-2010</v>
      </c>
    </row>
    <row r="471" spans="1:20" x14ac:dyDescent="0.3">
      <c r="A471">
        <v>31684</v>
      </c>
      <c r="B471" s="1">
        <v>41168</v>
      </c>
      <c r="C471" t="s">
        <v>43</v>
      </c>
      <c r="D471" t="str">
        <f t="shared" si="14"/>
        <v>16-Sep-2012</v>
      </c>
      <c r="E471">
        <v>28</v>
      </c>
      <c r="F471" s="13">
        <v>456.91</v>
      </c>
      <c r="G471">
        <v>0.04</v>
      </c>
      <c r="H471" t="s">
        <v>35</v>
      </c>
      <c r="I471" s="13">
        <v>-328.18</v>
      </c>
      <c r="J471">
        <v>15.51</v>
      </c>
      <c r="K471">
        <v>17.78</v>
      </c>
      <c r="L471" t="s">
        <v>83</v>
      </c>
      <c r="M471" t="s">
        <v>69</v>
      </c>
      <c r="N471" s="5" t="s">
        <v>69</v>
      </c>
      <c r="O471" t="s">
        <v>28</v>
      </c>
      <c r="P471" t="s">
        <v>21</v>
      </c>
      <c r="Q471" t="s">
        <v>22</v>
      </c>
      <c r="R471">
        <v>0.59</v>
      </c>
      <c r="S471" s="1">
        <v>41170</v>
      </c>
      <c r="T471" t="str">
        <f t="shared" si="15"/>
        <v>18-Sep-2012</v>
      </c>
    </row>
    <row r="472" spans="1:20" x14ac:dyDescent="0.3">
      <c r="A472">
        <v>33894</v>
      </c>
      <c r="B472" s="1">
        <v>40343</v>
      </c>
      <c r="C472" t="s">
        <v>43</v>
      </c>
      <c r="D472" t="str">
        <f t="shared" si="14"/>
        <v>14-Jun-2010</v>
      </c>
      <c r="E472">
        <v>13</v>
      </c>
      <c r="F472" s="13">
        <v>438.93</v>
      </c>
      <c r="G472">
        <v>0.04</v>
      </c>
      <c r="H472" t="s">
        <v>35</v>
      </c>
      <c r="I472" s="13">
        <v>-119.02</v>
      </c>
      <c r="J472">
        <v>32.979999999999997</v>
      </c>
      <c r="K472">
        <v>5.5</v>
      </c>
      <c r="L472" t="s">
        <v>71</v>
      </c>
      <c r="M472" t="s">
        <v>69</v>
      </c>
      <c r="N472" s="5" t="s">
        <v>69</v>
      </c>
      <c r="O472" t="s">
        <v>28</v>
      </c>
      <c r="P472" t="s">
        <v>29</v>
      </c>
      <c r="Q472" t="s">
        <v>41</v>
      </c>
      <c r="R472">
        <v>0.75</v>
      </c>
      <c r="S472" s="1">
        <v>40345</v>
      </c>
      <c r="T472" t="str">
        <f t="shared" si="15"/>
        <v>16-Jun-2010</v>
      </c>
    </row>
    <row r="473" spans="1:20" x14ac:dyDescent="0.3">
      <c r="A473">
        <v>18308</v>
      </c>
      <c r="B473" s="1">
        <v>40095</v>
      </c>
      <c r="C473" t="s">
        <v>31</v>
      </c>
      <c r="D473" t="str">
        <f t="shared" si="14"/>
        <v>09-Oct-2009</v>
      </c>
      <c r="E473">
        <v>15</v>
      </c>
      <c r="F473" s="13">
        <v>436.05</v>
      </c>
      <c r="G473">
        <v>0.09</v>
      </c>
      <c r="H473" t="s">
        <v>19</v>
      </c>
      <c r="I473" s="13">
        <v>-92.58</v>
      </c>
      <c r="J473">
        <v>30.73</v>
      </c>
      <c r="K473">
        <v>4</v>
      </c>
      <c r="L473" t="s">
        <v>65</v>
      </c>
      <c r="M473" t="s">
        <v>69</v>
      </c>
      <c r="N473" s="5" t="s">
        <v>69</v>
      </c>
      <c r="O473" t="s">
        <v>28</v>
      </c>
      <c r="P473" t="s">
        <v>29</v>
      </c>
      <c r="Q473" t="s">
        <v>41</v>
      </c>
      <c r="R473">
        <v>0.75</v>
      </c>
      <c r="S473" s="1">
        <v>40095</v>
      </c>
      <c r="T473" t="str">
        <f t="shared" si="15"/>
        <v>09-Oct-2009</v>
      </c>
    </row>
    <row r="474" spans="1:20" x14ac:dyDescent="0.3">
      <c r="A474">
        <v>31618</v>
      </c>
      <c r="B474" s="1">
        <v>40735</v>
      </c>
      <c r="C474" t="s">
        <v>43</v>
      </c>
      <c r="D474" t="str">
        <f t="shared" si="14"/>
        <v>11-Jul-2011</v>
      </c>
      <c r="E474">
        <v>14</v>
      </c>
      <c r="F474" s="13">
        <v>403.17</v>
      </c>
      <c r="G474">
        <v>0.02</v>
      </c>
      <c r="H474" t="s">
        <v>19</v>
      </c>
      <c r="I474" s="13">
        <v>147.44999999999999</v>
      </c>
      <c r="J474">
        <v>28.53</v>
      </c>
      <c r="K474">
        <v>1.49</v>
      </c>
      <c r="L474" t="s">
        <v>80</v>
      </c>
      <c r="M474" t="s">
        <v>69</v>
      </c>
      <c r="N474" s="5" t="s">
        <v>69</v>
      </c>
      <c r="O474" t="s">
        <v>28</v>
      </c>
      <c r="P474" t="s">
        <v>21</v>
      </c>
      <c r="Q474" t="s">
        <v>26</v>
      </c>
      <c r="R474">
        <v>0.38</v>
      </c>
      <c r="S474" s="1">
        <v>40735</v>
      </c>
      <c r="T474" t="str">
        <f t="shared" si="15"/>
        <v>11-Jul-2011</v>
      </c>
    </row>
    <row r="475" spans="1:20" x14ac:dyDescent="0.3">
      <c r="A475">
        <v>55366</v>
      </c>
      <c r="B475" s="1">
        <v>41192</v>
      </c>
      <c r="C475" t="s">
        <v>43</v>
      </c>
      <c r="D475" t="str">
        <f t="shared" si="14"/>
        <v>10-Oct-2012</v>
      </c>
      <c r="E475">
        <v>7</v>
      </c>
      <c r="F475" s="13">
        <v>387.17</v>
      </c>
      <c r="G475">
        <v>0.1</v>
      </c>
      <c r="H475" t="s">
        <v>19</v>
      </c>
      <c r="I475" s="13">
        <v>-204.65</v>
      </c>
      <c r="J475">
        <v>55.94</v>
      </c>
      <c r="K475">
        <v>6.55</v>
      </c>
      <c r="L475" t="s">
        <v>71</v>
      </c>
      <c r="M475" t="s">
        <v>69</v>
      </c>
      <c r="N475" s="5" t="s">
        <v>69</v>
      </c>
      <c r="O475" t="s">
        <v>28</v>
      </c>
      <c r="P475" t="s">
        <v>29</v>
      </c>
      <c r="Q475" t="s">
        <v>41</v>
      </c>
      <c r="R475">
        <v>0.68</v>
      </c>
      <c r="S475" s="1">
        <v>41193</v>
      </c>
      <c r="T475" t="str">
        <f t="shared" si="15"/>
        <v>11-Oct-2012</v>
      </c>
    </row>
    <row r="476" spans="1:20" x14ac:dyDescent="0.3">
      <c r="A476">
        <v>33734</v>
      </c>
      <c r="B476" s="1">
        <v>40833</v>
      </c>
      <c r="C476" t="s">
        <v>31</v>
      </c>
      <c r="D476" t="str">
        <f t="shared" si="14"/>
        <v>17-Oct-2011</v>
      </c>
      <c r="E476">
        <v>13</v>
      </c>
      <c r="F476" s="13">
        <v>371.94</v>
      </c>
      <c r="G476">
        <v>0.05</v>
      </c>
      <c r="H476" t="s">
        <v>19</v>
      </c>
      <c r="I476" s="13">
        <v>106.53</v>
      </c>
      <c r="J476">
        <v>29.14</v>
      </c>
      <c r="K476">
        <v>4.8600000000000003</v>
      </c>
      <c r="L476" t="s">
        <v>72</v>
      </c>
      <c r="M476" t="s">
        <v>69</v>
      </c>
      <c r="N476" s="5" t="s">
        <v>69</v>
      </c>
      <c r="O476" t="s">
        <v>28</v>
      </c>
      <c r="P476" t="s">
        <v>21</v>
      </c>
      <c r="Q476" t="s">
        <v>37</v>
      </c>
      <c r="R476">
        <v>0.38</v>
      </c>
      <c r="S476" s="1">
        <v>40834</v>
      </c>
      <c r="T476" t="str">
        <f t="shared" si="15"/>
        <v>18-Oct-2011</v>
      </c>
    </row>
    <row r="477" spans="1:20" x14ac:dyDescent="0.3">
      <c r="A477">
        <v>55298</v>
      </c>
      <c r="B477" s="1">
        <v>40027</v>
      </c>
      <c r="C477" t="s">
        <v>43</v>
      </c>
      <c r="D477" t="str">
        <f t="shared" si="14"/>
        <v>02-Aug-2009</v>
      </c>
      <c r="E477">
        <v>1</v>
      </c>
      <c r="F477" s="13">
        <v>368.66</v>
      </c>
      <c r="G477">
        <v>0.01</v>
      </c>
      <c r="H477" t="s">
        <v>24</v>
      </c>
      <c r="I477" s="13">
        <v>-165.6</v>
      </c>
      <c r="J477">
        <v>300.98</v>
      </c>
      <c r="K477">
        <v>64.73</v>
      </c>
      <c r="L477" t="s">
        <v>76</v>
      </c>
      <c r="M477" t="s">
        <v>69</v>
      </c>
      <c r="N477" s="5" t="s">
        <v>69</v>
      </c>
      <c r="O477" t="s">
        <v>28</v>
      </c>
      <c r="P477" t="s">
        <v>32</v>
      </c>
      <c r="Q477" t="s">
        <v>56</v>
      </c>
      <c r="R477">
        <v>0.56000000000000005</v>
      </c>
      <c r="S477" s="1">
        <v>40028</v>
      </c>
      <c r="T477" t="str">
        <f t="shared" si="15"/>
        <v>03-Aug-2009</v>
      </c>
    </row>
    <row r="478" spans="1:20" x14ac:dyDescent="0.3">
      <c r="A478">
        <v>37634</v>
      </c>
      <c r="B478" s="1">
        <v>41050</v>
      </c>
      <c r="C478" t="s">
        <v>38</v>
      </c>
      <c r="D478" t="str">
        <f t="shared" si="14"/>
        <v>21-May-2012</v>
      </c>
      <c r="E478">
        <v>32</v>
      </c>
      <c r="F478" s="13">
        <v>368.18</v>
      </c>
      <c r="G478">
        <v>7.0000000000000007E-2</v>
      </c>
      <c r="H478" t="s">
        <v>19</v>
      </c>
      <c r="I478" s="13">
        <v>-36.78</v>
      </c>
      <c r="J478">
        <v>12.21</v>
      </c>
      <c r="K478">
        <v>4.8099999999999996</v>
      </c>
      <c r="L478" t="s">
        <v>73</v>
      </c>
      <c r="M478" t="s">
        <v>69</v>
      </c>
      <c r="N478" s="5" t="s">
        <v>69</v>
      </c>
      <c r="O478" t="s">
        <v>28</v>
      </c>
      <c r="P478" t="s">
        <v>21</v>
      </c>
      <c r="Q478" t="s">
        <v>22</v>
      </c>
      <c r="R478">
        <v>0.57999999999999996</v>
      </c>
      <c r="S478" s="1">
        <v>41051</v>
      </c>
      <c r="T478" t="str">
        <f t="shared" si="15"/>
        <v>22-May-2012</v>
      </c>
    </row>
    <row r="479" spans="1:20" x14ac:dyDescent="0.3">
      <c r="A479">
        <v>44519</v>
      </c>
      <c r="B479" s="1">
        <v>40317</v>
      </c>
      <c r="C479" t="s">
        <v>23</v>
      </c>
      <c r="D479" t="str">
        <f t="shared" si="14"/>
        <v>19-May-2010</v>
      </c>
      <c r="E479">
        <v>34</v>
      </c>
      <c r="F479" s="13">
        <v>365.77</v>
      </c>
      <c r="G479">
        <v>7.0000000000000007E-2</v>
      </c>
      <c r="H479" t="s">
        <v>19</v>
      </c>
      <c r="I479" s="13">
        <v>155.69</v>
      </c>
      <c r="J479">
        <v>10.67</v>
      </c>
      <c r="K479">
        <v>1.39</v>
      </c>
      <c r="L479" t="s">
        <v>59</v>
      </c>
      <c r="M479" t="s">
        <v>69</v>
      </c>
      <c r="N479" s="5" t="s">
        <v>69</v>
      </c>
      <c r="O479" t="s">
        <v>28</v>
      </c>
      <c r="P479" t="s">
        <v>21</v>
      </c>
      <c r="Q479" t="s">
        <v>42</v>
      </c>
      <c r="R479">
        <v>0.39</v>
      </c>
      <c r="S479" s="1">
        <v>40318</v>
      </c>
      <c r="T479" t="str">
        <f t="shared" si="15"/>
        <v>20-May-2010</v>
      </c>
    </row>
    <row r="480" spans="1:20" x14ac:dyDescent="0.3">
      <c r="A480">
        <v>35847</v>
      </c>
      <c r="B480" s="1">
        <v>39843</v>
      </c>
      <c r="C480" t="s">
        <v>43</v>
      </c>
      <c r="D480" t="str">
        <f t="shared" si="14"/>
        <v>30-Jan-2009</v>
      </c>
      <c r="E480">
        <v>23</v>
      </c>
      <c r="F480" s="13">
        <v>361.65</v>
      </c>
      <c r="G480">
        <v>0.08</v>
      </c>
      <c r="H480" t="s">
        <v>35</v>
      </c>
      <c r="I480" s="13">
        <v>-144.27000000000001</v>
      </c>
      <c r="J480">
        <v>15.98</v>
      </c>
      <c r="K480">
        <v>8.99</v>
      </c>
      <c r="L480" t="s">
        <v>57</v>
      </c>
      <c r="M480" t="s">
        <v>69</v>
      </c>
      <c r="N480" s="5" t="s">
        <v>69</v>
      </c>
      <c r="O480" t="s">
        <v>28</v>
      </c>
      <c r="P480" t="s">
        <v>29</v>
      </c>
      <c r="Q480" t="s">
        <v>41</v>
      </c>
      <c r="R480">
        <v>0.64</v>
      </c>
      <c r="S480" s="1">
        <v>39843</v>
      </c>
      <c r="T480" t="str">
        <f t="shared" si="15"/>
        <v>30-Jan-2009</v>
      </c>
    </row>
    <row r="481" spans="1:20" x14ac:dyDescent="0.3">
      <c r="A481">
        <v>40132</v>
      </c>
      <c r="B481" s="1">
        <v>40962</v>
      </c>
      <c r="C481" t="s">
        <v>18</v>
      </c>
      <c r="D481" t="str">
        <f t="shared" si="14"/>
        <v>23-Feb-2012</v>
      </c>
      <c r="E481">
        <v>16</v>
      </c>
      <c r="F481" s="13">
        <v>347.47</v>
      </c>
      <c r="G481">
        <v>0.09</v>
      </c>
      <c r="H481" t="s">
        <v>19</v>
      </c>
      <c r="I481" s="13">
        <v>-86.2</v>
      </c>
      <c r="J481">
        <v>22.38</v>
      </c>
      <c r="K481">
        <v>15.1</v>
      </c>
      <c r="L481" t="s">
        <v>75</v>
      </c>
      <c r="M481" t="s">
        <v>69</v>
      </c>
      <c r="N481" s="5" t="s">
        <v>69</v>
      </c>
      <c r="O481" t="s">
        <v>28</v>
      </c>
      <c r="P481" t="s">
        <v>21</v>
      </c>
      <c r="Q481" t="s">
        <v>26</v>
      </c>
      <c r="R481">
        <v>0.38</v>
      </c>
      <c r="S481" s="1">
        <v>40970</v>
      </c>
      <c r="T481" t="str">
        <f t="shared" si="15"/>
        <v>02-Mar-2012</v>
      </c>
    </row>
    <row r="482" spans="1:20" x14ac:dyDescent="0.3">
      <c r="A482">
        <v>30947</v>
      </c>
      <c r="B482" s="1">
        <v>40373</v>
      </c>
      <c r="C482" t="s">
        <v>18</v>
      </c>
      <c r="D482" t="str">
        <f t="shared" si="14"/>
        <v>14-Jul-2010</v>
      </c>
      <c r="E482">
        <v>45</v>
      </c>
      <c r="F482" s="13">
        <v>345.2</v>
      </c>
      <c r="G482">
        <v>0.01</v>
      </c>
      <c r="H482" t="s">
        <v>19</v>
      </c>
      <c r="I482" s="13">
        <v>183.53</v>
      </c>
      <c r="J482">
        <v>7.31</v>
      </c>
      <c r="K482">
        <v>0.49</v>
      </c>
      <c r="L482" t="s">
        <v>79</v>
      </c>
      <c r="M482" t="s">
        <v>69</v>
      </c>
      <c r="N482" s="5" t="s">
        <v>69</v>
      </c>
      <c r="O482" t="s">
        <v>28</v>
      </c>
      <c r="P482" t="s">
        <v>21</v>
      </c>
      <c r="Q482" t="s">
        <v>48</v>
      </c>
      <c r="R482">
        <v>0.38</v>
      </c>
      <c r="S482" s="1">
        <v>40377</v>
      </c>
      <c r="T482" t="str">
        <f t="shared" si="15"/>
        <v>18-Jul-2010</v>
      </c>
    </row>
    <row r="483" spans="1:20" x14ac:dyDescent="0.3">
      <c r="A483">
        <v>11202</v>
      </c>
      <c r="B483" s="1">
        <v>40985</v>
      </c>
      <c r="C483" t="s">
        <v>38</v>
      </c>
      <c r="D483" t="str">
        <f t="shared" si="14"/>
        <v>17-Mar-2012</v>
      </c>
      <c r="E483">
        <v>8</v>
      </c>
      <c r="F483" s="13">
        <v>339.81</v>
      </c>
      <c r="G483">
        <v>0.05</v>
      </c>
      <c r="H483" t="s">
        <v>19</v>
      </c>
      <c r="I483" s="13">
        <v>79.59</v>
      </c>
      <c r="J483">
        <v>43.41</v>
      </c>
      <c r="K483">
        <v>2.99</v>
      </c>
      <c r="L483" t="s">
        <v>66</v>
      </c>
      <c r="M483" t="s">
        <v>69</v>
      </c>
      <c r="N483" s="5" t="s">
        <v>69</v>
      </c>
      <c r="O483" t="s">
        <v>28</v>
      </c>
      <c r="P483" t="s">
        <v>21</v>
      </c>
      <c r="Q483" t="s">
        <v>26</v>
      </c>
      <c r="R483">
        <v>0.39</v>
      </c>
      <c r="S483" s="1">
        <v>40986</v>
      </c>
      <c r="T483" t="str">
        <f t="shared" si="15"/>
        <v>18-Mar-2012</v>
      </c>
    </row>
    <row r="484" spans="1:20" x14ac:dyDescent="0.3">
      <c r="A484">
        <v>26567</v>
      </c>
      <c r="B484" s="1">
        <v>40060</v>
      </c>
      <c r="C484" t="s">
        <v>43</v>
      </c>
      <c r="D484" t="str">
        <f t="shared" si="14"/>
        <v>04-Sep-2009</v>
      </c>
      <c r="E484">
        <v>22</v>
      </c>
      <c r="F484" s="13">
        <v>338.52</v>
      </c>
      <c r="G484">
        <v>0.21</v>
      </c>
      <c r="H484" t="s">
        <v>19</v>
      </c>
      <c r="I484" s="13">
        <v>-17.75</v>
      </c>
      <c r="J484">
        <v>14.98</v>
      </c>
      <c r="K484">
        <v>8.99</v>
      </c>
      <c r="L484" t="s">
        <v>44</v>
      </c>
      <c r="M484" t="s">
        <v>69</v>
      </c>
      <c r="N484" s="5" t="s">
        <v>69</v>
      </c>
      <c r="O484" t="s">
        <v>28</v>
      </c>
      <c r="P484" t="s">
        <v>32</v>
      </c>
      <c r="Q484" t="s">
        <v>33</v>
      </c>
      <c r="R484">
        <v>0.39</v>
      </c>
      <c r="S484" s="1">
        <v>40061</v>
      </c>
      <c r="T484" t="str">
        <f t="shared" si="15"/>
        <v>05-Sep-2009</v>
      </c>
    </row>
    <row r="485" spans="1:20" x14ac:dyDescent="0.3">
      <c r="A485">
        <v>33377</v>
      </c>
      <c r="B485" s="1">
        <v>40755</v>
      </c>
      <c r="C485" t="s">
        <v>23</v>
      </c>
      <c r="D485" t="str">
        <f t="shared" si="14"/>
        <v>31-Jul-2011</v>
      </c>
      <c r="E485">
        <v>19</v>
      </c>
      <c r="F485" s="13">
        <v>327.14999999999998</v>
      </c>
      <c r="G485">
        <v>0.04</v>
      </c>
      <c r="H485" t="s">
        <v>19</v>
      </c>
      <c r="I485" s="13">
        <v>47.3</v>
      </c>
      <c r="J485">
        <v>17.239999999999998</v>
      </c>
      <c r="K485">
        <v>3.26</v>
      </c>
      <c r="L485" t="s">
        <v>62</v>
      </c>
      <c r="M485" t="s">
        <v>69</v>
      </c>
      <c r="N485" s="5" t="s">
        <v>69</v>
      </c>
      <c r="O485" t="s">
        <v>28</v>
      </c>
      <c r="P485" t="s">
        <v>21</v>
      </c>
      <c r="Q485" t="s">
        <v>67</v>
      </c>
      <c r="R485">
        <v>0.56000000000000005</v>
      </c>
      <c r="S485" s="1">
        <v>40756</v>
      </c>
      <c r="T485" t="str">
        <f t="shared" si="15"/>
        <v>01-Aug-2011</v>
      </c>
    </row>
    <row r="486" spans="1:20" x14ac:dyDescent="0.3">
      <c r="A486">
        <v>42209</v>
      </c>
      <c r="B486" s="1">
        <v>40266</v>
      </c>
      <c r="C486" t="s">
        <v>23</v>
      </c>
      <c r="D486" t="str">
        <f t="shared" si="14"/>
        <v>29-Mar-2010</v>
      </c>
      <c r="E486">
        <v>5</v>
      </c>
      <c r="F486" s="13">
        <v>324.55</v>
      </c>
      <c r="G486">
        <v>0.08</v>
      </c>
      <c r="H486" t="s">
        <v>19</v>
      </c>
      <c r="I486" s="13">
        <v>-12.82</v>
      </c>
      <c r="J486">
        <v>67.84</v>
      </c>
      <c r="K486">
        <v>0.99</v>
      </c>
      <c r="L486" t="s">
        <v>53</v>
      </c>
      <c r="M486" t="s">
        <v>69</v>
      </c>
      <c r="N486" s="5" t="s">
        <v>69</v>
      </c>
      <c r="O486" t="s">
        <v>28</v>
      </c>
      <c r="P486" t="s">
        <v>21</v>
      </c>
      <c r="Q486" t="s">
        <v>25</v>
      </c>
      <c r="R486">
        <v>0.57999999999999996</v>
      </c>
      <c r="S486" s="1">
        <v>40266</v>
      </c>
      <c r="T486" t="str">
        <f t="shared" si="15"/>
        <v>29-Mar-2010</v>
      </c>
    </row>
    <row r="487" spans="1:20" x14ac:dyDescent="0.3">
      <c r="A487">
        <v>15937</v>
      </c>
      <c r="B487" s="1">
        <v>41219</v>
      </c>
      <c r="C487" t="s">
        <v>18</v>
      </c>
      <c r="D487" t="str">
        <f t="shared" si="14"/>
        <v>06-Nov-2012</v>
      </c>
      <c r="E487">
        <v>32</v>
      </c>
      <c r="F487" s="13">
        <v>311.44</v>
      </c>
      <c r="G487">
        <v>0.04</v>
      </c>
      <c r="H487" t="s">
        <v>19</v>
      </c>
      <c r="I487" s="13">
        <v>74.069999999999993</v>
      </c>
      <c r="J487">
        <v>9.7799999999999994</v>
      </c>
      <c r="K487">
        <v>1.99</v>
      </c>
      <c r="L487" t="s">
        <v>36</v>
      </c>
      <c r="M487" t="s">
        <v>69</v>
      </c>
      <c r="N487" s="5" t="s">
        <v>69</v>
      </c>
      <c r="O487" t="s">
        <v>28</v>
      </c>
      <c r="P487" t="s">
        <v>29</v>
      </c>
      <c r="Q487" t="s">
        <v>41</v>
      </c>
      <c r="R487">
        <v>0.43</v>
      </c>
      <c r="S487" s="1">
        <v>41223</v>
      </c>
      <c r="T487" t="str">
        <f t="shared" si="15"/>
        <v>10-Nov-2012</v>
      </c>
    </row>
    <row r="488" spans="1:20" x14ac:dyDescent="0.3">
      <c r="A488">
        <v>10789</v>
      </c>
      <c r="B488" s="1">
        <v>40413</v>
      </c>
      <c r="C488" t="s">
        <v>31</v>
      </c>
      <c r="D488" t="str">
        <f t="shared" si="14"/>
        <v>23-Aug-2010</v>
      </c>
      <c r="E488">
        <v>15</v>
      </c>
      <c r="F488" s="13">
        <v>308.54000000000002</v>
      </c>
      <c r="G488">
        <v>0</v>
      </c>
      <c r="H488" t="s">
        <v>35</v>
      </c>
      <c r="I488" s="13">
        <v>76.42</v>
      </c>
      <c r="J488">
        <v>19.84</v>
      </c>
      <c r="K488">
        <v>4.0999999999999996</v>
      </c>
      <c r="L488" t="s">
        <v>72</v>
      </c>
      <c r="M488" t="s">
        <v>69</v>
      </c>
      <c r="N488" s="5" t="s">
        <v>69</v>
      </c>
      <c r="O488" t="s">
        <v>28</v>
      </c>
      <c r="P488" t="s">
        <v>21</v>
      </c>
      <c r="Q488" t="s">
        <v>50</v>
      </c>
      <c r="R488">
        <v>0.44</v>
      </c>
      <c r="S488" s="1">
        <v>40414</v>
      </c>
      <c r="T488" t="str">
        <f t="shared" si="15"/>
        <v>24-Aug-2010</v>
      </c>
    </row>
    <row r="489" spans="1:20" x14ac:dyDescent="0.3">
      <c r="A489">
        <v>21285</v>
      </c>
      <c r="B489" s="1">
        <v>40362</v>
      </c>
      <c r="C489" t="s">
        <v>38</v>
      </c>
      <c r="D489" t="str">
        <f t="shared" si="14"/>
        <v>03-Jul-2010</v>
      </c>
      <c r="E489">
        <v>47</v>
      </c>
      <c r="F489" s="13">
        <v>304.83</v>
      </c>
      <c r="G489">
        <v>0.1</v>
      </c>
      <c r="H489" t="s">
        <v>19</v>
      </c>
      <c r="I489" s="13">
        <v>23.82</v>
      </c>
      <c r="J489">
        <v>7.08</v>
      </c>
      <c r="K489">
        <v>2.35</v>
      </c>
      <c r="L489" t="s">
        <v>68</v>
      </c>
      <c r="M489" t="s">
        <v>69</v>
      </c>
      <c r="N489" s="5" t="s">
        <v>69</v>
      </c>
      <c r="O489" t="s">
        <v>28</v>
      </c>
      <c r="P489" t="s">
        <v>21</v>
      </c>
      <c r="Q489" t="s">
        <v>50</v>
      </c>
      <c r="R489">
        <v>0.47</v>
      </c>
      <c r="S489" s="1">
        <v>40364</v>
      </c>
      <c r="T489" t="str">
        <f t="shared" si="15"/>
        <v>05-Jul-2010</v>
      </c>
    </row>
    <row r="490" spans="1:20" x14ac:dyDescent="0.3">
      <c r="A490">
        <v>47620</v>
      </c>
      <c r="B490" s="1">
        <v>41086</v>
      </c>
      <c r="C490" t="s">
        <v>18</v>
      </c>
      <c r="D490" t="str">
        <f t="shared" si="14"/>
        <v>26-Jun-2012</v>
      </c>
      <c r="E490">
        <v>27</v>
      </c>
      <c r="F490" s="13">
        <v>302.2</v>
      </c>
      <c r="G490">
        <v>0.04</v>
      </c>
      <c r="H490" t="s">
        <v>19</v>
      </c>
      <c r="I490" s="13">
        <v>20.27</v>
      </c>
      <c r="J490">
        <v>10.98</v>
      </c>
      <c r="K490">
        <v>3.37</v>
      </c>
      <c r="L490" t="s">
        <v>79</v>
      </c>
      <c r="M490" t="s">
        <v>69</v>
      </c>
      <c r="N490" s="5" t="s">
        <v>69</v>
      </c>
      <c r="O490" t="s">
        <v>28</v>
      </c>
      <c r="P490" t="s">
        <v>21</v>
      </c>
      <c r="Q490" t="s">
        <v>67</v>
      </c>
      <c r="R490">
        <v>0.56999999999999995</v>
      </c>
      <c r="S490" s="1">
        <v>41095</v>
      </c>
      <c r="T490" t="str">
        <f t="shared" si="15"/>
        <v>05-Jul-2012</v>
      </c>
    </row>
    <row r="491" spans="1:20" x14ac:dyDescent="0.3">
      <c r="A491">
        <v>16193</v>
      </c>
      <c r="B491" s="1">
        <v>41008</v>
      </c>
      <c r="C491" t="s">
        <v>31</v>
      </c>
      <c r="D491" t="str">
        <f t="shared" si="14"/>
        <v>09-Apr-2012</v>
      </c>
      <c r="E491">
        <v>8</v>
      </c>
      <c r="F491" s="13">
        <v>300.2</v>
      </c>
      <c r="G491">
        <v>0</v>
      </c>
      <c r="H491" t="s">
        <v>19</v>
      </c>
      <c r="I491" s="13">
        <v>6.41</v>
      </c>
      <c r="J491">
        <v>34.76</v>
      </c>
      <c r="K491">
        <v>8.2200000000000006</v>
      </c>
      <c r="L491" t="s">
        <v>63</v>
      </c>
      <c r="M491" t="s">
        <v>69</v>
      </c>
      <c r="N491" s="5" t="s">
        <v>69</v>
      </c>
      <c r="O491" t="s">
        <v>28</v>
      </c>
      <c r="P491" t="s">
        <v>21</v>
      </c>
      <c r="Q491" t="s">
        <v>22</v>
      </c>
      <c r="R491">
        <v>0.56999999999999995</v>
      </c>
      <c r="S491" s="1">
        <v>41010</v>
      </c>
      <c r="T491" t="str">
        <f t="shared" si="15"/>
        <v>11-Apr-2012</v>
      </c>
    </row>
    <row r="492" spans="1:20" x14ac:dyDescent="0.3">
      <c r="A492">
        <v>43109</v>
      </c>
      <c r="B492" s="1">
        <v>41264</v>
      </c>
      <c r="C492" t="s">
        <v>43</v>
      </c>
      <c r="D492" t="str">
        <f t="shared" si="14"/>
        <v>21-Dec-2012</v>
      </c>
      <c r="E492">
        <v>19</v>
      </c>
      <c r="F492" s="13">
        <v>281.83999999999997</v>
      </c>
      <c r="G492">
        <v>0.06</v>
      </c>
      <c r="H492" t="s">
        <v>19</v>
      </c>
      <c r="I492" s="13">
        <v>-21.85</v>
      </c>
      <c r="J492">
        <v>15.01</v>
      </c>
      <c r="K492">
        <v>8.4</v>
      </c>
      <c r="L492" t="s">
        <v>59</v>
      </c>
      <c r="M492" t="s">
        <v>69</v>
      </c>
      <c r="N492" s="5" t="s">
        <v>69</v>
      </c>
      <c r="O492" t="s">
        <v>28</v>
      </c>
      <c r="P492" t="s">
        <v>21</v>
      </c>
      <c r="Q492" t="s">
        <v>26</v>
      </c>
      <c r="R492">
        <v>0.39</v>
      </c>
      <c r="S492" s="1">
        <v>41265</v>
      </c>
      <c r="T492" t="str">
        <f t="shared" si="15"/>
        <v>22-Dec-2012</v>
      </c>
    </row>
    <row r="493" spans="1:20" x14ac:dyDescent="0.3">
      <c r="A493">
        <v>22469</v>
      </c>
      <c r="B493" s="1">
        <v>40462</v>
      </c>
      <c r="C493" t="s">
        <v>23</v>
      </c>
      <c r="D493" t="str">
        <f t="shared" si="14"/>
        <v>11-Oct-2010</v>
      </c>
      <c r="E493">
        <v>44</v>
      </c>
      <c r="F493" s="13">
        <v>275.91000000000003</v>
      </c>
      <c r="G493">
        <v>0.1</v>
      </c>
      <c r="H493" t="s">
        <v>19</v>
      </c>
      <c r="I493" s="13">
        <v>-162.37</v>
      </c>
      <c r="J493">
        <v>7.99</v>
      </c>
      <c r="K493">
        <v>5.03</v>
      </c>
      <c r="L493" t="s">
        <v>77</v>
      </c>
      <c r="M493" t="s">
        <v>69</v>
      </c>
      <c r="N493" s="5" t="s">
        <v>69</v>
      </c>
      <c r="O493" t="s">
        <v>28</v>
      </c>
      <c r="P493" t="s">
        <v>29</v>
      </c>
      <c r="Q493" t="s">
        <v>30</v>
      </c>
      <c r="R493">
        <v>0.6</v>
      </c>
      <c r="S493" s="1">
        <v>40464</v>
      </c>
      <c r="T493" t="str">
        <f t="shared" si="15"/>
        <v>13-Oct-2010</v>
      </c>
    </row>
    <row r="494" spans="1:20" x14ac:dyDescent="0.3">
      <c r="A494">
        <v>24128</v>
      </c>
      <c r="B494" s="1">
        <v>40505</v>
      </c>
      <c r="C494" t="s">
        <v>23</v>
      </c>
      <c r="D494" t="str">
        <f t="shared" si="14"/>
        <v>23-Nov-2010</v>
      </c>
      <c r="E494">
        <v>13</v>
      </c>
      <c r="F494" s="13">
        <v>270.63</v>
      </c>
      <c r="G494">
        <v>0.1</v>
      </c>
      <c r="H494" t="s">
        <v>19</v>
      </c>
      <c r="I494" s="13">
        <v>7.07</v>
      </c>
      <c r="J494">
        <v>21.98</v>
      </c>
      <c r="K494">
        <v>8.32</v>
      </c>
      <c r="L494" t="s">
        <v>57</v>
      </c>
      <c r="M494" t="s">
        <v>69</v>
      </c>
      <c r="N494" s="5" t="s">
        <v>69</v>
      </c>
      <c r="O494" t="s">
        <v>28</v>
      </c>
      <c r="P494" t="s">
        <v>21</v>
      </c>
      <c r="Q494" t="s">
        <v>37</v>
      </c>
      <c r="R494">
        <v>0.39</v>
      </c>
      <c r="S494" s="1">
        <v>40507</v>
      </c>
      <c r="T494" t="str">
        <f t="shared" si="15"/>
        <v>25-Nov-2010</v>
      </c>
    </row>
    <row r="495" spans="1:20" x14ac:dyDescent="0.3">
      <c r="A495">
        <v>13346</v>
      </c>
      <c r="B495" s="1">
        <v>41228</v>
      </c>
      <c r="C495" t="s">
        <v>18</v>
      </c>
      <c r="D495" t="str">
        <f t="shared" si="14"/>
        <v>15-Nov-2012</v>
      </c>
      <c r="E495">
        <v>44</v>
      </c>
      <c r="F495" s="13">
        <v>268.33999999999997</v>
      </c>
      <c r="G495">
        <v>0.09</v>
      </c>
      <c r="H495" t="s">
        <v>19</v>
      </c>
      <c r="I495" s="13">
        <v>-240.83</v>
      </c>
      <c r="J495">
        <v>6.48</v>
      </c>
      <c r="K495">
        <v>8.8800000000000008</v>
      </c>
      <c r="L495" t="s">
        <v>71</v>
      </c>
      <c r="M495" t="s">
        <v>69</v>
      </c>
      <c r="N495" s="5" t="s">
        <v>69</v>
      </c>
      <c r="O495" t="s">
        <v>28</v>
      </c>
      <c r="P495" t="s">
        <v>21</v>
      </c>
      <c r="Q495" t="s">
        <v>37</v>
      </c>
      <c r="R495">
        <v>0.37</v>
      </c>
      <c r="S495" s="1">
        <v>41233</v>
      </c>
      <c r="T495" t="str">
        <f t="shared" si="15"/>
        <v>20-Nov-2012</v>
      </c>
    </row>
    <row r="496" spans="1:20" x14ac:dyDescent="0.3">
      <c r="A496">
        <v>25767</v>
      </c>
      <c r="B496" s="1">
        <v>40971</v>
      </c>
      <c r="C496" t="s">
        <v>23</v>
      </c>
      <c r="D496" t="str">
        <f t="shared" si="14"/>
        <v>03-Mar-2012</v>
      </c>
      <c r="E496">
        <v>7</v>
      </c>
      <c r="F496" s="13">
        <v>261.88</v>
      </c>
      <c r="G496">
        <v>0.08</v>
      </c>
      <c r="H496" t="s">
        <v>19</v>
      </c>
      <c r="I496" s="13">
        <v>-59.2</v>
      </c>
      <c r="J496">
        <v>39.479999999999997</v>
      </c>
      <c r="K496">
        <v>1.99</v>
      </c>
      <c r="L496" t="s">
        <v>65</v>
      </c>
      <c r="M496" t="s">
        <v>69</v>
      </c>
      <c r="N496" s="5" t="s">
        <v>69</v>
      </c>
      <c r="O496" t="s">
        <v>28</v>
      </c>
      <c r="P496" t="s">
        <v>29</v>
      </c>
      <c r="Q496" t="s">
        <v>41</v>
      </c>
      <c r="R496">
        <v>0.54</v>
      </c>
      <c r="S496" s="1">
        <v>40971</v>
      </c>
      <c r="T496" t="str">
        <f t="shared" si="15"/>
        <v>03-Mar-2012</v>
      </c>
    </row>
    <row r="497" spans="1:20" x14ac:dyDescent="0.3">
      <c r="A497">
        <v>19078</v>
      </c>
      <c r="B497" s="1">
        <v>40021</v>
      </c>
      <c r="C497" t="s">
        <v>43</v>
      </c>
      <c r="D497" t="str">
        <f t="shared" si="14"/>
        <v>27-Jul-2009</v>
      </c>
      <c r="E497">
        <v>21</v>
      </c>
      <c r="F497" s="13">
        <v>256.12</v>
      </c>
      <c r="G497">
        <v>0.03</v>
      </c>
      <c r="H497" t="s">
        <v>19</v>
      </c>
      <c r="I497" s="13">
        <v>-18.190000000000001</v>
      </c>
      <c r="J497">
        <v>11.97</v>
      </c>
      <c r="K497">
        <v>4.9800000000000004</v>
      </c>
      <c r="L497" t="s">
        <v>73</v>
      </c>
      <c r="M497" t="s">
        <v>69</v>
      </c>
      <c r="N497" s="5" t="s">
        <v>69</v>
      </c>
      <c r="O497" t="s">
        <v>28</v>
      </c>
      <c r="P497" t="s">
        <v>21</v>
      </c>
      <c r="Q497" t="s">
        <v>25</v>
      </c>
      <c r="R497">
        <v>0.57999999999999996</v>
      </c>
      <c r="S497" s="1">
        <v>40022</v>
      </c>
      <c r="T497" t="str">
        <f t="shared" si="15"/>
        <v>28-Jul-2009</v>
      </c>
    </row>
    <row r="498" spans="1:20" x14ac:dyDescent="0.3">
      <c r="A498">
        <v>16451</v>
      </c>
      <c r="B498" s="1">
        <v>40016</v>
      </c>
      <c r="C498" t="s">
        <v>31</v>
      </c>
      <c r="D498" t="str">
        <f t="shared" si="14"/>
        <v>22-Jul-2009</v>
      </c>
      <c r="E498">
        <v>9</v>
      </c>
      <c r="F498" s="13">
        <v>252.79</v>
      </c>
      <c r="G498">
        <v>0.09</v>
      </c>
      <c r="H498" t="s">
        <v>19</v>
      </c>
      <c r="I498" s="13">
        <v>58.23</v>
      </c>
      <c r="J498">
        <v>30.56</v>
      </c>
      <c r="K498">
        <v>2.99</v>
      </c>
      <c r="L498" t="s">
        <v>61</v>
      </c>
      <c r="M498" t="s">
        <v>69</v>
      </c>
      <c r="N498" s="5" t="s">
        <v>69</v>
      </c>
      <c r="O498" t="s">
        <v>28</v>
      </c>
      <c r="P498" t="s">
        <v>21</v>
      </c>
      <c r="Q498" t="s">
        <v>26</v>
      </c>
      <c r="R498">
        <v>0.35</v>
      </c>
      <c r="S498" s="1">
        <v>40017</v>
      </c>
      <c r="T498" t="str">
        <f t="shared" si="15"/>
        <v>23-Jul-2009</v>
      </c>
    </row>
    <row r="499" spans="1:20" x14ac:dyDescent="0.3">
      <c r="A499">
        <v>31781</v>
      </c>
      <c r="B499" s="1">
        <v>39829</v>
      </c>
      <c r="C499" t="s">
        <v>38</v>
      </c>
      <c r="D499" t="str">
        <f t="shared" si="14"/>
        <v>16-Jan-2009</v>
      </c>
      <c r="E499">
        <v>46</v>
      </c>
      <c r="F499" s="13">
        <v>249.02</v>
      </c>
      <c r="G499">
        <v>0.1</v>
      </c>
      <c r="H499" t="s">
        <v>19</v>
      </c>
      <c r="I499" s="13">
        <v>-282.61</v>
      </c>
      <c r="J499">
        <v>5.81</v>
      </c>
      <c r="K499">
        <v>8.49</v>
      </c>
      <c r="L499" t="s">
        <v>44</v>
      </c>
      <c r="M499" t="s">
        <v>69</v>
      </c>
      <c r="N499" s="5" t="s">
        <v>69</v>
      </c>
      <c r="O499" t="s">
        <v>28</v>
      </c>
      <c r="P499" t="s">
        <v>21</v>
      </c>
      <c r="Q499" t="s">
        <v>26</v>
      </c>
      <c r="R499">
        <v>0.39</v>
      </c>
      <c r="S499" s="1">
        <v>39830</v>
      </c>
      <c r="T499" t="str">
        <f t="shared" si="15"/>
        <v>17-Jan-2009</v>
      </c>
    </row>
    <row r="500" spans="1:20" x14ac:dyDescent="0.3">
      <c r="A500">
        <v>33703</v>
      </c>
      <c r="B500" s="1">
        <v>40215</v>
      </c>
      <c r="C500" t="s">
        <v>31</v>
      </c>
      <c r="D500" t="str">
        <f t="shared" si="14"/>
        <v>06-Feb-2010</v>
      </c>
      <c r="E500">
        <v>4</v>
      </c>
      <c r="F500" s="13">
        <v>242.36</v>
      </c>
      <c r="G500">
        <v>0.08</v>
      </c>
      <c r="H500" t="s">
        <v>19</v>
      </c>
      <c r="I500" s="13">
        <v>-131.47999999999999</v>
      </c>
      <c r="J500">
        <v>60.98</v>
      </c>
      <c r="K500">
        <v>1.99</v>
      </c>
      <c r="L500" t="s">
        <v>49</v>
      </c>
      <c r="M500" t="s">
        <v>69</v>
      </c>
      <c r="N500" s="5" t="s">
        <v>69</v>
      </c>
      <c r="O500" t="s">
        <v>28</v>
      </c>
      <c r="P500" t="s">
        <v>29</v>
      </c>
      <c r="Q500" t="s">
        <v>41</v>
      </c>
      <c r="R500">
        <v>0.5</v>
      </c>
      <c r="S500" s="1">
        <v>40216</v>
      </c>
      <c r="T500" t="str">
        <f t="shared" si="15"/>
        <v>07-Feb-2010</v>
      </c>
    </row>
    <row r="501" spans="1:20" x14ac:dyDescent="0.3">
      <c r="A501">
        <v>18144</v>
      </c>
      <c r="B501" s="1">
        <v>40701</v>
      </c>
      <c r="C501" t="s">
        <v>43</v>
      </c>
      <c r="D501" t="str">
        <f t="shared" si="14"/>
        <v>07-Jun-2011</v>
      </c>
      <c r="E501">
        <v>8</v>
      </c>
      <c r="F501" s="13">
        <v>234.28</v>
      </c>
      <c r="G501">
        <v>0.09</v>
      </c>
      <c r="H501" t="s">
        <v>19</v>
      </c>
      <c r="I501" s="13">
        <v>-65.42</v>
      </c>
      <c r="J501">
        <v>28.28</v>
      </c>
      <c r="K501">
        <v>13.99</v>
      </c>
      <c r="L501" t="s">
        <v>59</v>
      </c>
      <c r="M501" t="s">
        <v>69</v>
      </c>
      <c r="N501" s="5" t="s">
        <v>69</v>
      </c>
      <c r="O501" t="s">
        <v>28</v>
      </c>
      <c r="P501" t="s">
        <v>21</v>
      </c>
      <c r="Q501" t="s">
        <v>22</v>
      </c>
      <c r="R501">
        <v>0.57999999999999996</v>
      </c>
      <c r="S501" s="1">
        <v>40703</v>
      </c>
      <c r="T501" t="str">
        <f t="shared" si="15"/>
        <v>09-Jun-2011</v>
      </c>
    </row>
    <row r="502" spans="1:20" x14ac:dyDescent="0.3">
      <c r="A502">
        <v>27778</v>
      </c>
      <c r="B502" s="1">
        <v>40788</v>
      </c>
      <c r="C502" t="s">
        <v>43</v>
      </c>
      <c r="D502" t="str">
        <f t="shared" si="14"/>
        <v>02-Sep-2011</v>
      </c>
      <c r="E502">
        <v>1</v>
      </c>
      <c r="F502" s="13">
        <v>232.67</v>
      </c>
      <c r="G502">
        <v>0.02</v>
      </c>
      <c r="H502" t="s">
        <v>19</v>
      </c>
      <c r="I502" s="13">
        <v>-105.14</v>
      </c>
      <c r="J502">
        <v>223.98</v>
      </c>
      <c r="K502">
        <v>15.01</v>
      </c>
      <c r="L502" t="s">
        <v>80</v>
      </c>
      <c r="M502" t="s">
        <v>69</v>
      </c>
      <c r="N502" s="5" t="s">
        <v>69</v>
      </c>
      <c r="O502" t="s">
        <v>28</v>
      </c>
      <c r="P502" t="s">
        <v>21</v>
      </c>
      <c r="Q502" t="s">
        <v>26</v>
      </c>
      <c r="R502">
        <v>0.38</v>
      </c>
      <c r="S502" s="1">
        <v>40790</v>
      </c>
      <c r="T502" t="str">
        <f t="shared" si="15"/>
        <v>04-Sep-2011</v>
      </c>
    </row>
    <row r="503" spans="1:20" x14ac:dyDescent="0.3">
      <c r="A503">
        <v>33894</v>
      </c>
      <c r="B503" s="1">
        <v>40343</v>
      </c>
      <c r="C503" t="s">
        <v>43</v>
      </c>
      <c r="D503" t="str">
        <f t="shared" si="14"/>
        <v>14-Jun-2010</v>
      </c>
      <c r="E503">
        <v>48</v>
      </c>
      <c r="F503" s="13">
        <v>226.5</v>
      </c>
      <c r="G503">
        <v>0.09</v>
      </c>
      <c r="H503" t="s">
        <v>19</v>
      </c>
      <c r="I503" s="13">
        <v>-173.15</v>
      </c>
      <c r="J503">
        <v>4.9800000000000004</v>
      </c>
      <c r="K503">
        <v>4.62</v>
      </c>
      <c r="L503" t="s">
        <v>71</v>
      </c>
      <c r="M503" t="s">
        <v>69</v>
      </c>
      <c r="N503" s="5" t="s">
        <v>69</v>
      </c>
      <c r="O503" t="s">
        <v>28</v>
      </c>
      <c r="P503" t="s">
        <v>29</v>
      </c>
      <c r="Q503" t="s">
        <v>41</v>
      </c>
      <c r="R503">
        <v>0.64</v>
      </c>
      <c r="S503" s="1">
        <v>40345</v>
      </c>
      <c r="T503" t="str">
        <f t="shared" si="15"/>
        <v>16-Jun-2010</v>
      </c>
    </row>
    <row r="504" spans="1:20" x14ac:dyDescent="0.3">
      <c r="A504">
        <v>44519</v>
      </c>
      <c r="B504" s="1">
        <v>40317</v>
      </c>
      <c r="C504" t="s">
        <v>23</v>
      </c>
      <c r="D504" t="str">
        <f t="shared" si="14"/>
        <v>19-May-2010</v>
      </c>
      <c r="E504">
        <v>48</v>
      </c>
      <c r="F504" s="13">
        <v>224.58</v>
      </c>
      <c r="G504">
        <v>0.03</v>
      </c>
      <c r="H504" t="s">
        <v>19</v>
      </c>
      <c r="I504" s="13">
        <v>-144.76</v>
      </c>
      <c r="J504">
        <v>4.57</v>
      </c>
      <c r="K504">
        <v>5.42</v>
      </c>
      <c r="L504" t="s">
        <v>59</v>
      </c>
      <c r="M504" t="s">
        <v>69</v>
      </c>
      <c r="N504" s="5" t="s">
        <v>69</v>
      </c>
      <c r="O504" t="s">
        <v>28</v>
      </c>
      <c r="P504" t="s">
        <v>21</v>
      </c>
      <c r="Q504" t="s">
        <v>26</v>
      </c>
      <c r="R504">
        <v>0.37</v>
      </c>
      <c r="S504" s="1">
        <v>40318</v>
      </c>
      <c r="T504" t="str">
        <f t="shared" si="15"/>
        <v>20-May-2010</v>
      </c>
    </row>
    <row r="505" spans="1:20" x14ac:dyDescent="0.3">
      <c r="A505">
        <v>37793</v>
      </c>
      <c r="B505" s="1">
        <v>40125</v>
      </c>
      <c r="C505" t="s">
        <v>31</v>
      </c>
      <c r="D505" t="str">
        <f t="shared" si="14"/>
        <v>08-Nov-2009</v>
      </c>
      <c r="E505">
        <v>16</v>
      </c>
      <c r="F505" s="13">
        <v>224.47</v>
      </c>
      <c r="G505">
        <v>0.08</v>
      </c>
      <c r="H505" t="s">
        <v>19</v>
      </c>
      <c r="I505" s="13">
        <v>-49.31</v>
      </c>
      <c r="J505">
        <v>13.9</v>
      </c>
      <c r="K505">
        <v>7.59</v>
      </c>
      <c r="L505" t="s">
        <v>59</v>
      </c>
      <c r="M505" t="s">
        <v>69</v>
      </c>
      <c r="N505" s="5" t="s">
        <v>69</v>
      </c>
      <c r="O505" t="s">
        <v>28</v>
      </c>
      <c r="P505" t="s">
        <v>21</v>
      </c>
      <c r="Q505" t="s">
        <v>67</v>
      </c>
      <c r="R505">
        <v>0.56000000000000005</v>
      </c>
      <c r="S505" s="1">
        <v>40126</v>
      </c>
      <c r="T505" t="str">
        <f t="shared" si="15"/>
        <v>09-Nov-2009</v>
      </c>
    </row>
    <row r="506" spans="1:20" x14ac:dyDescent="0.3">
      <c r="A506">
        <v>31111</v>
      </c>
      <c r="B506" s="1">
        <v>40049</v>
      </c>
      <c r="C506" t="s">
        <v>31</v>
      </c>
      <c r="D506" t="str">
        <f t="shared" si="14"/>
        <v>24-Aug-2009</v>
      </c>
      <c r="E506">
        <v>27</v>
      </c>
      <c r="F506" s="13">
        <v>217.93</v>
      </c>
      <c r="G506">
        <v>0.03</v>
      </c>
      <c r="H506" t="s">
        <v>19</v>
      </c>
      <c r="I506" s="13">
        <v>-29.02</v>
      </c>
      <c r="J506">
        <v>7.64</v>
      </c>
      <c r="K506">
        <v>5.83</v>
      </c>
      <c r="L506" t="s">
        <v>36</v>
      </c>
      <c r="M506" t="s">
        <v>69</v>
      </c>
      <c r="N506" s="5" t="s">
        <v>69</v>
      </c>
      <c r="O506" t="s">
        <v>28</v>
      </c>
      <c r="P506" t="s">
        <v>21</v>
      </c>
      <c r="Q506" t="s">
        <v>37</v>
      </c>
      <c r="R506">
        <v>0.36</v>
      </c>
      <c r="S506" s="1">
        <v>40051</v>
      </c>
      <c r="T506" t="str">
        <f t="shared" si="15"/>
        <v>26-Aug-2009</v>
      </c>
    </row>
    <row r="507" spans="1:20" x14ac:dyDescent="0.3">
      <c r="A507">
        <v>35266</v>
      </c>
      <c r="B507" s="1">
        <v>40553</v>
      </c>
      <c r="C507" t="s">
        <v>31</v>
      </c>
      <c r="D507" t="str">
        <f t="shared" si="14"/>
        <v>10-Jan-2011</v>
      </c>
      <c r="E507">
        <v>39</v>
      </c>
      <c r="F507" s="13">
        <v>217.25</v>
      </c>
      <c r="G507">
        <v>7.0000000000000007E-2</v>
      </c>
      <c r="H507" t="s">
        <v>19</v>
      </c>
      <c r="I507" s="13">
        <v>33.5</v>
      </c>
      <c r="J507">
        <v>5.84</v>
      </c>
      <c r="K507">
        <v>1.2</v>
      </c>
      <c r="L507" t="s">
        <v>62</v>
      </c>
      <c r="M507" t="s">
        <v>69</v>
      </c>
      <c r="N507" s="5" t="s">
        <v>69</v>
      </c>
      <c r="O507" t="s">
        <v>28</v>
      </c>
      <c r="P507" t="s">
        <v>21</v>
      </c>
      <c r="Q507" t="s">
        <v>50</v>
      </c>
      <c r="R507">
        <v>0.55000000000000004</v>
      </c>
      <c r="S507" s="1">
        <v>40553</v>
      </c>
      <c r="T507" t="str">
        <f t="shared" si="15"/>
        <v>10-Jan-2011</v>
      </c>
    </row>
    <row r="508" spans="1:20" x14ac:dyDescent="0.3">
      <c r="A508">
        <v>46980</v>
      </c>
      <c r="B508" s="1">
        <v>40560</v>
      </c>
      <c r="C508" t="s">
        <v>43</v>
      </c>
      <c r="D508" t="str">
        <f t="shared" si="14"/>
        <v>17-Jan-2011</v>
      </c>
      <c r="E508">
        <v>34</v>
      </c>
      <c r="F508" s="13">
        <v>216.3</v>
      </c>
      <c r="G508">
        <v>0.01</v>
      </c>
      <c r="H508" t="s">
        <v>19</v>
      </c>
      <c r="I508" s="13">
        <v>103.16</v>
      </c>
      <c r="J508">
        <v>6.3</v>
      </c>
      <c r="K508">
        <v>0.5</v>
      </c>
      <c r="L508" t="s">
        <v>36</v>
      </c>
      <c r="M508" t="s">
        <v>69</v>
      </c>
      <c r="N508" s="5" t="s">
        <v>69</v>
      </c>
      <c r="O508" t="s">
        <v>28</v>
      </c>
      <c r="P508" t="s">
        <v>21</v>
      </c>
      <c r="Q508" t="s">
        <v>48</v>
      </c>
      <c r="R508">
        <v>0.39</v>
      </c>
      <c r="S508" s="1">
        <v>40560</v>
      </c>
      <c r="T508" t="str">
        <f t="shared" si="15"/>
        <v>17-Jan-2011</v>
      </c>
    </row>
    <row r="509" spans="1:20" x14ac:dyDescent="0.3">
      <c r="A509">
        <v>15937</v>
      </c>
      <c r="B509" s="1">
        <v>41219</v>
      </c>
      <c r="C509" t="s">
        <v>18</v>
      </c>
      <c r="D509" t="str">
        <f t="shared" si="14"/>
        <v>06-Nov-2012</v>
      </c>
      <c r="E509">
        <v>17</v>
      </c>
      <c r="F509" s="13">
        <v>215.65</v>
      </c>
      <c r="G509">
        <v>0.01</v>
      </c>
      <c r="H509" t="s">
        <v>35</v>
      </c>
      <c r="I509" s="13">
        <v>77.38</v>
      </c>
      <c r="J509">
        <v>12.22</v>
      </c>
      <c r="K509">
        <v>2.85</v>
      </c>
      <c r="L509" t="s">
        <v>36</v>
      </c>
      <c r="M509" t="s">
        <v>69</v>
      </c>
      <c r="N509" s="5" t="s">
        <v>69</v>
      </c>
      <c r="O509" t="s">
        <v>28</v>
      </c>
      <c r="P509" t="s">
        <v>32</v>
      </c>
      <c r="Q509" t="s">
        <v>33</v>
      </c>
      <c r="R509">
        <v>0.55000000000000004</v>
      </c>
      <c r="S509" s="1">
        <v>41228</v>
      </c>
      <c r="T509" t="str">
        <f t="shared" si="15"/>
        <v>15-Nov-2012</v>
      </c>
    </row>
    <row r="510" spans="1:20" x14ac:dyDescent="0.3">
      <c r="A510">
        <v>18144</v>
      </c>
      <c r="B510" s="1">
        <v>40701</v>
      </c>
      <c r="C510" t="s">
        <v>43</v>
      </c>
      <c r="D510" t="str">
        <f t="shared" si="14"/>
        <v>07-Jun-2011</v>
      </c>
      <c r="E510">
        <v>48</v>
      </c>
      <c r="F510" s="13">
        <v>207.08</v>
      </c>
      <c r="G510">
        <v>0.09</v>
      </c>
      <c r="H510" t="s">
        <v>19</v>
      </c>
      <c r="I510" s="13">
        <v>-131.82</v>
      </c>
      <c r="J510">
        <v>4.28</v>
      </c>
      <c r="K510">
        <v>5.17</v>
      </c>
      <c r="L510" t="s">
        <v>59</v>
      </c>
      <c r="M510" t="s">
        <v>69</v>
      </c>
      <c r="N510" s="5" t="s">
        <v>69</v>
      </c>
      <c r="O510" t="s">
        <v>28</v>
      </c>
      <c r="P510" t="s">
        <v>21</v>
      </c>
      <c r="Q510" t="s">
        <v>37</v>
      </c>
      <c r="R510">
        <v>0.4</v>
      </c>
      <c r="S510" s="1">
        <v>40703</v>
      </c>
      <c r="T510" t="str">
        <f t="shared" si="15"/>
        <v>09-Jun-2011</v>
      </c>
    </row>
    <row r="511" spans="1:20" x14ac:dyDescent="0.3">
      <c r="A511">
        <v>43236</v>
      </c>
      <c r="B511" s="1">
        <v>40362</v>
      </c>
      <c r="C511" t="s">
        <v>31</v>
      </c>
      <c r="D511" t="str">
        <f t="shared" si="14"/>
        <v>03-Jul-2010</v>
      </c>
      <c r="E511">
        <v>20</v>
      </c>
      <c r="F511" s="13">
        <v>205.33</v>
      </c>
      <c r="G511">
        <v>0</v>
      </c>
      <c r="H511" t="s">
        <v>19</v>
      </c>
      <c r="I511" s="13">
        <v>10.68</v>
      </c>
      <c r="J511">
        <v>9.77</v>
      </c>
      <c r="K511">
        <v>6.02</v>
      </c>
      <c r="L511" t="s">
        <v>72</v>
      </c>
      <c r="M511" t="s">
        <v>69</v>
      </c>
      <c r="N511" s="5" t="s">
        <v>69</v>
      </c>
      <c r="O511" t="s">
        <v>28</v>
      </c>
      <c r="P511" t="s">
        <v>32</v>
      </c>
      <c r="Q511" t="s">
        <v>33</v>
      </c>
      <c r="R511">
        <v>0.48</v>
      </c>
      <c r="S511" s="1">
        <v>40364</v>
      </c>
      <c r="T511" t="str">
        <f t="shared" si="15"/>
        <v>05-Jul-2010</v>
      </c>
    </row>
    <row r="512" spans="1:20" x14ac:dyDescent="0.3">
      <c r="A512">
        <v>29030</v>
      </c>
      <c r="B512" s="1">
        <v>40910</v>
      </c>
      <c r="C512" t="s">
        <v>38</v>
      </c>
      <c r="D512" t="str">
        <f t="shared" si="14"/>
        <v>02-Jan-2012</v>
      </c>
      <c r="E512">
        <v>10</v>
      </c>
      <c r="F512" s="13">
        <v>192.58</v>
      </c>
      <c r="G512">
        <v>0.05</v>
      </c>
      <c r="H512" t="s">
        <v>19</v>
      </c>
      <c r="I512" s="13">
        <v>24.6</v>
      </c>
      <c r="J512">
        <v>19.84</v>
      </c>
      <c r="K512">
        <v>4.0999999999999996</v>
      </c>
      <c r="L512" t="s">
        <v>80</v>
      </c>
      <c r="M512" t="s">
        <v>69</v>
      </c>
      <c r="N512" s="5" t="s">
        <v>69</v>
      </c>
      <c r="O512" t="s">
        <v>28</v>
      </c>
      <c r="P512" t="s">
        <v>21</v>
      </c>
      <c r="Q512" t="s">
        <v>50</v>
      </c>
      <c r="R512">
        <v>0.44</v>
      </c>
      <c r="S512" s="1">
        <v>40911</v>
      </c>
      <c r="T512" t="str">
        <f t="shared" si="15"/>
        <v>03-Jan-2012</v>
      </c>
    </row>
    <row r="513" spans="1:20" x14ac:dyDescent="0.3">
      <c r="A513">
        <v>53156</v>
      </c>
      <c r="B513" s="1">
        <v>40978</v>
      </c>
      <c r="C513" t="s">
        <v>31</v>
      </c>
      <c r="D513" t="str">
        <f t="shared" si="14"/>
        <v>10-Mar-2012</v>
      </c>
      <c r="E513">
        <v>47</v>
      </c>
      <c r="F513" s="13">
        <v>186.93</v>
      </c>
      <c r="G513">
        <v>7.0000000000000007E-2</v>
      </c>
      <c r="H513" t="s">
        <v>19</v>
      </c>
      <c r="I513" s="13">
        <v>56.44</v>
      </c>
      <c r="J513">
        <v>4.13</v>
      </c>
      <c r="K513">
        <v>0.99</v>
      </c>
      <c r="L513" t="s">
        <v>70</v>
      </c>
      <c r="M513" t="s">
        <v>69</v>
      </c>
      <c r="N513" s="5" t="s">
        <v>69</v>
      </c>
      <c r="O513" t="s">
        <v>28</v>
      </c>
      <c r="P513" t="s">
        <v>21</v>
      </c>
      <c r="Q513" t="s">
        <v>48</v>
      </c>
      <c r="R513">
        <v>0.39</v>
      </c>
      <c r="S513" s="1">
        <v>40979</v>
      </c>
      <c r="T513" t="str">
        <f t="shared" si="15"/>
        <v>11-Mar-2012</v>
      </c>
    </row>
    <row r="514" spans="1:20" x14ac:dyDescent="0.3">
      <c r="A514">
        <v>9763</v>
      </c>
      <c r="B514" s="1">
        <v>40768</v>
      </c>
      <c r="C514" t="s">
        <v>38</v>
      </c>
      <c r="D514" t="str">
        <f t="shared" ref="D514:D577" si="16">TEXT(B514, "dd-mmm-yyyy" )</f>
        <v>13-Aug-2011</v>
      </c>
      <c r="E514">
        <v>44</v>
      </c>
      <c r="F514" s="13">
        <v>176.26</v>
      </c>
      <c r="G514">
        <v>7.0000000000000007E-2</v>
      </c>
      <c r="H514" t="s">
        <v>19</v>
      </c>
      <c r="I514" s="13">
        <v>75.13</v>
      </c>
      <c r="J514">
        <v>4.13</v>
      </c>
      <c r="K514">
        <v>0.5</v>
      </c>
      <c r="L514" t="s">
        <v>53</v>
      </c>
      <c r="M514" t="s">
        <v>69</v>
      </c>
      <c r="N514" s="5" t="s">
        <v>69</v>
      </c>
      <c r="O514" t="s">
        <v>28</v>
      </c>
      <c r="P514" t="s">
        <v>21</v>
      </c>
      <c r="Q514" t="s">
        <v>48</v>
      </c>
      <c r="R514">
        <v>0.39</v>
      </c>
      <c r="S514" s="1">
        <v>40771</v>
      </c>
      <c r="T514" t="str">
        <f t="shared" ref="T514:T577" si="17">TEXT(S514, "dd-mmm-yyyy")</f>
        <v>16-Aug-2011</v>
      </c>
    </row>
    <row r="515" spans="1:20" x14ac:dyDescent="0.3">
      <c r="A515">
        <v>18887</v>
      </c>
      <c r="B515" s="1">
        <v>40517</v>
      </c>
      <c r="C515" t="s">
        <v>31</v>
      </c>
      <c r="D515" t="str">
        <f t="shared" si="16"/>
        <v>05-Dec-2010</v>
      </c>
      <c r="E515">
        <v>9</v>
      </c>
      <c r="F515" s="13">
        <v>173.417</v>
      </c>
      <c r="G515">
        <v>0</v>
      </c>
      <c r="H515" t="s">
        <v>19</v>
      </c>
      <c r="I515" s="13">
        <v>18.23</v>
      </c>
      <c r="J515">
        <v>20.99</v>
      </c>
      <c r="K515">
        <v>0.99</v>
      </c>
      <c r="L515" t="s">
        <v>27</v>
      </c>
      <c r="M515" t="s">
        <v>69</v>
      </c>
      <c r="N515" s="5" t="s">
        <v>69</v>
      </c>
      <c r="O515" t="s">
        <v>28</v>
      </c>
      <c r="P515" t="s">
        <v>29</v>
      </c>
      <c r="Q515" t="s">
        <v>30</v>
      </c>
      <c r="R515">
        <v>0.37</v>
      </c>
      <c r="S515" s="1">
        <v>40519</v>
      </c>
      <c r="T515" t="str">
        <f t="shared" si="17"/>
        <v>07-Dec-2010</v>
      </c>
    </row>
    <row r="516" spans="1:20" x14ac:dyDescent="0.3">
      <c r="A516">
        <v>34177</v>
      </c>
      <c r="B516" s="1">
        <v>40040</v>
      </c>
      <c r="C516" t="s">
        <v>23</v>
      </c>
      <c r="D516" t="str">
        <f t="shared" si="16"/>
        <v>15-Aug-2009</v>
      </c>
      <c r="E516">
        <v>26</v>
      </c>
      <c r="F516" s="13">
        <v>172.76</v>
      </c>
      <c r="G516">
        <v>0.1</v>
      </c>
      <c r="H516" t="s">
        <v>19</v>
      </c>
      <c r="I516" s="13">
        <v>73.180000000000007</v>
      </c>
      <c r="J516">
        <v>7.31</v>
      </c>
      <c r="K516">
        <v>0.49</v>
      </c>
      <c r="L516" t="s">
        <v>84</v>
      </c>
      <c r="M516" t="s">
        <v>69</v>
      </c>
      <c r="N516" s="5" t="s">
        <v>69</v>
      </c>
      <c r="O516" t="s">
        <v>28</v>
      </c>
      <c r="P516" t="s">
        <v>21</v>
      </c>
      <c r="Q516" t="s">
        <v>48</v>
      </c>
      <c r="R516">
        <v>0.38</v>
      </c>
      <c r="S516" s="1">
        <v>40041</v>
      </c>
      <c r="T516" t="str">
        <f t="shared" si="17"/>
        <v>16-Aug-2009</v>
      </c>
    </row>
    <row r="517" spans="1:20" x14ac:dyDescent="0.3">
      <c r="A517">
        <v>55715</v>
      </c>
      <c r="B517" s="1">
        <v>40635</v>
      </c>
      <c r="C517" t="s">
        <v>43</v>
      </c>
      <c r="D517" t="str">
        <f t="shared" si="16"/>
        <v>02-Apr-2011</v>
      </c>
      <c r="E517">
        <v>28</v>
      </c>
      <c r="F517" s="13">
        <v>168.57</v>
      </c>
      <c r="G517">
        <v>0.02</v>
      </c>
      <c r="H517" t="s">
        <v>35</v>
      </c>
      <c r="I517" s="13">
        <v>16.649999999999999</v>
      </c>
      <c r="J517">
        <v>5.28</v>
      </c>
      <c r="K517">
        <v>2.99</v>
      </c>
      <c r="L517" t="s">
        <v>57</v>
      </c>
      <c r="M517" t="s">
        <v>69</v>
      </c>
      <c r="N517" s="5" t="s">
        <v>69</v>
      </c>
      <c r="O517" t="s">
        <v>28</v>
      </c>
      <c r="P517" t="s">
        <v>21</v>
      </c>
      <c r="Q517" t="s">
        <v>26</v>
      </c>
      <c r="R517">
        <v>0.37</v>
      </c>
      <c r="S517" s="1">
        <v>40637</v>
      </c>
      <c r="T517" t="str">
        <f t="shared" si="17"/>
        <v>04-Apr-2011</v>
      </c>
    </row>
    <row r="518" spans="1:20" x14ac:dyDescent="0.3">
      <c r="A518">
        <v>28289</v>
      </c>
      <c r="B518" s="1">
        <v>40192</v>
      </c>
      <c r="C518" t="s">
        <v>23</v>
      </c>
      <c r="D518" t="str">
        <f t="shared" si="16"/>
        <v>14-Jan-2010</v>
      </c>
      <c r="E518">
        <v>31</v>
      </c>
      <c r="F518" s="13">
        <v>166.76</v>
      </c>
      <c r="G518">
        <v>0.01</v>
      </c>
      <c r="H518" t="s">
        <v>19</v>
      </c>
      <c r="I518" s="13">
        <v>-46.03</v>
      </c>
      <c r="J518">
        <v>4.9800000000000004</v>
      </c>
      <c r="K518">
        <v>4.75</v>
      </c>
      <c r="L518" t="s">
        <v>49</v>
      </c>
      <c r="M518" t="s">
        <v>69</v>
      </c>
      <c r="N518" s="5" t="s">
        <v>69</v>
      </c>
      <c r="O518" t="s">
        <v>28</v>
      </c>
      <c r="P518" t="s">
        <v>21</v>
      </c>
      <c r="Q518" t="s">
        <v>37</v>
      </c>
      <c r="R518">
        <v>0.36</v>
      </c>
      <c r="S518" s="1">
        <v>40193</v>
      </c>
      <c r="T518" t="str">
        <f t="shared" si="17"/>
        <v>15-Jan-2010</v>
      </c>
    </row>
    <row r="519" spans="1:20" x14ac:dyDescent="0.3">
      <c r="A519">
        <v>31270</v>
      </c>
      <c r="B519" s="1">
        <v>41236</v>
      </c>
      <c r="C519" t="s">
        <v>38</v>
      </c>
      <c r="D519" t="str">
        <f t="shared" si="16"/>
        <v>23-Nov-2012</v>
      </c>
      <c r="E519">
        <v>5</v>
      </c>
      <c r="F519" s="13">
        <v>165.04</v>
      </c>
      <c r="G519">
        <v>0.03</v>
      </c>
      <c r="H519" t="s">
        <v>19</v>
      </c>
      <c r="I519" s="13">
        <v>-112.44</v>
      </c>
      <c r="J519">
        <v>30.42</v>
      </c>
      <c r="K519">
        <v>8.65</v>
      </c>
      <c r="L519" t="s">
        <v>64</v>
      </c>
      <c r="M519" t="s">
        <v>69</v>
      </c>
      <c r="N519" s="5" t="s">
        <v>69</v>
      </c>
      <c r="O519" t="s">
        <v>28</v>
      </c>
      <c r="P519" t="s">
        <v>29</v>
      </c>
      <c r="Q519" t="s">
        <v>41</v>
      </c>
      <c r="R519">
        <v>0.74</v>
      </c>
      <c r="S519" s="1">
        <v>41238</v>
      </c>
      <c r="T519" t="str">
        <f t="shared" si="17"/>
        <v>25-Nov-2012</v>
      </c>
    </row>
    <row r="520" spans="1:20" x14ac:dyDescent="0.3">
      <c r="A520">
        <v>28003</v>
      </c>
      <c r="B520" s="1">
        <v>40621</v>
      </c>
      <c r="C520" t="s">
        <v>43</v>
      </c>
      <c r="D520" t="str">
        <f t="shared" si="16"/>
        <v>19-Mar-2011</v>
      </c>
      <c r="E520">
        <v>31</v>
      </c>
      <c r="F520" s="13">
        <v>157.79</v>
      </c>
      <c r="G520">
        <v>0.09</v>
      </c>
      <c r="H520" t="s">
        <v>19</v>
      </c>
      <c r="I520" s="13">
        <v>-95.92</v>
      </c>
      <c r="J520">
        <v>4.9800000000000004</v>
      </c>
      <c r="K520">
        <v>6.07</v>
      </c>
      <c r="L520" t="s">
        <v>79</v>
      </c>
      <c r="M520" t="s">
        <v>69</v>
      </c>
      <c r="N520" s="5" t="s">
        <v>69</v>
      </c>
      <c r="O520" t="s">
        <v>28</v>
      </c>
      <c r="P520" t="s">
        <v>21</v>
      </c>
      <c r="Q520" t="s">
        <v>37</v>
      </c>
      <c r="R520">
        <v>0.36</v>
      </c>
      <c r="S520" s="1">
        <v>40623</v>
      </c>
      <c r="T520" t="str">
        <f t="shared" si="17"/>
        <v>21-Mar-2011</v>
      </c>
    </row>
    <row r="521" spans="1:20" x14ac:dyDescent="0.3">
      <c r="A521">
        <v>47462</v>
      </c>
      <c r="B521" s="1">
        <v>40703</v>
      </c>
      <c r="C521" t="s">
        <v>23</v>
      </c>
      <c r="D521" t="str">
        <f t="shared" si="16"/>
        <v>09-Jun-2011</v>
      </c>
      <c r="E521">
        <v>43</v>
      </c>
      <c r="F521" s="13">
        <v>154.18</v>
      </c>
      <c r="G521">
        <v>0.08</v>
      </c>
      <c r="H521" t="s">
        <v>19</v>
      </c>
      <c r="I521" s="13">
        <v>-166.92</v>
      </c>
      <c r="J521">
        <v>3.58</v>
      </c>
      <c r="K521">
        <v>5.47</v>
      </c>
      <c r="L521" t="s">
        <v>83</v>
      </c>
      <c r="M521" t="s">
        <v>69</v>
      </c>
      <c r="N521" s="5" t="s">
        <v>69</v>
      </c>
      <c r="O521" t="s">
        <v>28</v>
      </c>
      <c r="P521" t="s">
        <v>21</v>
      </c>
      <c r="Q521" t="s">
        <v>26</v>
      </c>
      <c r="R521">
        <v>0.37</v>
      </c>
      <c r="S521" s="1">
        <v>40705</v>
      </c>
      <c r="T521" t="str">
        <f t="shared" si="17"/>
        <v>11-Jun-2011</v>
      </c>
    </row>
    <row r="522" spans="1:20" x14ac:dyDescent="0.3">
      <c r="A522">
        <v>19686</v>
      </c>
      <c r="B522" s="1">
        <v>40405</v>
      </c>
      <c r="C522" t="s">
        <v>38</v>
      </c>
      <c r="D522" t="str">
        <f t="shared" si="16"/>
        <v>15-Aug-2010</v>
      </c>
      <c r="E522">
        <v>11</v>
      </c>
      <c r="F522" s="13">
        <v>152.66999999999999</v>
      </c>
      <c r="G522">
        <v>0.04</v>
      </c>
      <c r="H522" t="s">
        <v>19</v>
      </c>
      <c r="I522" s="13">
        <v>12.76</v>
      </c>
      <c r="J522">
        <v>12.95</v>
      </c>
      <c r="K522">
        <v>4.9800000000000004</v>
      </c>
      <c r="L522" t="s">
        <v>53</v>
      </c>
      <c r="M522" t="s">
        <v>69</v>
      </c>
      <c r="N522" s="5" t="s">
        <v>69</v>
      </c>
      <c r="O522" t="s">
        <v>28</v>
      </c>
      <c r="P522" t="s">
        <v>21</v>
      </c>
      <c r="Q522" t="s">
        <v>26</v>
      </c>
      <c r="R522">
        <v>0.4</v>
      </c>
      <c r="S522" s="1">
        <v>40407</v>
      </c>
      <c r="T522" t="str">
        <f t="shared" si="17"/>
        <v>17-Aug-2010</v>
      </c>
    </row>
    <row r="523" spans="1:20" x14ac:dyDescent="0.3">
      <c r="A523">
        <v>24871</v>
      </c>
      <c r="B523" s="1">
        <v>40625</v>
      </c>
      <c r="C523" t="s">
        <v>38</v>
      </c>
      <c r="D523" t="str">
        <f t="shared" si="16"/>
        <v>23-Mar-2011</v>
      </c>
      <c r="E523">
        <v>6</v>
      </c>
      <c r="F523" s="13">
        <v>143.78</v>
      </c>
      <c r="G523">
        <v>0.04</v>
      </c>
      <c r="H523" t="s">
        <v>19</v>
      </c>
      <c r="I523" s="13">
        <v>75.3</v>
      </c>
      <c r="J523">
        <v>22.72</v>
      </c>
      <c r="K523">
        <v>8.99</v>
      </c>
      <c r="L523" t="s">
        <v>49</v>
      </c>
      <c r="M523" t="s">
        <v>69</v>
      </c>
      <c r="N523" s="5" t="s">
        <v>69</v>
      </c>
      <c r="O523" t="s">
        <v>28</v>
      </c>
      <c r="P523" t="s">
        <v>32</v>
      </c>
      <c r="Q523" t="s">
        <v>33</v>
      </c>
      <c r="R523">
        <v>0.44</v>
      </c>
      <c r="S523" s="1">
        <v>40626</v>
      </c>
      <c r="T523" t="str">
        <f t="shared" si="17"/>
        <v>24-Mar-2011</v>
      </c>
    </row>
    <row r="524" spans="1:20" x14ac:dyDescent="0.3">
      <c r="A524">
        <v>33894</v>
      </c>
      <c r="B524" s="1">
        <v>40343</v>
      </c>
      <c r="C524" t="s">
        <v>43</v>
      </c>
      <c r="D524" t="str">
        <f t="shared" si="16"/>
        <v>14-Jun-2010</v>
      </c>
      <c r="E524">
        <v>14</v>
      </c>
      <c r="F524" s="13">
        <v>140.66</v>
      </c>
      <c r="G524">
        <v>0</v>
      </c>
      <c r="H524" t="s">
        <v>19</v>
      </c>
      <c r="I524" s="13">
        <v>11.34</v>
      </c>
      <c r="J524">
        <v>9.27</v>
      </c>
      <c r="K524">
        <v>4.3899999999999997</v>
      </c>
      <c r="L524" t="s">
        <v>71</v>
      </c>
      <c r="M524" t="s">
        <v>69</v>
      </c>
      <c r="N524" s="5" t="s">
        <v>69</v>
      </c>
      <c r="O524" t="s">
        <v>28</v>
      </c>
      <c r="P524" t="s">
        <v>21</v>
      </c>
      <c r="Q524" t="s">
        <v>37</v>
      </c>
      <c r="R524">
        <v>0.38</v>
      </c>
      <c r="S524" s="1">
        <v>40346</v>
      </c>
      <c r="T524" t="str">
        <f t="shared" si="17"/>
        <v>17-Jun-2010</v>
      </c>
    </row>
    <row r="525" spans="1:20" x14ac:dyDescent="0.3">
      <c r="A525">
        <v>47462</v>
      </c>
      <c r="B525" s="1">
        <v>40703</v>
      </c>
      <c r="C525" t="s">
        <v>23</v>
      </c>
      <c r="D525" t="str">
        <f t="shared" si="16"/>
        <v>09-Jun-2011</v>
      </c>
      <c r="E525">
        <v>41</v>
      </c>
      <c r="F525" s="13">
        <v>137.51</v>
      </c>
      <c r="G525">
        <v>0.02</v>
      </c>
      <c r="H525" t="s">
        <v>19</v>
      </c>
      <c r="I525" s="13">
        <v>21.62</v>
      </c>
      <c r="J525">
        <v>3.29</v>
      </c>
      <c r="K525">
        <v>1.35</v>
      </c>
      <c r="L525" t="s">
        <v>83</v>
      </c>
      <c r="M525" t="s">
        <v>69</v>
      </c>
      <c r="N525" s="5" t="s">
        <v>69</v>
      </c>
      <c r="O525" t="s">
        <v>28</v>
      </c>
      <c r="P525" t="s">
        <v>21</v>
      </c>
      <c r="Q525" t="s">
        <v>39</v>
      </c>
      <c r="R525">
        <v>0.4</v>
      </c>
      <c r="S525" s="1">
        <v>40705</v>
      </c>
      <c r="T525" t="str">
        <f t="shared" si="17"/>
        <v>11-Jun-2011</v>
      </c>
    </row>
    <row r="526" spans="1:20" x14ac:dyDescent="0.3">
      <c r="A526">
        <v>52193</v>
      </c>
      <c r="B526" s="1">
        <v>40242</v>
      </c>
      <c r="C526" t="s">
        <v>31</v>
      </c>
      <c r="D526" t="str">
        <f t="shared" si="16"/>
        <v>05-Mar-2010</v>
      </c>
      <c r="E526">
        <v>47</v>
      </c>
      <c r="F526" s="13">
        <v>137.18</v>
      </c>
      <c r="G526">
        <v>7.0000000000000007E-2</v>
      </c>
      <c r="H526" t="s">
        <v>19</v>
      </c>
      <c r="I526" s="13">
        <v>6.04</v>
      </c>
      <c r="J526">
        <v>2.94</v>
      </c>
      <c r="K526">
        <v>0.96</v>
      </c>
      <c r="L526" t="s">
        <v>78</v>
      </c>
      <c r="M526" t="s">
        <v>69</v>
      </c>
      <c r="N526" s="5" t="s">
        <v>69</v>
      </c>
      <c r="O526" t="s">
        <v>28</v>
      </c>
      <c r="P526" t="s">
        <v>21</v>
      </c>
      <c r="Q526" t="s">
        <v>50</v>
      </c>
      <c r="R526">
        <v>0.57999999999999996</v>
      </c>
      <c r="S526" s="1">
        <v>40244</v>
      </c>
      <c r="T526" t="str">
        <f t="shared" si="17"/>
        <v>07-Mar-2010</v>
      </c>
    </row>
    <row r="527" spans="1:20" x14ac:dyDescent="0.3">
      <c r="A527">
        <v>16423</v>
      </c>
      <c r="B527" s="1">
        <v>41126</v>
      </c>
      <c r="C527" t="s">
        <v>38</v>
      </c>
      <c r="D527" t="str">
        <f t="shared" si="16"/>
        <v>05-Aug-2012</v>
      </c>
      <c r="E527">
        <v>19</v>
      </c>
      <c r="F527" s="13">
        <v>128.21</v>
      </c>
      <c r="G527">
        <v>0.05</v>
      </c>
      <c r="H527" t="s">
        <v>19</v>
      </c>
      <c r="I527" s="13">
        <v>-55.13</v>
      </c>
      <c r="J527">
        <v>6.48</v>
      </c>
      <c r="K527">
        <v>6.57</v>
      </c>
      <c r="L527" t="s">
        <v>70</v>
      </c>
      <c r="M527" t="s">
        <v>69</v>
      </c>
      <c r="N527" s="5" t="s">
        <v>69</v>
      </c>
      <c r="O527" t="s">
        <v>28</v>
      </c>
      <c r="P527" t="s">
        <v>21</v>
      </c>
      <c r="Q527" t="s">
        <v>37</v>
      </c>
      <c r="R527">
        <v>0.37</v>
      </c>
      <c r="S527" s="1">
        <v>41128</v>
      </c>
      <c r="T527" t="str">
        <f t="shared" si="17"/>
        <v>07-Aug-2012</v>
      </c>
    </row>
    <row r="528" spans="1:20" x14ac:dyDescent="0.3">
      <c r="A528">
        <v>33444</v>
      </c>
      <c r="B528" s="1">
        <v>41188</v>
      </c>
      <c r="C528" t="s">
        <v>38</v>
      </c>
      <c r="D528" t="str">
        <f t="shared" si="16"/>
        <v>06-Oct-2012</v>
      </c>
      <c r="E528">
        <v>8</v>
      </c>
      <c r="F528" s="13">
        <v>127.8</v>
      </c>
      <c r="G528">
        <v>7.0000000000000007E-2</v>
      </c>
      <c r="H528" t="s">
        <v>19</v>
      </c>
      <c r="I528" s="13">
        <v>-30.48</v>
      </c>
      <c r="J528">
        <v>14.97</v>
      </c>
      <c r="K528">
        <v>7.51</v>
      </c>
      <c r="L528" t="s">
        <v>53</v>
      </c>
      <c r="M528" t="s">
        <v>69</v>
      </c>
      <c r="N528" s="5" t="s">
        <v>69</v>
      </c>
      <c r="O528" t="s">
        <v>28</v>
      </c>
      <c r="P528" t="s">
        <v>21</v>
      </c>
      <c r="Q528" t="s">
        <v>22</v>
      </c>
      <c r="R528">
        <v>0.56999999999999995</v>
      </c>
      <c r="S528" s="1">
        <v>41190</v>
      </c>
      <c r="T528" t="str">
        <f t="shared" si="17"/>
        <v>08-Oct-2012</v>
      </c>
    </row>
    <row r="529" spans="1:20" x14ac:dyDescent="0.3">
      <c r="A529">
        <v>39683</v>
      </c>
      <c r="B529" s="1">
        <v>40765</v>
      </c>
      <c r="C529" t="s">
        <v>23</v>
      </c>
      <c r="D529" t="str">
        <f t="shared" si="16"/>
        <v>10-Aug-2011</v>
      </c>
      <c r="E529">
        <v>6</v>
      </c>
      <c r="F529" s="13">
        <v>126.02</v>
      </c>
      <c r="G529">
        <v>0.09</v>
      </c>
      <c r="H529" t="s">
        <v>19</v>
      </c>
      <c r="I529" s="13">
        <v>66.97</v>
      </c>
      <c r="J529">
        <v>20.239999999999998</v>
      </c>
      <c r="K529">
        <v>6.67</v>
      </c>
      <c r="L529" t="s">
        <v>81</v>
      </c>
      <c r="M529" t="s">
        <v>69</v>
      </c>
      <c r="N529" s="5" t="s">
        <v>69</v>
      </c>
      <c r="O529" t="s">
        <v>28</v>
      </c>
      <c r="P529" t="s">
        <v>32</v>
      </c>
      <c r="Q529" t="s">
        <v>33</v>
      </c>
      <c r="R529">
        <v>0.49</v>
      </c>
      <c r="S529" s="1">
        <v>40766</v>
      </c>
      <c r="T529" t="str">
        <f t="shared" si="17"/>
        <v>11-Aug-2011</v>
      </c>
    </row>
    <row r="530" spans="1:20" x14ac:dyDescent="0.3">
      <c r="A530">
        <v>26023</v>
      </c>
      <c r="B530" s="1">
        <v>40410</v>
      </c>
      <c r="C530" t="s">
        <v>23</v>
      </c>
      <c r="D530" t="str">
        <f t="shared" si="16"/>
        <v>20-Aug-2010</v>
      </c>
      <c r="E530">
        <v>49</v>
      </c>
      <c r="F530" s="13">
        <v>120.77</v>
      </c>
      <c r="G530">
        <v>0.03</v>
      </c>
      <c r="H530" t="s">
        <v>19</v>
      </c>
      <c r="I530" s="13">
        <v>19.86</v>
      </c>
      <c r="J530">
        <v>2.4700000000000002</v>
      </c>
      <c r="K530">
        <v>1.02</v>
      </c>
      <c r="L530" t="s">
        <v>79</v>
      </c>
      <c r="M530" t="s">
        <v>69</v>
      </c>
      <c r="N530" s="5" t="s">
        <v>69</v>
      </c>
      <c r="O530" t="s">
        <v>28</v>
      </c>
      <c r="P530" t="s">
        <v>21</v>
      </c>
      <c r="Q530" t="s">
        <v>39</v>
      </c>
      <c r="R530">
        <v>0.38</v>
      </c>
      <c r="S530" s="1">
        <v>40411</v>
      </c>
      <c r="T530" t="str">
        <f t="shared" si="17"/>
        <v>21-Aug-2010</v>
      </c>
    </row>
    <row r="531" spans="1:20" x14ac:dyDescent="0.3">
      <c r="A531">
        <v>18308</v>
      </c>
      <c r="B531" s="1">
        <v>40095</v>
      </c>
      <c r="C531" t="s">
        <v>31</v>
      </c>
      <c r="D531" t="str">
        <f t="shared" si="16"/>
        <v>09-Oct-2009</v>
      </c>
      <c r="E531">
        <v>30</v>
      </c>
      <c r="F531" s="13">
        <v>114.12</v>
      </c>
      <c r="G531">
        <v>0.05</v>
      </c>
      <c r="H531" t="s">
        <v>19</v>
      </c>
      <c r="I531" s="13">
        <v>15.73</v>
      </c>
      <c r="J531">
        <v>3.8</v>
      </c>
      <c r="K531">
        <v>1.49</v>
      </c>
      <c r="L531" t="s">
        <v>65</v>
      </c>
      <c r="M531" t="s">
        <v>69</v>
      </c>
      <c r="N531" s="5" t="s">
        <v>69</v>
      </c>
      <c r="O531" t="s">
        <v>28</v>
      </c>
      <c r="P531" t="s">
        <v>21</v>
      </c>
      <c r="Q531" t="s">
        <v>26</v>
      </c>
      <c r="R531">
        <v>0.38</v>
      </c>
      <c r="S531" s="1">
        <v>40097</v>
      </c>
      <c r="T531" t="str">
        <f t="shared" si="17"/>
        <v>11-Oct-2009</v>
      </c>
    </row>
    <row r="532" spans="1:20" x14ac:dyDescent="0.3">
      <c r="A532">
        <v>44071</v>
      </c>
      <c r="B532" s="1">
        <v>41014</v>
      </c>
      <c r="C532" t="s">
        <v>31</v>
      </c>
      <c r="D532" t="str">
        <f t="shared" si="16"/>
        <v>15-Apr-2012</v>
      </c>
      <c r="E532">
        <v>19</v>
      </c>
      <c r="F532" s="13">
        <v>110.67</v>
      </c>
      <c r="G532">
        <v>0.08</v>
      </c>
      <c r="H532" t="s">
        <v>19</v>
      </c>
      <c r="I532" s="13">
        <v>-43.75</v>
      </c>
      <c r="J532">
        <v>5.99</v>
      </c>
      <c r="K532">
        <v>4.92</v>
      </c>
      <c r="L532" t="s">
        <v>63</v>
      </c>
      <c r="M532" t="s">
        <v>69</v>
      </c>
      <c r="N532" s="5" t="s">
        <v>69</v>
      </c>
      <c r="O532" t="s">
        <v>28</v>
      </c>
      <c r="P532" t="s">
        <v>21</v>
      </c>
      <c r="Q532" t="s">
        <v>26</v>
      </c>
      <c r="R532">
        <v>0.38</v>
      </c>
      <c r="S532" s="1">
        <v>41015</v>
      </c>
      <c r="T532" t="str">
        <f t="shared" si="17"/>
        <v>16-Apr-2012</v>
      </c>
    </row>
    <row r="533" spans="1:20" x14ac:dyDescent="0.3">
      <c r="A533">
        <v>31393</v>
      </c>
      <c r="B533" s="1">
        <v>41040</v>
      </c>
      <c r="C533" t="s">
        <v>43</v>
      </c>
      <c r="D533" t="str">
        <f t="shared" si="16"/>
        <v>11-May-2012</v>
      </c>
      <c r="E533">
        <v>31</v>
      </c>
      <c r="F533" s="13">
        <v>110.32</v>
      </c>
      <c r="G533">
        <v>0.09</v>
      </c>
      <c r="H533" t="s">
        <v>19</v>
      </c>
      <c r="I533" s="13">
        <v>-32.65</v>
      </c>
      <c r="J533">
        <v>3.68</v>
      </c>
      <c r="K533">
        <v>1.32</v>
      </c>
      <c r="L533" t="s">
        <v>82</v>
      </c>
      <c r="M533" t="s">
        <v>69</v>
      </c>
      <c r="N533" s="5" t="s">
        <v>69</v>
      </c>
      <c r="O533" t="s">
        <v>28</v>
      </c>
      <c r="P533" t="s">
        <v>21</v>
      </c>
      <c r="Q533" t="s">
        <v>67</v>
      </c>
      <c r="R533">
        <v>0.83</v>
      </c>
      <c r="S533" s="1">
        <v>41042</v>
      </c>
      <c r="T533" t="str">
        <f t="shared" si="17"/>
        <v>13-May-2012</v>
      </c>
    </row>
    <row r="534" spans="1:20" x14ac:dyDescent="0.3">
      <c r="A534">
        <v>47462</v>
      </c>
      <c r="B534" s="1">
        <v>40703</v>
      </c>
      <c r="C534" t="s">
        <v>23</v>
      </c>
      <c r="D534" t="str">
        <f t="shared" si="16"/>
        <v>09-Jun-2011</v>
      </c>
      <c r="E534">
        <v>18</v>
      </c>
      <c r="F534" s="13">
        <v>110.31</v>
      </c>
      <c r="G534">
        <v>0.05</v>
      </c>
      <c r="H534" t="s">
        <v>19</v>
      </c>
      <c r="I534" s="13">
        <v>-1.22</v>
      </c>
      <c r="J534">
        <v>5.85</v>
      </c>
      <c r="K534">
        <v>2.27</v>
      </c>
      <c r="L534" t="s">
        <v>83</v>
      </c>
      <c r="M534" t="s">
        <v>69</v>
      </c>
      <c r="N534" s="5" t="s">
        <v>69</v>
      </c>
      <c r="O534" t="s">
        <v>28</v>
      </c>
      <c r="P534" t="s">
        <v>21</v>
      </c>
      <c r="Q534" t="s">
        <v>50</v>
      </c>
      <c r="R534">
        <v>0.56000000000000005</v>
      </c>
      <c r="S534" s="1">
        <v>40705</v>
      </c>
      <c r="T534" t="str">
        <f t="shared" si="17"/>
        <v>11-Jun-2011</v>
      </c>
    </row>
    <row r="535" spans="1:20" x14ac:dyDescent="0.3">
      <c r="A535">
        <v>23264</v>
      </c>
      <c r="B535" s="1">
        <v>40519</v>
      </c>
      <c r="C535" t="s">
        <v>43</v>
      </c>
      <c r="D535" t="str">
        <f t="shared" si="16"/>
        <v>07-Dec-2010</v>
      </c>
      <c r="E535">
        <v>16</v>
      </c>
      <c r="F535" s="13">
        <v>108.42</v>
      </c>
      <c r="G535">
        <v>0.02</v>
      </c>
      <c r="H535" t="s">
        <v>19</v>
      </c>
      <c r="I535" s="13">
        <v>-50.82</v>
      </c>
      <c r="J535">
        <v>6.48</v>
      </c>
      <c r="K535">
        <v>6.81</v>
      </c>
      <c r="L535" t="s">
        <v>27</v>
      </c>
      <c r="M535" t="s">
        <v>69</v>
      </c>
      <c r="N535" s="5" t="s">
        <v>69</v>
      </c>
      <c r="O535" t="s">
        <v>28</v>
      </c>
      <c r="P535" t="s">
        <v>21</v>
      </c>
      <c r="Q535" t="s">
        <v>37</v>
      </c>
      <c r="R535">
        <v>0.36</v>
      </c>
      <c r="S535" s="1">
        <v>40521</v>
      </c>
      <c r="T535" t="str">
        <f t="shared" si="17"/>
        <v>09-Dec-2010</v>
      </c>
    </row>
    <row r="536" spans="1:20" x14ac:dyDescent="0.3">
      <c r="A536">
        <v>37860</v>
      </c>
      <c r="B536" s="1">
        <v>40417</v>
      </c>
      <c r="C536" t="s">
        <v>38</v>
      </c>
      <c r="D536" t="str">
        <f t="shared" si="16"/>
        <v>27-Aug-2010</v>
      </c>
      <c r="E536">
        <v>1</v>
      </c>
      <c r="F536" s="13">
        <v>104.85</v>
      </c>
      <c r="G536">
        <v>7.0000000000000007E-2</v>
      </c>
      <c r="H536" t="s">
        <v>19</v>
      </c>
      <c r="I536" s="13">
        <v>-98.31</v>
      </c>
      <c r="J536">
        <v>55.5</v>
      </c>
      <c r="K536">
        <v>52.2</v>
      </c>
      <c r="L536" t="s">
        <v>78</v>
      </c>
      <c r="M536" t="s">
        <v>69</v>
      </c>
      <c r="N536" s="5" t="s">
        <v>69</v>
      </c>
      <c r="O536" t="s">
        <v>28</v>
      </c>
      <c r="P536" t="s">
        <v>32</v>
      </c>
      <c r="Q536" t="s">
        <v>33</v>
      </c>
      <c r="R536">
        <v>0.72</v>
      </c>
      <c r="S536" s="1">
        <v>40419</v>
      </c>
      <c r="T536" t="str">
        <f t="shared" si="17"/>
        <v>29-Aug-2010</v>
      </c>
    </row>
    <row r="537" spans="1:20" x14ac:dyDescent="0.3">
      <c r="A537">
        <v>24038</v>
      </c>
      <c r="B537" s="1">
        <v>40714</v>
      </c>
      <c r="C537" t="s">
        <v>23</v>
      </c>
      <c r="D537" t="str">
        <f t="shared" si="16"/>
        <v>20-Jun-2011</v>
      </c>
      <c r="E537">
        <v>38</v>
      </c>
      <c r="F537" s="13">
        <v>103.07</v>
      </c>
      <c r="G537">
        <v>0.1</v>
      </c>
      <c r="H537" t="s">
        <v>19</v>
      </c>
      <c r="I537" s="13">
        <v>-0.95</v>
      </c>
      <c r="J537">
        <v>2.78</v>
      </c>
      <c r="K537">
        <v>1.34</v>
      </c>
      <c r="L537" t="s">
        <v>77</v>
      </c>
      <c r="M537" t="s">
        <v>69</v>
      </c>
      <c r="N537" s="5" t="s">
        <v>69</v>
      </c>
      <c r="O537" t="s">
        <v>28</v>
      </c>
      <c r="P537" t="s">
        <v>21</v>
      </c>
      <c r="Q537" t="s">
        <v>50</v>
      </c>
      <c r="R537">
        <v>0.45</v>
      </c>
      <c r="S537" s="1">
        <v>40716</v>
      </c>
      <c r="T537" t="str">
        <f t="shared" si="17"/>
        <v>22-Jun-2011</v>
      </c>
    </row>
    <row r="538" spans="1:20" x14ac:dyDescent="0.3">
      <c r="A538">
        <v>33377</v>
      </c>
      <c r="B538" s="1">
        <v>40755</v>
      </c>
      <c r="C538" t="s">
        <v>23</v>
      </c>
      <c r="D538" t="str">
        <f t="shared" si="16"/>
        <v>31-Jul-2011</v>
      </c>
      <c r="E538">
        <v>20</v>
      </c>
      <c r="F538" s="13">
        <v>100.4</v>
      </c>
      <c r="G538">
        <v>0.06</v>
      </c>
      <c r="H538" t="s">
        <v>19</v>
      </c>
      <c r="I538" s="13">
        <v>11.94</v>
      </c>
      <c r="J538">
        <v>5.18</v>
      </c>
      <c r="K538">
        <v>2.04</v>
      </c>
      <c r="L538" t="s">
        <v>62</v>
      </c>
      <c r="M538" t="s">
        <v>69</v>
      </c>
      <c r="N538" s="5" t="s">
        <v>69</v>
      </c>
      <c r="O538" t="s">
        <v>28</v>
      </c>
      <c r="P538" t="s">
        <v>21</v>
      </c>
      <c r="Q538" t="s">
        <v>37</v>
      </c>
      <c r="R538">
        <v>0.36</v>
      </c>
      <c r="S538" s="1">
        <v>40757</v>
      </c>
      <c r="T538" t="str">
        <f t="shared" si="17"/>
        <v>02-Aug-2011</v>
      </c>
    </row>
    <row r="539" spans="1:20" x14ac:dyDescent="0.3">
      <c r="A539">
        <v>31393</v>
      </c>
      <c r="B539" s="1">
        <v>41040</v>
      </c>
      <c r="C539" t="s">
        <v>43</v>
      </c>
      <c r="D539" t="str">
        <f t="shared" si="16"/>
        <v>11-May-2012</v>
      </c>
      <c r="E539">
        <v>4</v>
      </c>
      <c r="F539" s="13">
        <v>97.57</v>
      </c>
      <c r="G539">
        <v>0.04</v>
      </c>
      <c r="H539" t="s">
        <v>19</v>
      </c>
      <c r="I539" s="13">
        <v>-27.31</v>
      </c>
      <c r="J539">
        <v>19.940000000000001</v>
      </c>
      <c r="K539">
        <v>14.87</v>
      </c>
      <c r="L539" t="s">
        <v>82</v>
      </c>
      <c r="M539" t="s">
        <v>69</v>
      </c>
      <c r="N539" s="5" t="s">
        <v>69</v>
      </c>
      <c r="O539" t="s">
        <v>28</v>
      </c>
      <c r="P539" t="s">
        <v>32</v>
      </c>
      <c r="Q539" t="s">
        <v>33</v>
      </c>
      <c r="R539">
        <v>0.56999999999999995</v>
      </c>
      <c r="S539" s="1">
        <v>41041</v>
      </c>
      <c r="T539" t="str">
        <f t="shared" si="17"/>
        <v>12-May-2012</v>
      </c>
    </row>
    <row r="540" spans="1:20" x14ac:dyDescent="0.3">
      <c r="A540">
        <v>48839</v>
      </c>
      <c r="B540" s="1">
        <v>40369</v>
      </c>
      <c r="C540" t="s">
        <v>43</v>
      </c>
      <c r="D540" t="str">
        <f t="shared" si="16"/>
        <v>10-Jul-2010</v>
      </c>
      <c r="E540">
        <v>1</v>
      </c>
      <c r="F540" s="13">
        <v>97.13</v>
      </c>
      <c r="G540">
        <v>0.05</v>
      </c>
      <c r="H540" t="s">
        <v>19</v>
      </c>
      <c r="I540" s="13">
        <v>-37.06</v>
      </c>
      <c r="J540">
        <v>98.31</v>
      </c>
      <c r="K540">
        <v>0.49</v>
      </c>
      <c r="L540" t="s">
        <v>40</v>
      </c>
      <c r="M540" t="s">
        <v>69</v>
      </c>
      <c r="N540" s="5" t="s">
        <v>69</v>
      </c>
      <c r="O540" t="s">
        <v>28</v>
      </c>
      <c r="P540" t="s">
        <v>21</v>
      </c>
      <c r="Q540" t="s">
        <v>48</v>
      </c>
      <c r="R540">
        <v>0.36</v>
      </c>
      <c r="S540" s="1">
        <v>40371</v>
      </c>
      <c r="T540" t="str">
        <f t="shared" si="17"/>
        <v>12-Jul-2010</v>
      </c>
    </row>
    <row r="541" spans="1:20" x14ac:dyDescent="0.3">
      <c r="A541">
        <v>43109</v>
      </c>
      <c r="B541" s="1">
        <v>41264</v>
      </c>
      <c r="C541" t="s">
        <v>43</v>
      </c>
      <c r="D541" t="str">
        <f t="shared" si="16"/>
        <v>21-Dec-2012</v>
      </c>
      <c r="E541">
        <v>10</v>
      </c>
      <c r="F541" s="13">
        <v>97.02</v>
      </c>
      <c r="G541">
        <v>0.06</v>
      </c>
      <c r="H541" t="s">
        <v>19</v>
      </c>
      <c r="I541" s="13">
        <v>-3.96</v>
      </c>
      <c r="J541">
        <v>10.01</v>
      </c>
      <c r="K541">
        <v>1.99</v>
      </c>
      <c r="L541" t="s">
        <v>59</v>
      </c>
      <c r="M541" t="s">
        <v>69</v>
      </c>
      <c r="N541" s="5" t="s">
        <v>69</v>
      </c>
      <c r="O541" t="s">
        <v>28</v>
      </c>
      <c r="P541" t="s">
        <v>29</v>
      </c>
      <c r="Q541" t="s">
        <v>41</v>
      </c>
      <c r="R541">
        <v>0.41</v>
      </c>
      <c r="S541" s="1">
        <v>41265</v>
      </c>
      <c r="T541" t="str">
        <f t="shared" si="17"/>
        <v>22-Dec-2012</v>
      </c>
    </row>
    <row r="542" spans="1:20" x14ac:dyDescent="0.3">
      <c r="A542">
        <v>12929</v>
      </c>
      <c r="B542" s="1">
        <v>40420</v>
      </c>
      <c r="C542" t="s">
        <v>43</v>
      </c>
      <c r="D542" t="str">
        <f t="shared" si="16"/>
        <v>30-Aug-2010</v>
      </c>
      <c r="E542">
        <v>20</v>
      </c>
      <c r="F542" s="13">
        <v>95.3</v>
      </c>
      <c r="G542">
        <v>0</v>
      </c>
      <c r="H542" t="s">
        <v>19</v>
      </c>
      <c r="I542" s="13">
        <v>29.68</v>
      </c>
      <c r="J542">
        <v>4.4800000000000004</v>
      </c>
      <c r="K542">
        <v>1.22</v>
      </c>
      <c r="L542" t="s">
        <v>47</v>
      </c>
      <c r="M542" t="s">
        <v>69</v>
      </c>
      <c r="N542" s="5" t="s">
        <v>69</v>
      </c>
      <c r="O542" t="s">
        <v>28</v>
      </c>
      <c r="P542" t="s">
        <v>21</v>
      </c>
      <c r="Q542" t="s">
        <v>37</v>
      </c>
      <c r="R542">
        <v>0.36</v>
      </c>
      <c r="S542" s="1">
        <v>40421</v>
      </c>
      <c r="T542" t="str">
        <f t="shared" si="17"/>
        <v>31-Aug-2010</v>
      </c>
    </row>
    <row r="543" spans="1:20" x14ac:dyDescent="0.3">
      <c r="A543">
        <v>26567</v>
      </c>
      <c r="B543" s="1">
        <v>40060</v>
      </c>
      <c r="C543" t="s">
        <v>43</v>
      </c>
      <c r="D543" t="str">
        <f t="shared" si="16"/>
        <v>04-Sep-2009</v>
      </c>
      <c r="E543">
        <v>10</v>
      </c>
      <c r="F543" s="13">
        <v>90.06</v>
      </c>
      <c r="G543">
        <v>0.09</v>
      </c>
      <c r="H543" t="s">
        <v>35</v>
      </c>
      <c r="I543" s="13">
        <v>-100.51</v>
      </c>
      <c r="J543">
        <v>8.4600000000000009</v>
      </c>
      <c r="K543">
        <v>8.99</v>
      </c>
      <c r="L543" t="s">
        <v>44</v>
      </c>
      <c r="M543" t="s">
        <v>69</v>
      </c>
      <c r="N543" s="5" t="s">
        <v>69</v>
      </c>
      <c r="O543" t="s">
        <v>28</v>
      </c>
      <c r="P543" t="s">
        <v>29</v>
      </c>
      <c r="Q543" t="s">
        <v>41</v>
      </c>
      <c r="R543">
        <v>0.79</v>
      </c>
      <c r="S543" s="1">
        <v>40063</v>
      </c>
      <c r="T543" t="str">
        <f t="shared" si="17"/>
        <v>07-Sep-2009</v>
      </c>
    </row>
    <row r="544" spans="1:20" x14ac:dyDescent="0.3">
      <c r="A544">
        <v>31684</v>
      </c>
      <c r="B544" s="1">
        <v>41168</v>
      </c>
      <c r="C544" t="s">
        <v>43</v>
      </c>
      <c r="D544" t="str">
        <f t="shared" si="16"/>
        <v>16-Sep-2012</v>
      </c>
      <c r="E544">
        <v>15</v>
      </c>
      <c r="F544" s="13">
        <v>89.97</v>
      </c>
      <c r="G544">
        <v>0.02</v>
      </c>
      <c r="H544" t="s">
        <v>19</v>
      </c>
      <c r="I544" s="13">
        <v>23.48</v>
      </c>
      <c r="J544">
        <v>5.68</v>
      </c>
      <c r="K544">
        <v>1.46</v>
      </c>
      <c r="L544" t="s">
        <v>83</v>
      </c>
      <c r="M544" t="s">
        <v>69</v>
      </c>
      <c r="N544" s="5" t="s">
        <v>69</v>
      </c>
      <c r="O544" t="s">
        <v>28</v>
      </c>
      <c r="P544" t="s">
        <v>21</v>
      </c>
      <c r="Q544" t="s">
        <v>37</v>
      </c>
      <c r="R544">
        <v>0.39</v>
      </c>
      <c r="S544" s="1">
        <v>41171</v>
      </c>
      <c r="T544" t="str">
        <f t="shared" si="17"/>
        <v>19-Sep-2012</v>
      </c>
    </row>
    <row r="545" spans="1:20" x14ac:dyDescent="0.3">
      <c r="A545">
        <v>10535</v>
      </c>
      <c r="B545" s="1">
        <v>40690</v>
      </c>
      <c r="C545" t="s">
        <v>18</v>
      </c>
      <c r="D545" t="str">
        <f t="shared" si="16"/>
        <v>27-May-2011</v>
      </c>
      <c r="E545">
        <v>46</v>
      </c>
      <c r="F545" s="13">
        <v>80.27</v>
      </c>
      <c r="G545">
        <v>0.09</v>
      </c>
      <c r="H545" t="s">
        <v>19</v>
      </c>
      <c r="I545" s="13">
        <v>-0.79</v>
      </c>
      <c r="J545">
        <v>1.76</v>
      </c>
      <c r="K545">
        <v>0.7</v>
      </c>
      <c r="L545" t="s">
        <v>71</v>
      </c>
      <c r="M545" t="s">
        <v>69</v>
      </c>
      <c r="N545" s="5" t="s">
        <v>69</v>
      </c>
      <c r="O545" t="s">
        <v>28</v>
      </c>
      <c r="P545" t="s">
        <v>21</v>
      </c>
      <c r="Q545" t="s">
        <v>50</v>
      </c>
      <c r="R545">
        <v>0.56000000000000005</v>
      </c>
      <c r="S545" s="1">
        <v>40697</v>
      </c>
      <c r="T545" t="str">
        <f t="shared" si="17"/>
        <v>03-Jun-2011</v>
      </c>
    </row>
    <row r="546" spans="1:20" x14ac:dyDescent="0.3">
      <c r="A546">
        <v>31781</v>
      </c>
      <c r="B546" s="1">
        <v>39829</v>
      </c>
      <c r="C546" t="s">
        <v>38</v>
      </c>
      <c r="D546" t="str">
        <f t="shared" si="16"/>
        <v>16-Jan-2009</v>
      </c>
      <c r="E546">
        <v>41</v>
      </c>
      <c r="F546" s="13">
        <v>78.489999999999995</v>
      </c>
      <c r="G546">
        <v>0.03</v>
      </c>
      <c r="H546" t="s">
        <v>19</v>
      </c>
      <c r="I546" s="13">
        <v>5.53</v>
      </c>
      <c r="J546">
        <v>1.81</v>
      </c>
      <c r="K546">
        <v>0.75</v>
      </c>
      <c r="L546" t="s">
        <v>44</v>
      </c>
      <c r="M546" t="s">
        <v>69</v>
      </c>
      <c r="N546" s="5" t="s">
        <v>69</v>
      </c>
      <c r="O546" t="s">
        <v>28</v>
      </c>
      <c r="P546" t="s">
        <v>21</v>
      </c>
      <c r="Q546" t="s">
        <v>39</v>
      </c>
      <c r="R546">
        <v>0.52</v>
      </c>
      <c r="S546" s="1">
        <v>39830</v>
      </c>
      <c r="T546" t="str">
        <f t="shared" si="17"/>
        <v>17-Jan-2009</v>
      </c>
    </row>
    <row r="547" spans="1:20" x14ac:dyDescent="0.3">
      <c r="A547">
        <v>23264</v>
      </c>
      <c r="B547" s="1">
        <v>40519</v>
      </c>
      <c r="C547" t="s">
        <v>43</v>
      </c>
      <c r="D547" t="str">
        <f t="shared" si="16"/>
        <v>07-Dec-2010</v>
      </c>
      <c r="E547">
        <v>27</v>
      </c>
      <c r="F547" s="13">
        <v>78.47</v>
      </c>
      <c r="G547">
        <v>0.06</v>
      </c>
      <c r="H547" t="s">
        <v>19</v>
      </c>
      <c r="I547" s="13">
        <v>17.989999999999998</v>
      </c>
      <c r="J547">
        <v>2.88</v>
      </c>
      <c r="K547">
        <v>0.99</v>
      </c>
      <c r="L547" t="s">
        <v>27</v>
      </c>
      <c r="M547" t="s">
        <v>69</v>
      </c>
      <c r="N547" s="5" t="s">
        <v>69</v>
      </c>
      <c r="O547" t="s">
        <v>28</v>
      </c>
      <c r="P547" t="s">
        <v>21</v>
      </c>
      <c r="Q547" t="s">
        <v>48</v>
      </c>
      <c r="R547">
        <v>0.36</v>
      </c>
      <c r="S547" s="1">
        <v>40521</v>
      </c>
      <c r="T547" t="str">
        <f t="shared" si="17"/>
        <v>09-Dec-2010</v>
      </c>
    </row>
    <row r="548" spans="1:20" x14ac:dyDescent="0.3">
      <c r="A548">
        <v>12544</v>
      </c>
      <c r="B548" s="1">
        <v>39875</v>
      </c>
      <c r="C548" t="s">
        <v>18</v>
      </c>
      <c r="D548" t="str">
        <f t="shared" si="16"/>
        <v>03-Mar-2009</v>
      </c>
      <c r="E548">
        <v>34</v>
      </c>
      <c r="F548" s="13">
        <v>74.3</v>
      </c>
      <c r="G548">
        <v>0.08</v>
      </c>
      <c r="H548" t="s">
        <v>19</v>
      </c>
      <c r="I548" s="13">
        <v>-129.01</v>
      </c>
      <c r="J548">
        <v>2.08</v>
      </c>
      <c r="K548">
        <v>5.33</v>
      </c>
      <c r="L548" t="s">
        <v>47</v>
      </c>
      <c r="M548" t="s">
        <v>69</v>
      </c>
      <c r="N548" s="5" t="s">
        <v>69</v>
      </c>
      <c r="O548" t="s">
        <v>28</v>
      </c>
      <c r="P548" t="s">
        <v>32</v>
      </c>
      <c r="Q548" t="s">
        <v>33</v>
      </c>
      <c r="R548">
        <v>0.43</v>
      </c>
      <c r="S548" s="1">
        <v>39882</v>
      </c>
      <c r="T548" t="str">
        <f t="shared" si="17"/>
        <v>10-Mar-2009</v>
      </c>
    </row>
    <row r="549" spans="1:20" x14ac:dyDescent="0.3">
      <c r="A549">
        <v>11941</v>
      </c>
      <c r="B549" s="1">
        <v>40353</v>
      </c>
      <c r="C549" t="s">
        <v>43</v>
      </c>
      <c r="D549" t="str">
        <f t="shared" si="16"/>
        <v>24-Jun-2010</v>
      </c>
      <c r="E549">
        <v>4</v>
      </c>
      <c r="F549" s="13">
        <v>73.069999999999993</v>
      </c>
      <c r="G549">
        <v>0.08</v>
      </c>
      <c r="H549" t="s">
        <v>19</v>
      </c>
      <c r="I549" s="13">
        <v>-41.01</v>
      </c>
      <c r="J549">
        <v>15.7</v>
      </c>
      <c r="K549">
        <v>11.25</v>
      </c>
      <c r="L549" t="s">
        <v>72</v>
      </c>
      <c r="M549" t="s">
        <v>69</v>
      </c>
      <c r="N549" s="5" t="s">
        <v>69</v>
      </c>
      <c r="O549" t="s">
        <v>28</v>
      </c>
      <c r="P549" t="s">
        <v>21</v>
      </c>
      <c r="Q549" t="s">
        <v>22</v>
      </c>
      <c r="R549">
        <v>0.6</v>
      </c>
      <c r="S549" s="1">
        <v>40354</v>
      </c>
      <c r="T549" t="str">
        <f t="shared" si="17"/>
        <v>25-Jun-2010</v>
      </c>
    </row>
    <row r="550" spans="1:20" x14ac:dyDescent="0.3">
      <c r="A550">
        <v>39846</v>
      </c>
      <c r="B550" s="1">
        <v>39871</v>
      </c>
      <c r="C550" t="s">
        <v>18</v>
      </c>
      <c r="D550" t="str">
        <f t="shared" si="16"/>
        <v>27-Feb-2009</v>
      </c>
      <c r="E550">
        <v>14</v>
      </c>
      <c r="F550" s="13">
        <v>71.47</v>
      </c>
      <c r="G550">
        <v>0.06</v>
      </c>
      <c r="H550" t="s">
        <v>19</v>
      </c>
      <c r="I550" s="13">
        <v>-62.73</v>
      </c>
      <c r="J550">
        <v>4.9800000000000004</v>
      </c>
      <c r="K550">
        <v>4.62</v>
      </c>
      <c r="L550" t="s">
        <v>82</v>
      </c>
      <c r="M550" t="s">
        <v>69</v>
      </c>
      <c r="N550" s="5" t="s">
        <v>69</v>
      </c>
      <c r="O550" t="s">
        <v>28</v>
      </c>
      <c r="P550" t="s">
        <v>29</v>
      </c>
      <c r="Q550" t="s">
        <v>41</v>
      </c>
      <c r="R550">
        <v>0.64</v>
      </c>
      <c r="S550" s="1">
        <v>39878</v>
      </c>
      <c r="T550" t="str">
        <f t="shared" si="17"/>
        <v>06-Mar-2009</v>
      </c>
    </row>
    <row r="551" spans="1:20" x14ac:dyDescent="0.3">
      <c r="A551">
        <v>39683</v>
      </c>
      <c r="B551" s="1">
        <v>40765</v>
      </c>
      <c r="C551" t="s">
        <v>23</v>
      </c>
      <c r="D551" t="str">
        <f t="shared" si="16"/>
        <v>10-Aug-2011</v>
      </c>
      <c r="E551">
        <v>30</v>
      </c>
      <c r="F551" s="13">
        <v>68.14</v>
      </c>
      <c r="G551">
        <v>0</v>
      </c>
      <c r="H551" t="s">
        <v>19</v>
      </c>
      <c r="I551" s="13">
        <v>6.37</v>
      </c>
      <c r="J551">
        <v>2.1800000000000002</v>
      </c>
      <c r="K551">
        <v>0.78</v>
      </c>
      <c r="L551" t="s">
        <v>81</v>
      </c>
      <c r="M551" t="s">
        <v>69</v>
      </c>
      <c r="N551" s="5" t="s">
        <v>69</v>
      </c>
      <c r="O551" t="s">
        <v>28</v>
      </c>
      <c r="P551" t="s">
        <v>21</v>
      </c>
      <c r="Q551" t="s">
        <v>39</v>
      </c>
      <c r="R551">
        <v>0.52</v>
      </c>
      <c r="S551" s="1">
        <v>40767</v>
      </c>
      <c r="T551" t="str">
        <f t="shared" si="17"/>
        <v>12-Aug-2011</v>
      </c>
    </row>
    <row r="552" spans="1:20" x14ac:dyDescent="0.3">
      <c r="A552">
        <v>33703</v>
      </c>
      <c r="B552" s="1">
        <v>40215</v>
      </c>
      <c r="C552" t="s">
        <v>31</v>
      </c>
      <c r="D552" t="str">
        <f t="shared" si="16"/>
        <v>06-Feb-2010</v>
      </c>
      <c r="E552">
        <v>4</v>
      </c>
      <c r="F552" s="13">
        <v>63.52</v>
      </c>
      <c r="G552">
        <v>0.08</v>
      </c>
      <c r="H552" t="s">
        <v>35</v>
      </c>
      <c r="I552" s="13">
        <v>-8.4700000000000006</v>
      </c>
      <c r="J552">
        <v>12.21</v>
      </c>
      <c r="K552">
        <v>4.8099999999999996</v>
      </c>
      <c r="L552" t="s">
        <v>49</v>
      </c>
      <c r="M552" t="s">
        <v>69</v>
      </c>
      <c r="N552" s="5" t="s">
        <v>69</v>
      </c>
      <c r="O552" t="s">
        <v>28</v>
      </c>
      <c r="P552" t="s">
        <v>21</v>
      </c>
      <c r="Q552" t="s">
        <v>22</v>
      </c>
      <c r="R552">
        <v>0.57999999999999996</v>
      </c>
      <c r="S552" s="1">
        <v>40217</v>
      </c>
      <c r="T552" t="str">
        <f t="shared" si="17"/>
        <v>08-Feb-2010</v>
      </c>
    </row>
    <row r="553" spans="1:20" x14ac:dyDescent="0.3">
      <c r="A553">
        <v>27909</v>
      </c>
      <c r="B553" s="1">
        <v>40946</v>
      </c>
      <c r="C553" t="s">
        <v>43</v>
      </c>
      <c r="D553" t="str">
        <f t="shared" si="16"/>
        <v>07-Feb-2012</v>
      </c>
      <c r="E553">
        <v>1</v>
      </c>
      <c r="F553" s="13">
        <v>62.26</v>
      </c>
      <c r="G553">
        <v>0.09</v>
      </c>
      <c r="H553" t="s">
        <v>19</v>
      </c>
      <c r="I553" s="13">
        <v>-23.24</v>
      </c>
      <c r="J553">
        <v>54.96</v>
      </c>
      <c r="K553">
        <v>10.75</v>
      </c>
      <c r="L553" t="s">
        <v>36</v>
      </c>
      <c r="M553" t="s">
        <v>69</v>
      </c>
      <c r="N553" s="5" t="s">
        <v>69</v>
      </c>
      <c r="O553" t="s">
        <v>28</v>
      </c>
      <c r="P553" t="s">
        <v>21</v>
      </c>
      <c r="Q553" t="s">
        <v>37</v>
      </c>
      <c r="R553">
        <v>0.36</v>
      </c>
      <c r="S553" s="1">
        <v>40948</v>
      </c>
      <c r="T553" t="str">
        <f t="shared" si="17"/>
        <v>09-Feb-2012</v>
      </c>
    </row>
    <row r="554" spans="1:20" x14ac:dyDescent="0.3">
      <c r="A554">
        <v>27909</v>
      </c>
      <c r="B554" s="1">
        <v>40946</v>
      </c>
      <c r="C554" t="s">
        <v>43</v>
      </c>
      <c r="D554" t="str">
        <f t="shared" si="16"/>
        <v>07-Feb-2012</v>
      </c>
      <c r="E554">
        <v>47</v>
      </c>
      <c r="F554" s="13">
        <v>58.53</v>
      </c>
      <c r="G554">
        <v>7.0000000000000007E-2</v>
      </c>
      <c r="H554" t="s">
        <v>19</v>
      </c>
      <c r="I554" s="13">
        <v>-24.86</v>
      </c>
      <c r="J554">
        <v>1.26</v>
      </c>
      <c r="K554">
        <v>0.7</v>
      </c>
      <c r="L554" t="s">
        <v>36</v>
      </c>
      <c r="M554" t="s">
        <v>69</v>
      </c>
      <c r="N554" s="5" t="s">
        <v>69</v>
      </c>
      <c r="O554" t="s">
        <v>28</v>
      </c>
      <c r="P554" t="s">
        <v>21</v>
      </c>
      <c r="Q554" t="s">
        <v>39</v>
      </c>
      <c r="R554">
        <v>0.81</v>
      </c>
      <c r="S554" s="1">
        <v>40949</v>
      </c>
      <c r="T554" t="str">
        <f t="shared" si="17"/>
        <v>10-Feb-2012</v>
      </c>
    </row>
    <row r="555" spans="1:20" x14ac:dyDescent="0.3">
      <c r="A555">
        <v>33159</v>
      </c>
      <c r="B555" s="1">
        <v>41026</v>
      </c>
      <c r="C555" t="s">
        <v>38</v>
      </c>
      <c r="D555" t="str">
        <f t="shared" si="16"/>
        <v>27-Apr-2012</v>
      </c>
      <c r="E555">
        <v>3</v>
      </c>
      <c r="F555" s="13">
        <v>56.695</v>
      </c>
      <c r="G555">
        <v>0.01</v>
      </c>
      <c r="H555" t="s">
        <v>19</v>
      </c>
      <c r="I555" s="13">
        <v>-70.97</v>
      </c>
      <c r="J555">
        <v>20.99</v>
      </c>
      <c r="K555">
        <v>0.99</v>
      </c>
      <c r="L555" t="s">
        <v>82</v>
      </c>
      <c r="M555" t="s">
        <v>69</v>
      </c>
      <c r="N555" s="5" t="s">
        <v>69</v>
      </c>
      <c r="O555" t="s">
        <v>28</v>
      </c>
      <c r="P555" t="s">
        <v>29</v>
      </c>
      <c r="Q555" t="s">
        <v>30</v>
      </c>
      <c r="R555">
        <v>0.37</v>
      </c>
      <c r="S555" s="1">
        <v>41028</v>
      </c>
      <c r="T555" t="str">
        <f t="shared" si="17"/>
        <v>29-Apr-2012</v>
      </c>
    </row>
    <row r="556" spans="1:20" x14ac:dyDescent="0.3">
      <c r="A556">
        <v>21285</v>
      </c>
      <c r="B556" s="1">
        <v>40362</v>
      </c>
      <c r="C556" t="s">
        <v>38</v>
      </c>
      <c r="D556" t="str">
        <f t="shared" si="16"/>
        <v>03-Jul-2010</v>
      </c>
      <c r="E556">
        <v>32</v>
      </c>
      <c r="F556" s="13">
        <v>54.78</v>
      </c>
      <c r="G556">
        <v>0.02</v>
      </c>
      <c r="H556" t="s">
        <v>19</v>
      </c>
      <c r="I556" s="13">
        <v>-30.54</v>
      </c>
      <c r="J556">
        <v>1.68</v>
      </c>
      <c r="K556">
        <v>1.57</v>
      </c>
      <c r="L556" t="s">
        <v>68</v>
      </c>
      <c r="M556" t="s">
        <v>69</v>
      </c>
      <c r="N556" s="5" t="s">
        <v>69</v>
      </c>
      <c r="O556" t="s">
        <v>28</v>
      </c>
      <c r="P556" t="s">
        <v>21</v>
      </c>
      <c r="Q556" t="s">
        <v>50</v>
      </c>
      <c r="R556">
        <v>0.59</v>
      </c>
      <c r="S556" s="1">
        <v>40363</v>
      </c>
      <c r="T556" t="str">
        <f t="shared" si="17"/>
        <v>04-Jul-2010</v>
      </c>
    </row>
    <row r="557" spans="1:20" x14ac:dyDescent="0.3">
      <c r="A557">
        <v>44772</v>
      </c>
      <c r="B557" s="1">
        <v>39903</v>
      </c>
      <c r="C557" t="s">
        <v>31</v>
      </c>
      <c r="D557" t="str">
        <f t="shared" si="16"/>
        <v>31-Mar-2009</v>
      </c>
      <c r="E557">
        <v>1</v>
      </c>
      <c r="F557" s="13">
        <v>54.076999999999998</v>
      </c>
      <c r="G557">
        <v>7.0000000000000007E-2</v>
      </c>
      <c r="H557" t="s">
        <v>35</v>
      </c>
      <c r="I557" s="13">
        <v>-232.99</v>
      </c>
      <c r="J557">
        <v>55.99</v>
      </c>
      <c r="K557">
        <v>5</v>
      </c>
      <c r="L557" t="s">
        <v>59</v>
      </c>
      <c r="M557" t="s">
        <v>69</v>
      </c>
      <c r="N557" s="5" t="s">
        <v>69</v>
      </c>
      <c r="O557" t="s">
        <v>28</v>
      </c>
      <c r="P557" t="s">
        <v>29</v>
      </c>
      <c r="Q557" t="s">
        <v>30</v>
      </c>
      <c r="R557">
        <v>0.83</v>
      </c>
      <c r="S557" s="1">
        <v>39905</v>
      </c>
      <c r="T557" t="str">
        <f t="shared" si="17"/>
        <v>02-Apr-2009</v>
      </c>
    </row>
    <row r="558" spans="1:20" x14ac:dyDescent="0.3">
      <c r="A558">
        <v>47873</v>
      </c>
      <c r="B558" s="1">
        <v>40495</v>
      </c>
      <c r="C558" t="s">
        <v>43</v>
      </c>
      <c r="D558" t="str">
        <f t="shared" si="16"/>
        <v>13-Nov-2010</v>
      </c>
      <c r="E558">
        <v>8</v>
      </c>
      <c r="F558" s="13">
        <v>52.39</v>
      </c>
      <c r="G558">
        <v>0.08</v>
      </c>
      <c r="H558" t="s">
        <v>19</v>
      </c>
      <c r="I558" s="13">
        <v>-17.38</v>
      </c>
      <c r="J558">
        <v>5.89</v>
      </c>
      <c r="K558">
        <v>5.57</v>
      </c>
      <c r="L558" t="s">
        <v>71</v>
      </c>
      <c r="M558" t="s">
        <v>69</v>
      </c>
      <c r="N558" s="5" t="s">
        <v>69</v>
      </c>
      <c r="O558" t="s">
        <v>28</v>
      </c>
      <c r="P558" t="s">
        <v>32</v>
      </c>
      <c r="Q558" t="s">
        <v>33</v>
      </c>
      <c r="R558">
        <v>0.41</v>
      </c>
      <c r="S558" s="1">
        <v>40497</v>
      </c>
      <c r="T558" t="str">
        <f t="shared" si="17"/>
        <v>15-Nov-2010</v>
      </c>
    </row>
    <row r="559" spans="1:20" x14ac:dyDescent="0.3">
      <c r="A559">
        <v>50278</v>
      </c>
      <c r="B559" s="1">
        <v>40323</v>
      </c>
      <c r="C559" t="s">
        <v>23</v>
      </c>
      <c r="D559" t="str">
        <f t="shared" si="16"/>
        <v>25-May-2010</v>
      </c>
      <c r="E559">
        <v>2</v>
      </c>
      <c r="F559" s="13">
        <v>51.21</v>
      </c>
      <c r="G559">
        <v>0</v>
      </c>
      <c r="H559" t="s">
        <v>19</v>
      </c>
      <c r="I559" s="13">
        <v>-27.53</v>
      </c>
      <c r="J559">
        <v>20.98</v>
      </c>
      <c r="K559">
        <v>8.83</v>
      </c>
      <c r="L559" t="s">
        <v>62</v>
      </c>
      <c r="M559" t="s">
        <v>69</v>
      </c>
      <c r="N559" s="5" t="s">
        <v>69</v>
      </c>
      <c r="O559" t="s">
        <v>28</v>
      </c>
      <c r="P559" t="s">
        <v>21</v>
      </c>
      <c r="Q559" t="s">
        <v>26</v>
      </c>
      <c r="R559">
        <v>0.37</v>
      </c>
      <c r="S559" s="1">
        <v>40323</v>
      </c>
      <c r="T559" t="str">
        <f t="shared" si="17"/>
        <v>25-May-2010</v>
      </c>
    </row>
    <row r="560" spans="1:20" x14ac:dyDescent="0.3">
      <c r="A560">
        <v>26567</v>
      </c>
      <c r="B560" s="1">
        <v>40060</v>
      </c>
      <c r="C560" t="s">
        <v>43</v>
      </c>
      <c r="D560" t="str">
        <f t="shared" si="16"/>
        <v>04-Sep-2009</v>
      </c>
      <c r="E560">
        <v>8</v>
      </c>
      <c r="F560" s="13">
        <v>50.7</v>
      </c>
      <c r="G560">
        <v>0.08</v>
      </c>
      <c r="H560" t="s">
        <v>19</v>
      </c>
      <c r="I560" s="13">
        <v>-44.07</v>
      </c>
      <c r="J560">
        <v>5.4</v>
      </c>
      <c r="K560">
        <v>7.78</v>
      </c>
      <c r="L560" t="s">
        <v>44</v>
      </c>
      <c r="M560" t="s">
        <v>69</v>
      </c>
      <c r="N560" s="5" t="s">
        <v>69</v>
      </c>
      <c r="O560" t="s">
        <v>28</v>
      </c>
      <c r="P560" t="s">
        <v>21</v>
      </c>
      <c r="Q560" t="s">
        <v>26</v>
      </c>
      <c r="R560">
        <v>0.37</v>
      </c>
      <c r="S560" s="1">
        <v>40060</v>
      </c>
      <c r="T560" t="str">
        <f t="shared" si="17"/>
        <v>04-Sep-2009</v>
      </c>
    </row>
    <row r="561" spans="1:20" x14ac:dyDescent="0.3">
      <c r="A561">
        <v>33894</v>
      </c>
      <c r="B561" s="1">
        <v>40343</v>
      </c>
      <c r="C561" t="s">
        <v>43</v>
      </c>
      <c r="D561" t="str">
        <f t="shared" si="16"/>
        <v>14-Jun-2010</v>
      </c>
      <c r="E561">
        <v>5</v>
      </c>
      <c r="F561" s="13">
        <v>42.89</v>
      </c>
      <c r="G561">
        <v>0.02</v>
      </c>
      <c r="H561" t="s">
        <v>19</v>
      </c>
      <c r="I561" s="13">
        <v>-32.479999999999997</v>
      </c>
      <c r="J561">
        <v>6.84</v>
      </c>
      <c r="K561">
        <v>8.3699999999999992</v>
      </c>
      <c r="L561" t="s">
        <v>71</v>
      </c>
      <c r="M561" t="s">
        <v>69</v>
      </c>
      <c r="N561" s="5" t="s">
        <v>69</v>
      </c>
      <c r="O561" t="s">
        <v>28</v>
      </c>
      <c r="P561" t="s">
        <v>21</v>
      </c>
      <c r="Q561" t="s">
        <v>67</v>
      </c>
      <c r="R561">
        <v>0.57999999999999996</v>
      </c>
      <c r="S561" s="1">
        <v>40344</v>
      </c>
      <c r="T561" t="str">
        <f t="shared" si="17"/>
        <v>15-Jun-2010</v>
      </c>
    </row>
    <row r="562" spans="1:20" x14ac:dyDescent="0.3">
      <c r="A562">
        <v>19686</v>
      </c>
      <c r="B562" s="1">
        <v>40405</v>
      </c>
      <c r="C562" t="s">
        <v>38</v>
      </c>
      <c r="D562" t="str">
        <f t="shared" si="16"/>
        <v>15-Aug-2010</v>
      </c>
      <c r="E562">
        <v>2</v>
      </c>
      <c r="F562" s="13">
        <v>42.31</v>
      </c>
      <c r="G562">
        <v>0.06</v>
      </c>
      <c r="H562" t="s">
        <v>19</v>
      </c>
      <c r="I562" s="13">
        <v>-53.08</v>
      </c>
      <c r="J562">
        <v>17.98</v>
      </c>
      <c r="K562">
        <v>8.51</v>
      </c>
      <c r="L562" t="s">
        <v>53</v>
      </c>
      <c r="M562" t="s">
        <v>69</v>
      </c>
      <c r="N562" s="5" t="s">
        <v>69</v>
      </c>
      <c r="O562" t="s">
        <v>28</v>
      </c>
      <c r="P562" t="s">
        <v>29</v>
      </c>
      <c r="Q562" t="s">
        <v>74</v>
      </c>
      <c r="R562">
        <v>0.4</v>
      </c>
      <c r="S562" s="1">
        <v>40405</v>
      </c>
      <c r="T562" t="str">
        <f t="shared" si="17"/>
        <v>15-Aug-2010</v>
      </c>
    </row>
    <row r="563" spans="1:20" x14ac:dyDescent="0.3">
      <c r="A563">
        <v>12352</v>
      </c>
      <c r="B563" s="1">
        <v>40991</v>
      </c>
      <c r="C563" t="s">
        <v>38</v>
      </c>
      <c r="D563" t="str">
        <f t="shared" si="16"/>
        <v>23-Mar-2012</v>
      </c>
      <c r="E563">
        <v>5</v>
      </c>
      <c r="F563" s="13">
        <v>36.86</v>
      </c>
      <c r="G563">
        <v>7.0000000000000007E-2</v>
      </c>
      <c r="H563" t="s">
        <v>19</v>
      </c>
      <c r="I563" s="13">
        <v>-32.82</v>
      </c>
      <c r="J563">
        <v>5.81</v>
      </c>
      <c r="K563">
        <v>8.49</v>
      </c>
      <c r="L563" t="s">
        <v>75</v>
      </c>
      <c r="M563" t="s">
        <v>69</v>
      </c>
      <c r="N563" s="5" t="s">
        <v>69</v>
      </c>
      <c r="O563" t="s">
        <v>28</v>
      </c>
      <c r="P563" t="s">
        <v>21</v>
      </c>
      <c r="Q563" t="s">
        <v>26</v>
      </c>
      <c r="R563">
        <v>0.39</v>
      </c>
      <c r="S563" s="1">
        <v>40992</v>
      </c>
      <c r="T563" t="str">
        <f t="shared" si="17"/>
        <v>24-Mar-2012</v>
      </c>
    </row>
    <row r="564" spans="1:20" x14ac:dyDescent="0.3">
      <c r="A564">
        <v>34177</v>
      </c>
      <c r="B564" s="1">
        <v>40040</v>
      </c>
      <c r="C564" t="s">
        <v>23</v>
      </c>
      <c r="D564" t="str">
        <f t="shared" si="16"/>
        <v>15-Aug-2009</v>
      </c>
      <c r="E564">
        <v>13</v>
      </c>
      <c r="F564" s="13">
        <v>34.42</v>
      </c>
      <c r="G564">
        <v>0.02</v>
      </c>
      <c r="H564" t="s">
        <v>19</v>
      </c>
      <c r="I564" s="13">
        <v>9.4700000000000006</v>
      </c>
      <c r="J564">
        <v>2.61</v>
      </c>
      <c r="K564">
        <v>0.5</v>
      </c>
      <c r="L564" t="s">
        <v>84</v>
      </c>
      <c r="M564" t="s">
        <v>69</v>
      </c>
      <c r="N564" s="5" t="s">
        <v>69</v>
      </c>
      <c r="O564" t="s">
        <v>28</v>
      </c>
      <c r="P564" t="s">
        <v>21</v>
      </c>
      <c r="Q564" t="s">
        <v>48</v>
      </c>
      <c r="R564">
        <v>0.39</v>
      </c>
      <c r="S564" s="1">
        <v>40043</v>
      </c>
      <c r="T564" t="str">
        <f t="shared" si="17"/>
        <v>18-Aug-2009</v>
      </c>
    </row>
    <row r="565" spans="1:20" x14ac:dyDescent="0.3">
      <c r="A565">
        <v>26499</v>
      </c>
      <c r="B565" s="1">
        <v>40230</v>
      </c>
      <c r="C565" t="s">
        <v>38</v>
      </c>
      <c r="D565" t="str">
        <f t="shared" si="16"/>
        <v>21-Feb-2010</v>
      </c>
      <c r="E565">
        <v>11</v>
      </c>
      <c r="F565" s="13">
        <v>32.4</v>
      </c>
      <c r="G565">
        <v>0.05</v>
      </c>
      <c r="H565" t="s">
        <v>19</v>
      </c>
      <c r="I565" s="13">
        <v>8.7799999999999994</v>
      </c>
      <c r="J565">
        <v>2.88</v>
      </c>
      <c r="K565">
        <v>0.5</v>
      </c>
      <c r="L565" t="s">
        <v>44</v>
      </c>
      <c r="M565" t="s">
        <v>69</v>
      </c>
      <c r="N565" s="5" t="s">
        <v>69</v>
      </c>
      <c r="O565" t="s">
        <v>28</v>
      </c>
      <c r="P565" t="s">
        <v>21</v>
      </c>
      <c r="Q565" t="s">
        <v>48</v>
      </c>
      <c r="R565">
        <v>0.39</v>
      </c>
      <c r="S565" s="1">
        <v>40231</v>
      </c>
      <c r="T565" t="str">
        <f t="shared" si="17"/>
        <v>22-Feb-2010</v>
      </c>
    </row>
    <row r="566" spans="1:20" x14ac:dyDescent="0.3">
      <c r="A566">
        <v>47460</v>
      </c>
      <c r="B566" s="1">
        <v>40461</v>
      </c>
      <c r="C566" t="s">
        <v>43</v>
      </c>
      <c r="D566" t="str">
        <f t="shared" si="16"/>
        <v>10-Oct-2010</v>
      </c>
      <c r="E566">
        <v>12</v>
      </c>
      <c r="F566" s="13">
        <v>31.6</v>
      </c>
      <c r="G566">
        <v>0.1</v>
      </c>
      <c r="H566" t="s">
        <v>19</v>
      </c>
      <c r="I566" s="13">
        <v>-3.64</v>
      </c>
      <c r="J566">
        <v>2.84</v>
      </c>
      <c r="K566">
        <v>0.93</v>
      </c>
      <c r="L566" t="s">
        <v>72</v>
      </c>
      <c r="M566" t="s">
        <v>69</v>
      </c>
      <c r="N566" s="5" t="s">
        <v>69</v>
      </c>
      <c r="O566" t="s">
        <v>28</v>
      </c>
      <c r="P566" t="s">
        <v>21</v>
      </c>
      <c r="Q566" t="s">
        <v>50</v>
      </c>
      <c r="R566">
        <v>0.54</v>
      </c>
      <c r="S566" s="1">
        <v>40463</v>
      </c>
      <c r="T566" t="str">
        <f t="shared" si="17"/>
        <v>12-Oct-2010</v>
      </c>
    </row>
    <row r="567" spans="1:20" x14ac:dyDescent="0.3">
      <c r="A567">
        <v>22501</v>
      </c>
      <c r="B567" s="1">
        <v>40316</v>
      </c>
      <c r="C567" t="s">
        <v>23</v>
      </c>
      <c r="D567" t="str">
        <f t="shared" si="16"/>
        <v>18-May-2010</v>
      </c>
      <c r="E567">
        <v>2</v>
      </c>
      <c r="F567" s="13">
        <v>30.83</v>
      </c>
      <c r="G567">
        <v>0.04</v>
      </c>
      <c r="H567" t="s">
        <v>35</v>
      </c>
      <c r="I567" s="13">
        <v>7.27</v>
      </c>
      <c r="J567">
        <v>7.64</v>
      </c>
      <c r="K567">
        <v>1.39</v>
      </c>
      <c r="L567" t="s">
        <v>53</v>
      </c>
      <c r="M567" t="s">
        <v>69</v>
      </c>
      <c r="N567" s="5" t="s">
        <v>69</v>
      </c>
      <c r="O567" t="s">
        <v>28</v>
      </c>
      <c r="P567" t="s">
        <v>21</v>
      </c>
      <c r="Q567" t="s">
        <v>42</v>
      </c>
      <c r="R567">
        <v>0.36</v>
      </c>
      <c r="S567" s="1">
        <v>40317</v>
      </c>
      <c r="T567" t="str">
        <f t="shared" si="17"/>
        <v>19-May-2010</v>
      </c>
    </row>
    <row r="568" spans="1:20" x14ac:dyDescent="0.3">
      <c r="A568">
        <v>33444</v>
      </c>
      <c r="B568" s="1">
        <v>41188</v>
      </c>
      <c r="C568" t="s">
        <v>38</v>
      </c>
      <c r="D568" t="str">
        <f t="shared" si="16"/>
        <v>06-Oct-2012</v>
      </c>
      <c r="E568">
        <v>11</v>
      </c>
      <c r="F568" s="13">
        <v>30.51</v>
      </c>
      <c r="G568">
        <v>0.09</v>
      </c>
      <c r="H568" t="s">
        <v>19</v>
      </c>
      <c r="I568" s="13">
        <v>-17.68</v>
      </c>
      <c r="J568">
        <v>2.6</v>
      </c>
      <c r="K568">
        <v>2.4</v>
      </c>
      <c r="L568" t="s">
        <v>53</v>
      </c>
      <c r="M568" t="s">
        <v>69</v>
      </c>
      <c r="N568" s="5" t="s">
        <v>69</v>
      </c>
      <c r="O568" t="s">
        <v>28</v>
      </c>
      <c r="P568" t="s">
        <v>21</v>
      </c>
      <c r="Q568" t="s">
        <v>50</v>
      </c>
      <c r="R568">
        <v>0.57999999999999996</v>
      </c>
      <c r="S568" s="1">
        <v>41189</v>
      </c>
      <c r="T568" t="str">
        <f t="shared" si="17"/>
        <v>07-Oct-2012</v>
      </c>
    </row>
    <row r="569" spans="1:20" x14ac:dyDescent="0.3">
      <c r="A569">
        <v>32229</v>
      </c>
      <c r="B569" s="1">
        <v>40420</v>
      </c>
      <c r="C569" t="s">
        <v>23</v>
      </c>
      <c r="D569" t="str">
        <f t="shared" si="16"/>
        <v>30-Aug-2010</v>
      </c>
      <c r="E569">
        <v>15</v>
      </c>
      <c r="F569" s="13">
        <v>28.68</v>
      </c>
      <c r="G569">
        <v>0</v>
      </c>
      <c r="H569" t="s">
        <v>19</v>
      </c>
      <c r="I569" s="13">
        <v>-0.12</v>
      </c>
      <c r="J569">
        <v>1.76</v>
      </c>
      <c r="K569">
        <v>0.7</v>
      </c>
      <c r="L569" t="s">
        <v>40</v>
      </c>
      <c r="M569" t="s">
        <v>69</v>
      </c>
      <c r="N569" s="5" t="s">
        <v>69</v>
      </c>
      <c r="O569" t="s">
        <v>28</v>
      </c>
      <c r="P569" t="s">
        <v>21</v>
      </c>
      <c r="Q569" t="s">
        <v>50</v>
      </c>
      <c r="R569">
        <v>0.56000000000000005</v>
      </c>
      <c r="S569" s="1">
        <v>40421</v>
      </c>
      <c r="T569" t="str">
        <f t="shared" si="17"/>
        <v>31-Aug-2010</v>
      </c>
    </row>
    <row r="570" spans="1:20" x14ac:dyDescent="0.3">
      <c r="A570">
        <v>28165</v>
      </c>
      <c r="B570" s="1">
        <v>41099</v>
      </c>
      <c r="C570" t="s">
        <v>31</v>
      </c>
      <c r="D570" t="str">
        <f t="shared" si="16"/>
        <v>09-Jul-2012</v>
      </c>
      <c r="E570">
        <v>2</v>
      </c>
      <c r="F570" s="13">
        <v>24.96</v>
      </c>
      <c r="G570">
        <v>0.05</v>
      </c>
      <c r="H570" t="s">
        <v>19</v>
      </c>
      <c r="I570" s="13">
        <v>-12.8</v>
      </c>
      <c r="J570">
        <v>10.91</v>
      </c>
      <c r="K570">
        <v>2.99</v>
      </c>
      <c r="L570" t="s">
        <v>52</v>
      </c>
      <c r="M570" t="s">
        <v>69</v>
      </c>
      <c r="N570" s="5" t="s">
        <v>69</v>
      </c>
      <c r="O570" t="s">
        <v>28</v>
      </c>
      <c r="P570" t="s">
        <v>21</v>
      </c>
      <c r="Q570" t="s">
        <v>26</v>
      </c>
      <c r="R570">
        <v>0.38</v>
      </c>
      <c r="S570" s="1">
        <v>41101</v>
      </c>
      <c r="T570" t="str">
        <f t="shared" si="17"/>
        <v>11-Jul-2012</v>
      </c>
    </row>
    <row r="571" spans="1:20" x14ac:dyDescent="0.3">
      <c r="A571">
        <v>34631</v>
      </c>
      <c r="B571" s="1">
        <v>40109</v>
      </c>
      <c r="C571" t="s">
        <v>31</v>
      </c>
      <c r="D571" t="str">
        <f t="shared" si="16"/>
        <v>23-Oct-2009</v>
      </c>
      <c r="E571">
        <v>5</v>
      </c>
      <c r="F571" s="13">
        <v>22.06</v>
      </c>
      <c r="G571">
        <v>0.06</v>
      </c>
      <c r="H571" t="s">
        <v>19</v>
      </c>
      <c r="I571" s="13">
        <v>-22.28</v>
      </c>
      <c r="J571">
        <v>3.36</v>
      </c>
      <c r="K571">
        <v>6.27</v>
      </c>
      <c r="L571" t="s">
        <v>73</v>
      </c>
      <c r="M571" t="s">
        <v>69</v>
      </c>
      <c r="N571" s="5" t="s">
        <v>69</v>
      </c>
      <c r="O571" t="s">
        <v>28</v>
      </c>
      <c r="P571" t="s">
        <v>21</v>
      </c>
      <c r="Q571" t="s">
        <v>26</v>
      </c>
      <c r="R571">
        <v>0.4</v>
      </c>
      <c r="S571" s="1">
        <v>40110</v>
      </c>
      <c r="T571" t="str">
        <f t="shared" si="17"/>
        <v>24-Oct-2009</v>
      </c>
    </row>
    <row r="572" spans="1:20" x14ac:dyDescent="0.3">
      <c r="A572">
        <v>41409</v>
      </c>
      <c r="B572" s="1">
        <v>40745</v>
      </c>
      <c r="C572" t="s">
        <v>31</v>
      </c>
      <c r="D572" t="str">
        <f t="shared" si="16"/>
        <v>21-Jul-2011</v>
      </c>
      <c r="E572">
        <v>1</v>
      </c>
      <c r="F572" s="13">
        <v>18.920000000000002</v>
      </c>
      <c r="G572">
        <v>0</v>
      </c>
      <c r="H572" t="s">
        <v>19</v>
      </c>
      <c r="I572" s="13">
        <v>-18.25</v>
      </c>
      <c r="J572">
        <v>11.5</v>
      </c>
      <c r="K572">
        <v>7.19</v>
      </c>
      <c r="L572" t="s">
        <v>62</v>
      </c>
      <c r="M572" t="s">
        <v>69</v>
      </c>
      <c r="N572" s="5" t="s">
        <v>69</v>
      </c>
      <c r="O572" t="s">
        <v>28</v>
      </c>
      <c r="P572" t="s">
        <v>21</v>
      </c>
      <c r="Q572" t="s">
        <v>26</v>
      </c>
      <c r="R572">
        <v>0.4</v>
      </c>
      <c r="S572" s="1">
        <v>40747</v>
      </c>
      <c r="T572" t="str">
        <f t="shared" si="17"/>
        <v>23-Jul-2011</v>
      </c>
    </row>
    <row r="573" spans="1:20" x14ac:dyDescent="0.3">
      <c r="A573">
        <v>16706</v>
      </c>
      <c r="B573" s="1">
        <v>41087</v>
      </c>
      <c r="C573" t="s">
        <v>23</v>
      </c>
      <c r="D573" t="str">
        <f t="shared" si="16"/>
        <v>27-Jun-2012</v>
      </c>
      <c r="E573">
        <v>6</v>
      </c>
      <c r="F573" s="13">
        <v>18.37</v>
      </c>
      <c r="G573">
        <v>0.01</v>
      </c>
      <c r="H573" t="s">
        <v>19</v>
      </c>
      <c r="I573" s="13">
        <v>-4.0599999999999996</v>
      </c>
      <c r="J573">
        <v>2.78</v>
      </c>
      <c r="K573">
        <v>1.2</v>
      </c>
      <c r="L573" t="s">
        <v>62</v>
      </c>
      <c r="M573" t="s">
        <v>69</v>
      </c>
      <c r="N573" s="5" t="s">
        <v>69</v>
      </c>
      <c r="O573" t="s">
        <v>28</v>
      </c>
      <c r="P573" t="s">
        <v>21</v>
      </c>
      <c r="Q573" t="s">
        <v>50</v>
      </c>
      <c r="R573">
        <v>0.57999999999999996</v>
      </c>
      <c r="S573" s="1">
        <v>41088</v>
      </c>
      <c r="T573" t="str">
        <f t="shared" si="17"/>
        <v>28-Jun-2012</v>
      </c>
    </row>
    <row r="574" spans="1:20" ht="15" thickBot="1" x14ac:dyDescent="0.35">
      <c r="A574">
        <v>52193</v>
      </c>
      <c r="B574" s="1">
        <v>40242</v>
      </c>
      <c r="C574" t="s">
        <v>31</v>
      </c>
      <c r="D574" t="str">
        <f t="shared" si="16"/>
        <v>05-Mar-2010</v>
      </c>
      <c r="E574">
        <v>1</v>
      </c>
      <c r="F574" s="13">
        <v>17.89</v>
      </c>
      <c r="G574">
        <v>0.04</v>
      </c>
      <c r="H574" t="s">
        <v>35</v>
      </c>
      <c r="I574" s="13">
        <v>10.51</v>
      </c>
      <c r="J574">
        <v>2.88</v>
      </c>
      <c r="K574">
        <v>0.5</v>
      </c>
      <c r="L574" t="s">
        <v>78</v>
      </c>
      <c r="M574" t="s">
        <v>69</v>
      </c>
      <c r="N574" s="6" t="s">
        <v>69</v>
      </c>
      <c r="O574" t="s">
        <v>28</v>
      </c>
      <c r="P574" t="s">
        <v>21</v>
      </c>
      <c r="Q574" t="s">
        <v>48</v>
      </c>
      <c r="R574">
        <v>0.39</v>
      </c>
      <c r="S574" s="1">
        <v>40244</v>
      </c>
      <c r="T574" t="str">
        <f t="shared" si="17"/>
        <v>07-Mar-2010</v>
      </c>
    </row>
    <row r="575" spans="1:20" ht="15" thickTop="1" x14ac:dyDescent="0.3">
      <c r="A575">
        <v>1761</v>
      </c>
      <c r="B575" s="1">
        <v>40535</v>
      </c>
      <c r="C575" t="s">
        <v>23</v>
      </c>
      <c r="D575" t="str">
        <f t="shared" si="16"/>
        <v>23-Dec-2010</v>
      </c>
      <c r="E575">
        <v>25</v>
      </c>
      <c r="F575" s="13">
        <v>12028.23</v>
      </c>
      <c r="G575">
        <v>0.01</v>
      </c>
      <c r="H575" t="s">
        <v>24</v>
      </c>
      <c r="I575" s="13">
        <v>-547.61</v>
      </c>
      <c r="J575">
        <v>449.99</v>
      </c>
      <c r="K575">
        <v>49</v>
      </c>
      <c r="L575" t="s">
        <v>49</v>
      </c>
      <c r="M575" t="s">
        <v>20</v>
      </c>
      <c r="N575" s="5" t="s">
        <v>20</v>
      </c>
      <c r="O575" t="s">
        <v>28</v>
      </c>
      <c r="P575" t="s">
        <v>29</v>
      </c>
      <c r="Q575" t="s">
        <v>51</v>
      </c>
      <c r="R575">
        <v>0.38</v>
      </c>
      <c r="S575" s="1">
        <v>40537</v>
      </c>
      <c r="T575" t="str">
        <f t="shared" si="17"/>
        <v>25-Dec-2010</v>
      </c>
    </row>
    <row r="576" spans="1:20" x14ac:dyDescent="0.3">
      <c r="A576">
        <v>6116</v>
      </c>
      <c r="B576" s="1">
        <v>39892</v>
      </c>
      <c r="C576" t="s">
        <v>38</v>
      </c>
      <c r="D576" t="str">
        <f t="shared" si="16"/>
        <v>20-Mar-2009</v>
      </c>
      <c r="E576">
        <v>6</v>
      </c>
      <c r="F576" s="13">
        <v>9620.82</v>
      </c>
      <c r="G576">
        <v>0.04</v>
      </c>
      <c r="H576" t="s">
        <v>19</v>
      </c>
      <c r="I576" s="13">
        <v>-1759.58</v>
      </c>
      <c r="J576">
        <v>1637.53</v>
      </c>
      <c r="K576">
        <v>24.49</v>
      </c>
      <c r="L576" t="s">
        <v>66</v>
      </c>
      <c r="M576" t="s">
        <v>20</v>
      </c>
      <c r="N576" s="5" t="s">
        <v>20</v>
      </c>
      <c r="O576" t="s">
        <v>28</v>
      </c>
      <c r="P576" t="s">
        <v>21</v>
      </c>
      <c r="Q576" t="s">
        <v>67</v>
      </c>
      <c r="R576">
        <v>0.81</v>
      </c>
      <c r="S576" s="1">
        <v>39894</v>
      </c>
      <c r="T576" t="str">
        <f t="shared" si="17"/>
        <v>22-Mar-2009</v>
      </c>
    </row>
    <row r="577" spans="1:20" x14ac:dyDescent="0.3">
      <c r="A577">
        <v>7110</v>
      </c>
      <c r="B577" s="1">
        <v>40762</v>
      </c>
      <c r="C577" t="s">
        <v>18</v>
      </c>
      <c r="D577" t="str">
        <f t="shared" si="16"/>
        <v>07-Aug-2011</v>
      </c>
      <c r="E577">
        <v>22</v>
      </c>
      <c r="F577" s="13">
        <v>6396.2</v>
      </c>
      <c r="G577">
        <v>0.02</v>
      </c>
      <c r="H577" t="s">
        <v>19</v>
      </c>
      <c r="I577" s="13">
        <v>1902.24</v>
      </c>
      <c r="J577">
        <v>276.2</v>
      </c>
      <c r="K577">
        <v>24.49</v>
      </c>
      <c r="L577" t="s">
        <v>52</v>
      </c>
      <c r="M577" t="s">
        <v>20</v>
      </c>
      <c r="N577" s="5" t="s">
        <v>20</v>
      </c>
      <c r="O577" t="s">
        <v>28</v>
      </c>
      <c r="P577" t="s">
        <v>32</v>
      </c>
      <c r="Q577" t="s">
        <v>56</v>
      </c>
      <c r="S577" s="1">
        <v>40766</v>
      </c>
      <c r="T577" t="str">
        <f t="shared" si="17"/>
        <v>11-Aug-2011</v>
      </c>
    </row>
    <row r="578" spans="1:20" x14ac:dyDescent="0.3">
      <c r="A578">
        <v>2791</v>
      </c>
      <c r="B578" s="1">
        <v>40095</v>
      </c>
      <c r="C578" t="s">
        <v>23</v>
      </c>
      <c r="D578" t="str">
        <f t="shared" ref="D578:D641" si="18">TEXT(B578, "dd-mmm-yyyy" )</f>
        <v>09-Oct-2009</v>
      </c>
      <c r="E578">
        <v>49</v>
      </c>
      <c r="F578" s="13">
        <v>5586.33</v>
      </c>
      <c r="G578">
        <v>0.09</v>
      </c>
      <c r="H578" t="s">
        <v>24</v>
      </c>
      <c r="I578" s="13">
        <v>80.44</v>
      </c>
      <c r="J578">
        <v>120.98</v>
      </c>
      <c r="K578">
        <v>30</v>
      </c>
      <c r="L578" t="s">
        <v>57</v>
      </c>
      <c r="M578" t="s">
        <v>20</v>
      </c>
      <c r="N578" s="5" t="s">
        <v>20</v>
      </c>
      <c r="O578" t="s">
        <v>28</v>
      </c>
      <c r="P578" t="s">
        <v>32</v>
      </c>
      <c r="Q578" t="s">
        <v>56</v>
      </c>
      <c r="R578">
        <v>0.64</v>
      </c>
      <c r="S578" s="1">
        <v>40097</v>
      </c>
      <c r="T578" t="str">
        <f t="shared" ref="T578:T641" si="19">TEXT(S578, "dd-mmm-yyyy")</f>
        <v>11-Oct-2009</v>
      </c>
    </row>
    <row r="579" spans="1:20" x14ac:dyDescent="0.3">
      <c r="A579">
        <v>483</v>
      </c>
      <c r="B579" s="1">
        <v>40734</v>
      </c>
      <c r="C579" t="s">
        <v>23</v>
      </c>
      <c r="D579" t="str">
        <f t="shared" si="18"/>
        <v>10-Jul-2011</v>
      </c>
      <c r="E579">
        <v>30</v>
      </c>
      <c r="F579" s="13">
        <v>4965.7595000000001</v>
      </c>
      <c r="G579">
        <v>0.08</v>
      </c>
      <c r="H579" t="s">
        <v>19</v>
      </c>
      <c r="I579" s="13">
        <v>1198.97</v>
      </c>
      <c r="J579">
        <v>195.99</v>
      </c>
      <c r="K579">
        <v>3.99</v>
      </c>
      <c r="L579" t="s">
        <v>27</v>
      </c>
      <c r="M579" t="s">
        <v>20</v>
      </c>
      <c r="N579" s="5" t="s">
        <v>20</v>
      </c>
      <c r="O579" t="s">
        <v>28</v>
      </c>
      <c r="P579" t="s">
        <v>29</v>
      </c>
      <c r="Q579" t="s">
        <v>30</v>
      </c>
      <c r="R579">
        <v>0.57999999999999996</v>
      </c>
      <c r="S579" s="1">
        <v>40736</v>
      </c>
      <c r="T579" t="str">
        <f t="shared" si="19"/>
        <v>12-Jul-2011</v>
      </c>
    </row>
    <row r="580" spans="1:20" x14ac:dyDescent="0.3">
      <c r="A580">
        <v>2757</v>
      </c>
      <c r="B580" s="1">
        <v>40743</v>
      </c>
      <c r="C580" t="s">
        <v>43</v>
      </c>
      <c r="D580" t="str">
        <f t="shared" si="18"/>
        <v>19-Jul-2011</v>
      </c>
      <c r="E580">
        <v>39</v>
      </c>
      <c r="F580" s="13">
        <v>3554.46</v>
      </c>
      <c r="G580">
        <v>7.0000000000000007E-2</v>
      </c>
      <c r="H580" t="s">
        <v>24</v>
      </c>
      <c r="I580" s="13">
        <v>-1766.01</v>
      </c>
      <c r="J580">
        <v>95.95</v>
      </c>
      <c r="K580">
        <v>74.349999999999994</v>
      </c>
      <c r="L580" t="s">
        <v>55</v>
      </c>
      <c r="M580" t="s">
        <v>20</v>
      </c>
      <c r="N580" s="5" t="s">
        <v>20</v>
      </c>
      <c r="O580" t="s">
        <v>28</v>
      </c>
      <c r="P580" t="s">
        <v>32</v>
      </c>
      <c r="Q580" t="s">
        <v>56</v>
      </c>
      <c r="R580">
        <v>0.56999999999999995</v>
      </c>
      <c r="S580" s="1">
        <v>40743</v>
      </c>
      <c r="T580" t="str">
        <f t="shared" si="19"/>
        <v>19-Jul-2011</v>
      </c>
    </row>
    <row r="581" spans="1:20" x14ac:dyDescent="0.3">
      <c r="A581">
        <v>643</v>
      </c>
      <c r="B581" s="1">
        <v>40626</v>
      </c>
      <c r="C581" t="s">
        <v>23</v>
      </c>
      <c r="D581" t="str">
        <f t="shared" si="18"/>
        <v>24-Mar-2011</v>
      </c>
      <c r="E581">
        <v>21</v>
      </c>
      <c r="F581" s="13">
        <v>2781.82</v>
      </c>
      <c r="G581">
        <v>7.0000000000000007E-2</v>
      </c>
      <c r="H581" t="s">
        <v>35</v>
      </c>
      <c r="I581" s="13">
        <v>-695.26</v>
      </c>
      <c r="J581">
        <v>138.13999999999999</v>
      </c>
      <c r="K581">
        <v>35</v>
      </c>
      <c r="L581" t="s">
        <v>36</v>
      </c>
      <c r="M581" t="s">
        <v>20</v>
      </c>
      <c r="N581" s="5" t="s">
        <v>20</v>
      </c>
      <c r="O581" t="s">
        <v>28</v>
      </c>
      <c r="P581" t="s">
        <v>21</v>
      </c>
      <c r="Q581" t="s">
        <v>22</v>
      </c>
      <c r="S581" s="1">
        <v>40627</v>
      </c>
      <c r="T581" t="str">
        <f t="shared" si="19"/>
        <v>25-Mar-2011</v>
      </c>
    </row>
    <row r="582" spans="1:20" x14ac:dyDescent="0.3">
      <c r="A582">
        <v>1344</v>
      </c>
      <c r="B582" s="1">
        <v>41014</v>
      </c>
      <c r="C582" t="s">
        <v>18</v>
      </c>
      <c r="D582" t="str">
        <f t="shared" si="18"/>
        <v>15-Apr-2012</v>
      </c>
      <c r="E582">
        <v>18</v>
      </c>
      <c r="F582" s="13">
        <v>2480.9205000000002</v>
      </c>
      <c r="G582">
        <v>0.01</v>
      </c>
      <c r="H582" t="s">
        <v>19</v>
      </c>
      <c r="I582" s="13">
        <v>313.58</v>
      </c>
      <c r="J582">
        <v>155.99</v>
      </c>
      <c r="K582">
        <v>8.99</v>
      </c>
      <c r="L582" t="s">
        <v>47</v>
      </c>
      <c r="M582" t="s">
        <v>20</v>
      </c>
      <c r="N582" s="5" t="s">
        <v>20</v>
      </c>
      <c r="O582" t="s">
        <v>28</v>
      </c>
      <c r="P582" t="s">
        <v>29</v>
      </c>
      <c r="Q582" t="s">
        <v>30</v>
      </c>
      <c r="R582">
        <v>0.57999999999999996</v>
      </c>
      <c r="S582" s="1">
        <v>41018</v>
      </c>
      <c r="T582" t="str">
        <f t="shared" si="19"/>
        <v>19-Apr-2012</v>
      </c>
    </row>
    <row r="583" spans="1:20" x14ac:dyDescent="0.3">
      <c r="A583">
        <v>6982</v>
      </c>
      <c r="B583" s="1">
        <v>40863</v>
      </c>
      <c r="C583" t="s">
        <v>31</v>
      </c>
      <c r="D583" t="str">
        <f t="shared" si="18"/>
        <v>16-Nov-2011</v>
      </c>
      <c r="E583">
        <v>32</v>
      </c>
      <c r="F583" s="13">
        <v>1311.25</v>
      </c>
      <c r="G583">
        <v>0</v>
      </c>
      <c r="H583" t="s">
        <v>35</v>
      </c>
      <c r="I583" s="13">
        <v>407.44</v>
      </c>
      <c r="J583">
        <v>39.479999999999997</v>
      </c>
      <c r="K583">
        <v>1.99</v>
      </c>
      <c r="L583" t="s">
        <v>59</v>
      </c>
      <c r="M583" t="s">
        <v>20</v>
      </c>
      <c r="N583" s="5" t="s">
        <v>20</v>
      </c>
      <c r="O583" t="s">
        <v>28</v>
      </c>
      <c r="P583" t="s">
        <v>29</v>
      </c>
      <c r="Q583" t="s">
        <v>41</v>
      </c>
      <c r="R583">
        <v>0.54</v>
      </c>
      <c r="S583" s="1">
        <v>40865</v>
      </c>
      <c r="T583" t="str">
        <f t="shared" si="19"/>
        <v>18-Nov-2011</v>
      </c>
    </row>
    <row r="584" spans="1:20" x14ac:dyDescent="0.3">
      <c r="A584">
        <v>5316</v>
      </c>
      <c r="B584" s="1">
        <v>39843</v>
      </c>
      <c r="C584" t="s">
        <v>43</v>
      </c>
      <c r="D584" t="str">
        <f t="shared" si="18"/>
        <v>30-Jan-2009</v>
      </c>
      <c r="E584">
        <v>42</v>
      </c>
      <c r="F584" s="13">
        <v>1285.3699999999999</v>
      </c>
      <c r="G584">
        <v>0.1</v>
      </c>
      <c r="H584" t="s">
        <v>19</v>
      </c>
      <c r="I584" s="13">
        <v>514.07000000000005</v>
      </c>
      <c r="J584">
        <v>31.78</v>
      </c>
      <c r="K584">
        <v>1.99</v>
      </c>
      <c r="L584" t="s">
        <v>27</v>
      </c>
      <c r="M584" t="s">
        <v>20</v>
      </c>
      <c r="N584" s="5" t="s">
        <v>20</v>
      </c>
      <c r="O584" t="s">
        <v>28</v>
      </c>
      <c r="P584" t="s">
        <v>29</v>
      </c>
      <c r="Q584" t="s">
        <v>41</v>
      </c>
      <c r="R584">
        <v>0.42</v>
      </c>
      <c r="S584" s="1">
        <v>39845</v>
      </c>
      <c r="T584" t="str">
        <f t="shared" si="19"/>
        <v>01-Feb-2009</v>
      </c>
    </row>
    <row r="585" spans="1:20" x14ac:dyDescent="0.3">
      <c r="A585">
        <v>8391</v>
      </c>
      <c r="B585" s="1">
        <v>40783</v>
      </c>
      <c r="C585" t="s">
        <v>23</v>
      </c>
      <c r="D585" t="str">
        <f t="shared" si="18"/>
        <v>28-Aug-2011</v>
      </c>
      <c r="E585">
        <v>4</v>
      </c>
      <c r="F585" s="13">
        <v>1266.72</v>
      </c>
      <c r="G585">
        <v>0.04</v>
      </c>
      <c r="H585" t="s">
        <v>24</v>
      </c>
      <c r="I585" s="13">
        <v>-268.36</v>
      </c>
      <c r="J585">
        <v>300.98</v>
      </c>
      <c r="K585">
        <v>64.73</v>
      </c>
      <c r="L585" t="s">
        <v>44</v>
      </c>
      <c r="M585" t="s">
        <v>20</v>
      </c>
      <c r="N585" s="5" t="s">
        <v>20</v>
      </c>
      <c r="O585" t="s">
        <v>28</v>
      </c>
      <c r="P585" t="s">
        <v>32</v>
      </c>
      <c r="Q585" t="s">
        <v>56</v>
      </c>
      <c r="R585">
        <v>0.56000000000000005</v>
      </c>
      <c r="S585" s="1">
        <v>40784</v>
      </c>
      <c r="T585" t="str">
        <f t="shared" si="19"/>
        <v>29-Aug-2011</v>
      </c>
    </row>
    <row r="586" spans="1:20" x14ac:dyDescent="0.3">
      <c r="A586">
        <v>2631</v>
      </c>
      <c r="B586" s="1">
        <v>40444</v>
      </c>
      <c r="C586" t="s">
        <v>18</v>
      </c>
      <c r="D586" t="str">
        <f t="shared" si="18"/>
        <v>23-Sep-2010</v>
      </c>
      <c r="E586">
        <v>27</v>
      </c>
      <c r="F586" s="13">
        <v>1078.49</v>
      </c>
      <c r="G586">
        <v>0.08</v>
      </c>
      <c r="H586" t="s">
        <v>19</v>
      </c>
      <c r="I586" s="13">
        <v>252.66</v>
      </c>
      <c r="J586">
        <v>40.96</v>
      </c>
      <c r="K586">
        <v>1.99</v>
      </c>
      <c r="L586" t="s">
        <v>54</v>
      </c>
      <c r="M586" t="s">
        <v>20</v>
      </c>
      <c r="N586" s="5" t="s">
        <v>20</v>
      </c>
      <c r="O586" t="s">
        <v>28</v>
      </c>
      <c r="P586" t="s">
        <v>29</v>
      </c>
      <c r="Q586" t="s">
        <v>41</v>
      </c>
      <c r="R586">
        <v>0.55000000000000004</v>
      </c>
      <c r="S586" s="1">
        <v>40446</v>
      </c>
      <c r="T586" t="str">
        <f t="shared" si="19"/>
        <v>25-Sep-2010</v>
      </c>
    </row>
    <row r="587" spans="1:20" x14ac:dyDescent="0.3">
      <c r="A587">
        <v>613</v>
      </c>
      <c r="B587" s="1">
        <v>40711</v>
      </c>
      <c r="C587" t="s">
        <v>23</v>
      </c>
      <c r="D587" t="str">
        <f t="shared" si="18"/>
        <v>17-Jun-2011</v>
      </c>
      <c r="E587">
        <v>22</v>
      </c>
      <c r="F587" s="13">
        <v>905.08</v>
      </c>
      <c r="G587">
        <v>0.09</v>
      </c>
      <c r="H587" t="s">
        <v>19</v>
      </c>
      <c r="I587" s="13">
        <v>127.7</v>
      </c>
      <c r="J587">
        <v>42.76</v>
      </c>
      <c r="K587">
        <v>6.22</v>
      </c>
      <c r="L587" t="s">
        <v>34</v>
      </c>
      <c r="M587" t="s">
        <v>20</v>
      </c>
      <c r="N587" s="5" t="s">
        <v>20</v>
      </c>
      <c r="O587" t="s">
        <v>28</v>
      </c>
      <c r="P587" t="s">
        <v>21</v>
      </c>
      <c r="Q587" t="s">
        <v>22</v>
      </c>
      <c r="S587" s="1">
        <v>40712</v>
      </c>
      <c r="T587" t="str">
        <f t="shared" si="19"/>
        <v>18-Jun-2011</v>
      </c>
    </row>
    <row r="588" spans="1:20" x14ac:dyDescent="0.3">
      <c r="A588">
        <v>6982</v>
      </c>
      <c r="B588" s="1">
        <v>40863</v>
      </c>
      <c r="C588" t="s">
        <v>31</v>
      </c>
      <c r="D588" t="str">
        <f t="shared" si="18"/>
        <v>16-Nov-2011</v>
      </c>
      <c r="E588">
        <v>41</v>
      </c>
      <c r="F588" s="13">
        <v>844.09</v>
      </c>
      <c r="G588">
        <v>0.04</v>
      </c>
      <c r="H588" t="s">
        <v>19</v>
      </c>
      <c r="I588" s="13">
        <v>52.56</v>
      </c>
      <c r="J588">
        <v>19.98</v>
      </c>
      <c r="K588">
        <v>10.49</v>
      </c>
      <c r="L588" t="s">
        <v>59</v>
      </c>
      <c r="M588" t="s">
        <v>20</v>
      </c>
      <c r="N588" s="5" t="s">
        <v>20</v>
      </c>
      <c r="O588" t="s">
        <v>28</v>
      </c>
      <c r="P588" t="s">
        <v>32</v>
      </c>
      <c r="Q588" t="s">
        <v>33</v>
      </c>
      <c r="R588">
        <v>0.49</v>
      </c>
      <c r="S588" s="1">
        <v>40865</v>
      </c>
      <c r="T588" t="str">
        <f t="shared" si="19"/>
        <v>18-Nov-2011</v>
      </c>
    </row>
    <row r="589" spans="1:20" x14ac:dyDescent="0.3">
      <c r="A589">
        <v>1344</v>
      </c>
      <c r="B589" s="1">
        <v>41014</v>
      </c>
      <c r="C589" t="s">
        <v>18</v>
      </c>
      <c r="D589" t="str">
        <f t="shared" si="18"/>
        <v>15-Apr-2012</v>
      </c>
      <c r="E589">
        <v>15</v>
      </c>
      <c r="F589" s="13">
        <v>834.904</v>
      </c>
      <c r="G589">
        <v>0.06</v>
      </c>
      <c r="H589" t="s">
        <v>19</v>
      </c>
      <c r="I589" s="13">
        <v>-11.68</v>
      </c>
      <c r="J589">
        <v>65.989999999999995</v>
      </c>
      <c r="K589">
        <v>5.26</v>
      </c>
      <c r="L589" t="s">
        <v>47</v>
      </c>
      <c r="M589" t="s">
        <v>20</v>
      </c>
      <c r="N589" s="5" t="s">
        <v>20</v>
      </c>
      <c r="O589" t="s">
        <v>28</v>
      </c>
      <c r="P589" t="s">
        <v>29</v>
      </c>
      <c r="Q589" t="s">
        <v>30</v>
      </c>
      <c r="R589">
        <v>0.59</v>
      </c>
      <c r="S589" s="1">
        <v>41021</v>
      </c>
      <c r="T589" t="str">
        <f t="shared" si="19"/>
        <v>22-Apr-2012</v>
      </c>
    </row>
    <row r="590" spans="1:20" x14ac:dyDescent="0.3">
      <c r="A590">
        <v>3908</v>
      </c>
      <c r="B590" s="1">
        <v>40245</v>
      </c>
      <c r="C590" t="s">
        <v>38</v>
      </c>
      <c r="D590" t="str">
        <f t="shared" si="18"/>
        <v>08-Mar-2010</v>
      </c>
      <c r="E590">
        <v>8</v>
      </c>
      <c r="F590" s="13">
        <v>820.28399999999999</v>
      </c>
      <c r="G590">
        <v>0</v>
      </c>
      <c r="H590" t="s">
        <v>19</v>
      </c>
      <c r="I590" s="13">
        <v>-180.2</v>
      </c>
      <c r="J590">
        <v>115.99</v>
      </c>
      <c r="K590">
        <v>2.5</v>
      </c>
      <c r="L590" t="s">
        <v>59</v>
      </c>
      <c r="M590" t="s">
        <v>20</v>
      </c>
      <c r="N590" s="5" t="s">
        <v>20</v>
      </c>
      <c r="O590" t="s">
        <v>28</v>
      </c>
      <c r="P590" t="s">
        <v>29</v>
      </c>
      <c r="Q590" t="s">
        <v>30</v>
      </c>
      <c r="R590">
        <v>0.56999999999999995</v>
      </c>
      <c r="S590" s="1">
        <v>40245</v>
      </c>
      <c r="T590" t="str">
        <f t="shared" si="19"/>
        <v>08-Mar-2010</v>
      </c>
    </row>
    <row r="591" spans="1:20" x14ac:dyDescent="0.3">
      <c r="A591">
        <v>7430</v>
      </c>
      <c r="B591" s="1">
        <v>40337</v>
      </c>
      <c r="C591" t="s">
        <v>38</v>
      </c>
      <c r="D591" t="str">
        <f t="shared" si="18"/>
        <v>08-Jun-2010</v>
      </c>
      <c r="E591">
        <v>50</v>
      </c>
      <c r="F591" s="13">
        <v>751.77</v>
      </c>
      <c r="G591">
        <v>0.05</v>
      </c>
      <c r="H591" t="s">
        <v>19</v>
      </c>
      <c r="I591" s="13">
        <v>353.2</v>
      </c>
      <c r="J591">
        <v>15.67</v>
      </c>
      <c r="K591">
        <v>1.39</v>
      </c>
      <c r="L591" t="s">
        <v>66</v>
      </c>
      <c r="M591" t="s">
        <v>20</v>
      </c>
      <c r="N591" s="5" t="s">
        <v>20</v>
      </c>
      <c r="O591" t="s">
        <v>28</v>
      </c>
      <c r="P591" t="s">
        <v>21</v>
      </c>
      <c r="Q591" t="s">
        <v>42</v>
      </c>
      <c r="R591">
        <v>0.38</v>
      </c>
      <c r="S591" s="1">
        <v>40338</v>
      </c>
      <c r="T591" t="str">
        <f t="shared" si="19"/>
        <v>09-Jun-2010</v>
      </c>
    </row>
    <row r="592" spans="1:20" x14ac:dyDescent="0.3">
      <c r="A592">
        <v>6982</v>
      </c>
      <c r="B592" s="1">
        <v>40863</v>
      </c>
      <c r="C592" t="s">
        <v>31</v>
      </c>
      <c r="D592" t="str">
        <f t="shared" si="18"/>
        <v>16-Nov-2011</v>
      </c>
      <c r="E592">
        <v>5</v>
      </c>
      <c r="F592" s="13">
        <v>544.41</v>
      </c>
      <c r="G592">
        <v>0.09</v>
      </c>
      <c r="H592" t="s">
        <v>24</v>
      </c>
      <c r="I592" s="13">
        <v>-338.27</v>
      </c>
      <c r="J592">
        <v>100.98</v>
      </c>
      <c r="K592">
        <v>57.38</v>
      </c>
      <c r="L592" t="s">
        <v>59</v>
      </c>
      <c r="M592" t="s">
        <v>20</v>
      </c>
      <c r="N592" s="5" t="s">
        <v>20</v>
      </c>
      <c r="O592" t="s">
        <v>28</v>
      </c>
      <c r="P592" t="s">
        <v>32</v>
      </c>
      <c r="Q592" t="s">
        <v>45</v>
      </c>
      <c r="R592">
        <v>0.78</v>
      </c>
      <c r="S592" s="1">
        <v>40865</v>
      </c>
      <c r="T592" t="str">
        <f t="shared" si="19"/>
        <v>18-Nov-2011</v>
      </c>
    </row>
    <row r="593" spans="1:20" x14ac:dyDescent="0.3">
      <c r="A593">
        <v>1539</v>
      </c>
      <c r="B593" s="1">
        <v>40611</v>
      </c>
      <c r="C593" t="s">
        <v>18</v>
      </c>
      <c r="D593" t="str">
        <f t="shared" si="18"/>
        <v>09-Mar-2011</v>
      </c>
      <c r="E593">
        <v>33</v>
      </c>
      <c r="F593" s="13">
        <v>511.83</v>
      </c>
      <c r="G593">
        <v>0.1</v>
      </c>
      <c r="H593" t="s">
        <v>19</v>
      </c>
      <c r="I593" s="13">
        <v>-172.88</v>
      </c>
      <c r="J593">
        <v>15.99</v>
      </c>
      <c r="K593">
        <v>13.18</v>
      </c>
      <c r="L593" t="s">
        <v>49</v>
      </c>
      <c r="M593" t="s">
        <v>20</v>
      </c>
      <c r="N593" s="5" t="s">
        <v>20</v>
      </c>
      <c r="O593" t="s">
        <v>28</v>
      </c>
      <c r="P593" t="s">
        <v>21</v>
      </c>
      <c r="Q593" t="s">
        <v>26</v>
      </c>
      <c r="R593">
        <v>0.37</v>
      </c>
      <c r="S593" s="1">
        <v>40613</v>
      </c>
      <c r="T593" t="str">
        <f t="shared" si="19"/>
        <v>11-Mar-2011</v>
      </c>
    </row>
    <row r="594" spans="1:20" x14ac:dyDescent="0.3">
      <c r="A594">
        <v>2791</v>
      </c>
      <c r="B594" s="1">
        <v>40095</v>
      </c>
      <c r="C594" t="s">
        <v>23</v>
      </c>
      <c r="D594" t="str">
        <f t="shared" si="18"/>
        <v>09-Oct-2009</v>
      </c>
      <c r="E594">
        <v>18</v>
      </c>
      <c r="F594" s="13">
        <v>507.64</v>
      </c>
      <c r="G594">
        <v>0.1</v>
      </c>
      <c r="H594" t="s">
        <v>19</v>
      </c>
      <c r="I594" s="13">
        <v>118.94</v>
      </c>
      <c r="J594">
        <v>30.98</v>
      </c>
      <c r="K594">
        <v>5.76</v>
      </c>
      <c r="L594" t="s">
        <v>57</v>
      </c>
      <c r="M594" t="s">
        <v>20</v>
      </c>
      <c r="N594" s="5" t="s">
        <v>20</v>
      </c>
      <c r="O594" t="s">
        <v>28</v>
      </c>
      <c r="P594" t="s">
        <v>21</v>
      </c>
      <c r="Q594" t="s">
        <v>37</v>
      </c>
      <c r="R594">
        <v>0.4</v>
      </c>
      <c r="S594" s="1">
        <v>40096</v>
      </c>
      <c r="T594" t="str">
        <f t="shared" si="19"/>
        <v>10-Oct-2009</v>
      </c>
    </row>
    <row r="595" spans="1:20" x14ac:dyDescent="0.3">
      <c r="A595">
        <v>2532</v>
      </c>
      <c r="B595" s="1">
        <v>40826</v>
      </c>
      <c r="C595" t="s">
        <v>23</v>
      </c>
      <c r="D595" t="str">
        <f t="shared" si="18"/>
        <v>10-Oct-2011</v>
      </c>
      <c r="E595">
        <v>24</v>
      </c>
      <c r="F595" s="13">
        <v>426.03699999999998</v>
      </c>
      <c r="G595">
        <v>0.01</v>
      </c>
      <c r="H595" t="s">
        <v>19</v>
      </c>
      <c r="I595" s="13">
        <v>-78.959999999999994</v>
      </c>
      <c r="J595">
        <v>20.99</v>
      </c>
      <c r="K595">
        <v>2.5</v>
      </c>
      <c r="L595" t="s">
        <v>53</v>
      </c>
      <c r="M595" t="s">
        <v>20</v>
      </c>
      <c r="N595" s="5" t="s">
        <v>20</v>
      </c>
      <c r="O595" t="s">
        <v>28</v>
      </c>
      <c r="P595" t="s">
        <v>29</v>
      </c>
      <c r="Q595" t="s">
        <v>30</v>
      </c>
      <c r="R595">
        <v>0.81</v>
      </c>
      <c r="S595" s="1">
        <v>40827</v>
      </c>
      <c r="T595" t="str">
        <f t="shared" si="19"/>
        <v>11-Oct-2011</v>
      </c>
    </row>
    <row r="596" spans="1:20" x14ac:dyDescent="0.3">
      <c r="A596">
        <v>5894</v>
      </c>
      <c r="B596" s="1">
        <v>40037</v>
      </c>
      <c r="C596" t="s">
        <v>23</v>
      </c>
      <c r="D596" t="str">
        <f t="shared" si="18"/>
        <v>12-Aug-2009</v>
      </c>
      <c r="E596">
        <v>7</v>
      </c>
      <c r="F596" s="13">
        <v>384.33</v>
      </c>
      <c r="G596">
        <v>0.1</v>
      </c>
      <c r="H596" t="s">
        <v>19</v>
      </c>
      <c r="I596" s="13">
        <v>87.68</v>
      </c>
      <c r="J596">
        <v>58.1</v>
      </c>
      <c r="K596">
        <v>1.49</v>
      </c>
      <c r="L596" t="s">
        <v>65</v>
      </c>
      <c r="M596" t="s">
        <v>20</v>
      </c>
      <c r="N596" s="5" t="s">
        <v>20</v>
      </c>
      <c r="O596" t="s">
        <v>28</v>
      </c>
      <c r="P596" t="s">
        <v>21</v>
      </c>
      <c r="Q596" t="s">
        <v>26</v>
      </c>
      <c r="R596">
        <v>0.38</v>
      </c>
      <c r="S596" s="1">
        <v>40038</v>
      </c>
      <c r="T596" t="str">
        <f t="shared" si="19"/>
        <v>13-Aug-2009</v>
      </c>
    </row>
    <row r="597" spans="1:20" x14ac:dyDescent="0.3">
      <c r="A597">
        <v>6535</v>
      </c>
      <c r="B597" s="1">
        <v>41072</v>
      </c>
      <c r="C597" t="s">
        <v>43</v>
      </c>
      <c r="D597" t="str">
        <f t="shared" si="18"/>
        <v>12-Jun-2012</v>
      </c>
      <c r="E597">
        <v>11</v>
      </c>
      <c r="F597" s="13">
        <v>312.36</v>
      </c>
      <c r="G597">
        <v>7.0000000000000007E-2</v>
      </c>
      <c r="H597" t="s">
        <v>35</v>
      </c>
      <c r="I597" s="13">
        <v>-19.329999999999998</v>
      </c>
      <c r="J597">
        <v>28.15</v>
      </c>
      <c r="K597">
        <v>8.99</v>
      </c>
      <c r="L597" t="s">
        <v>68</v>
      </c>
      <c r="M597" t="s">
        <v>20</v>
      </c>
      <c r="N597" s="5" t="s">
        <v>20</v>
      </c>
      <c r="O597" t="s">
        <v>28</v>
      </c>
      <c r="P597" t="s">
        <v>21</v>
      </c>
      <c r="Q597" t="s">
        <v>50</v>
      </c>
      <c r="R597">
        <v>0.56999999999999995</v>
      </c>
      <c r="S597" s="1">
        <v>41075</v>
      </c>
      <c r="T597" t="str">
        <f t="shared" si="19"/>
        <v>15-Jun-2012</v>
      </c>
    </row>
    <row r="598" spans="1:20" x14ac:dyDescent="0.3">
      <c r="A598">
        <v>2532</v>
      </c>
      <c r="B598" s="1">
        <v>40826</v>
      </c>
      <c r="C598" t="s">
        <v>23</v>
      </c>
      <c r="D598" t="str">
        <f t="shared" si="18"/>
        <v>10-Oct-2011</v>
      </c>
      <c r="E598">
        <v>39</v>
      </c>
      <c r="F598" s="13">
        <v>282.07</v>
      </c>
      <c r="G598">
        <v>0.03</v>
      </c>
      <c r="H598" t="s">
        <v>19</v>
      </c>
      <c r="I598" s="13">
        <v>140.01</v>
      </c>
      <c r="J598">
        <v>7.31</v>
      </c>
      <c r="K598">
        <v>0.49</v>
      </c>
      <c r="L598" t="s">
        <v>53</v>
      </c>
      <c r="M598" t="s">
        <v>20</v>
      </c>
      <c r="N598" s="5" t="s">
        <v>20</v>
      </c>
      <c r="O598" t="s">
        <v>28</v>
      </c>
      <c r="P598" t="s">
        <v>21</v>
      </c>
      <c r="Q598" t="s">
        <v>48</v>
      </c>
      <c r="R598">
        <v>0.38</v>
      </c>
      <c r="S598" s="1">
        <v>40827</v>
      </c>
      <c r="T598" t="str">
        <f t="shared" si="19"/>
        <v>11-Oct-2011</v>
      </c>
    </row>
    <row r="599" spans="1:20" x14ac:dyDescent="0.3">
      <c r="A599">
        <v>6182</v>
      </c>
      <c r="B599" s="1">
        <v>41111</v>
      </c>
      <c r="C599" t="s">
        <v>18</v>
      </c>
      <c r="D599" t="str">
        <f t="shared" si="18"/>
        <v>21-Jul-2012</v>
      </c>
      <c r="E599">
        <v>40</v>
      </c>
      <c r="F599" s="13">
        <v>255.48</v>
      </c>
      <c r="G599">
        <v>0.04</v>
      </c>
      <c r="H599" t="s">
        <v>19</v>
      </c>
      <c r="I599" s="13">
        <v>-116.79</v>
      </c>
      <c r="J599">
        <v>6.48</v>
      </c>
      <c r="K599">
        <v>6.65</v>
      </c>
      <c r="L599" t="s">
        <v>52</v>
      </c>
      <c r="M599" t="s">
        <v>20</v>
      </c>
      <c r="N599" s="5" t="s">
        <v>20</v>
      </c>
      <c r="O599" t="s">
        <v>28</v>
      </c>
      <c r="P599" t="s">
        <v>21</v>
      </c>
      <c r="Q599" t="s">
        <v>37</v>
      </c>
      <c r="R599">
        <v>0.36</v>
      </c>
      <c r="S599" s="1">
        <v>41118</v>
      </c>
      <c r="T599" t="str">
        <f t="shared" si="19"/>
        <v>28-Jul-2012</v>
      </c>
    </row>
    <row r="600" spans="1:20" x14ac:dyDescent="0.3">
      <c r="A600">
        <v>5894</v>
      </c>
      <c r="B600" s="1">
        <v>40037</v>
      </c>
      <c r="C600" t="s">
        <v>23</v>
      </c>
      <c r="D600" t="str">
        <f t="shared" si="18"/>
        <v>12-Aug-2009</v>
      </c>
      <c r="E600">
        <v>3</v>
      </c>
      <c r="F600" s="13">
        <v>239.03</v>
      </c>
      <c r="G600">
        <v>0.01</v>
      </c>
      <c r="H600" t="s">
        <v>19</v>
      </c>
      <c r="I600" s="13">
        <v>-68.22</v>
      </c>
      <c r="J600">
        <v>80.48</v>
      </c>
      <c r="K600">
        <v>4.5</v>
      </c>
      <c r="L600" t="s">
        <v>65</v>
      </c>
      <c r="M600" t="s">
        <v>20</v>
      </c>
      <c r="N600" s="5" t="s">
        <v>20</v>
      </c>
      <c r="O600" t="s">
        <v>28</v>
      </c>
      <c r="P600" t="s">
        <v>21</v>
      </c>
      <c r="Q600" t="s">
        <v>25</v>
      </c>
      <c r="R600">
        <v>0.55000000000000004</v>
      </c>
      <c r="S600" s="1">
        <v>40040</v>
      </c>
      <c r="T600" t="str">
        <f t="shared" si="19"/>
        <v>15-Aug-2009</v>
      </c>
    </row>
    <row r="601" spans="1:20" x14ac:dyDescent="0.3">
      <c r="A601">
        <v>2791</v>
      </c>
      <c r="B601" s="1">
        <v>40095</v>
      </c>
      <c r="C601" t="s">
        <v>23</v>
      </c>
      <c r="D601" t="str">
        <f t="shared" si="18"/>
        <v>09-Oct-2009</v>
      </c>
      <c r="E601">
        <v>47</v>
      </c>
      <c r="F601" s="13">
        <v>191.67</v>
      </c>
      <c r="G601">
        <v>0</v>
      </c>
      <c r="H601" t="s">
        <v>19</v>
      </c>
      <c r="I601" s="13">
        <v>-236.27</v>
      </c>
      <c r="J601">
        <v>3.89</v>
      </c>
      <c r="K601">
        <v>7.01</v>
      </c>
      <c r="L601" t="s">
        <v>57</v>
      </c>
      <c r="M601" t="s">
        <v>20</v>
      </c>
      <c r="N601" s="5" t="s">
        <v>20</v>
      </c>
      <c r="O601" t="s">
        <v>28</v>
      </c>
      <c r="P601" t="s">
        <v>21</v>
      </c>
      <c r="Q601" t="s">
        <v>26</v>
      </c>
      <c r="R601">
        <v>0.37</v>
      </c>
      <c r="S601" s="1">
        <v>40095</v>
      </c>
      <c r="T601" t="str">
        <f t="shared" si="19"/>
        <v>09-Oct-2009</v>
      </c>
    </row>
    <row r="602" spans="1:20" x14ac:dyDescent="0.3">
      <c r="A602">
        <v>1539</v>
      </c>
      <c r="B602" s="1">
        <v>40611</v>
      </c>
      <c r="C602" t="s">
        <v>18</v>
      </c>
      <c r="D602" t="str">
        <f t="shared" si="18"/>
        <v>09-Mar-2011</v>
      </c>
      <c r="E602">
        <v>38</v>
      </c>
      <c r="F602" s="13">
        <v>184.99</v>
      </c>
      <c r="G602">
        <v>0.05</v>
      </c>
      <c r="H602" t="s">
        <v>19</v>
      </c>
      <c r="I602" s="13">
        <v>-144.55000000000001</v>
      </c>
      <c r="J602">
        <v>4.8899999999999997</v>
      </c>
      <c r="K602">
        <v>4.93</v>
      </c>
      <c r="L602" t="s">
        <v>49</v>
      </c>
      <c r="M602" t="s">
        <v>20</v>
      </c>
      <c r="N602" s="5" t="s">
        <v>20</v>
      </c>
      <c r="O602" t="s">
        <v>28</v>
      </c>
      <c r="P602" t="s">
        <v>29</v>
      </c>
      <c r="Q602" t="s">
        <v>41</v>
      </c>
      <c r="R602">
        <v>0.66</v>
      </c>
      <c r="S602" s="1">
        <v>40616</v>
      </c>
      <c r="T602" t="str">
        <f t="shared" si="19"/>
        <v>14-Mar-2011</v>
      </c>
    </row>
    <row r="603" spans="1:20" x14ac:dyDescent="0.3">
      <c r="A603">
        <v>6182</v>
      </c>
      <c r="B603" s="1">
        <v>41111</v>
      </c>
      <c r="C603" t="s">
        <v>18</v>
      </c>
      <c r="D603" t="str">
        <f t="shared" si="18"/>
        <v>21-Jul-2012</v>
      </c>
      <c r="E603">
        <v>18</v>
      </c>
      <c r="F603" s="13">
        <v>130.32</v>
      </c>
      <c r="G603">
        <v>0.04</v>
      </c>
      <c r="H603" t="s">
        <v>35</v>
      </c>
      <c r="I603" s="13">
        <v>-67.28</v>
      </c>
      <c r="J603">
        <v>6.48</v>
      </c>
      <c r="K603">
        <v>7.86</v>
      </c>
      <c r="L603" t="s">
        <v>52</v>
      </c>
      <c r="M603" t="s">
        <v>20</v>
      </c>
      <c r="N603" s="5" t="s">
        <v>20</v>
      </c>
      <c r="O603" t="s">
        <v>28</v>
      </c>
      <c r="P603" t="s">
        <v>21</v>
      </c>
      <c r="Q603" t="s">
        <v>37</v>
      </c>
      <c r="R603">
        <v>0.37</v>
      </c>
      <c r="S603" s="1">
        <v>41115</v>
      </c>
      <c r="T603" t="str">
        <f t="shared" si="19"/>
        <v>25-Jul-2012</v>
      </c>
    </row>
    <row r="604" spans="1:20" x14ac:dyDescent="0.3">
      <c r="A604">
        <v>5506</v>
      </c>
      <c r="B604" s="1">
        <v>40489</v>
      </c>
      <c r="C604" t="s">
        <v>43</v>
      </c>
      <c r="D604" t="str">
        <f t="shared" si="18"/>
        <v>07-Nov-2010</v>
      </c>
      <c r="E604">
        <v>22</v>
      </c>
      <c r="F604" s="13">
        <v>129.62</v>
      </c>
      <c r="G604">
        <v>0.05</v>
      </c>
      <c r="H604" t="s">
        <v>19</v>
      </c>
      <c r="I604" s="13">
        <v>4.41</v>
      </c>
      <c r="J604">
        <v>5.88</v>
      </c>
      <c r="K604">
        <v>3.04</v>
      </c>
      <c r="L604" t="s">
        <v>62</v>
      </c>
      <c r="M604" t="s">
        <v>20</v>
      </c>
      <c r="N604" s="5" t="s">
        <v>20</v>
      </c>
      <c r="O604" t="s">
        <v>28</v>
      </c>
      <c r="P604" t="s">
        <v>21</v>
      </c>
      <c r="Q604" t="s">
        <v>37</v>
      </c>
      <c r="R604">
        <v>0.36</v>
      </c>
      <c r="S604" s="1">
        <v>40490</v>
      </c>
      <c r="T604" t="str">
        <f t="shared" si="19"/>
        <v>08-Nov-2010</v>
      </c>
    </row>
    <row r="605" spans="1:20" x14ac:dyDescent="0.3">
      <c r="A605">
        <v>5569</v>
      </c>
      <c r="B605" s="1">
        <v>40297</v>
      </c>
      <c r="C605" t="s">
        <v>31</v>
      </c>
      <c r="D605" t="str">
        <f t="shared" si="18"/>
        <v>29-Apr-2010</v>
      </c>
      <c r="E605">
        <v>12</v>
      </c>
      <c r="F605" s="13">
        <v>118.97</v>
      </c>
      <c r="G605">
        <v>0.09</v>
      </c>
      <c r="H605" t="s">
        <v>19</v>
      </c>
      <c r="I605" s="13">
        <v>-0.06</v>
      </c>
      <c r="J605">
        <v>9.65</v>
      </c>
      <c r="K605">
        <v>6.22</v>
      </c>
      <c r="L605" t="s">
        <v>63</v>
      </c>
      <c r="M605" t="s">
        <v>20</v>
      </c>
      <c r="N605" s="5" t="s">
        <v>20</v>
      </c>
      <c r="O605" t="s">
        <v>28</v>
      </c>
      <c r="P605" t="s">
        <v>32</v>
      </c>
      <c r="Q605" t="s">
        <v>33</v>
      </c>
      <c r="R605">
        <v>0.55000000000000004</v>
      </c>
      <c r="S605" s="1">
        <v>40299</v>
      </c>
      <c r="T605" t="str">
        <f t="shared" si="19"/>
        <v>01-May-2010</v>
      </c>
    </row>
    <row r="606" spans="1:20" x14ac:dyDescent="0.3">
      <c r="A606">
        <v>613</v>
      </c>
      <c r="B606" s="1">
        <v>40711</v>
      </c>
      <c r="C606" t="s">
        <v>23</v>
      </c>
      <c r="D606" t="str">
        <f t="shared" si="18"/>
        <v>17-Jun-2011</v>
      </c>
      <c r="E606">
        <v>12</v>
      </c>
      <c r="F606" s="13">
        <v>93.54</v>
      </c>
      <c r="G606">
        <v>0.03</v>
      </c>
      <c r="H606" t="s">
        <v>19</v>
      </c>
      <c r="I606" s="13">
        <v>-54.04</v>
      </c>
      <c r="J606">
        <v>7.3</v>
      </c>
      <c r="K606">
        <v>7.72</v>
      </c>
      <c r="L606" t="s">
        <v>34</v>
      </c>
      <c r="M606" t="s">
        <v>20</v>
      </c>
      <c r="N606" s="5" t="s">
        <v>20</v>
      </c>
      <c r="O606" t="s">
        <v>28</v>
      </c>
      <c r="P606" t="s">
        <v>21</v>
      </c>
      <c r="Q606" t="s">
        <v>26</v>
      </c>
      <c r="R606">
        <v>0.38</v>
      </c>
      <c r="S606" s="1">
        <v>40711</v>
      </c>
      <c r="T606" t="str">
        <f t="shared" si="19"/>
        <v>17-Jun-2011</v>
      </c>
    </row>
    <row r="607" spans="1:20" x14ac:dyDescent="0.3">
      <c r="A607">
        <v>4612</v>
      </c>
      <c r="B607" s="1">
        <v>40440</v>
      </c>
      <c r="C607" t="s">
        <v>38</v>
      </c>
      <c r="D607" t="str">
        <f t="shared" si="18"/>
        <v>19-Sep-2010</v>
      </c>
      <c r="E607">
        <v>9</v>
      </c>
      <c r="F607" s="13">
        <v>89.55</v>
      </c>
      <c r="G607">
        <v>0.06</v>
      </c>
      <c r="H607" t="s">
        <v>19</v>
      </c>
      <c r="I607" s="13">
        <v>-375.64</v>
      </c>
      <c r="J607">
        <v>4.4800000000000004</v>
      </c>
      <c r="K607">
        <v>49</v>
      </c>
      <c r="L607" t="s">
        <v>47</v>
      </c>
      <c r="M607" t="s">
        <v>20</v>
      </c>
      <c r="N607" s="5" t="s">
        <v>20</v>
      </c>
      <c r="O607" t="s">
        <v>28</v>
      </c>
      <c r="P607" t="s">
        <v>21</v>
      </c>
      <c r="Q607" t="s">
        <v>25</v>
      </c>
      <c r="R607">
        <v>0.6</v>
      </c>
      <c r="S607" s="1">
        <v>40442</v>
      </c>
      <c r="T607" t="str">
        <f t="shared" si="19"/>
        <v>21-Sep-2010</v>
      </c>
    </row>
    <row r="608" spans="1:20" x14ac:dyDescent="0.3">
      <c r="A608">
        <v>5409</v>
      </c>
      <c r="B608" s="1">
        <v>40916</v>
      </c>
      <c r="C608" t="s">
        <v>18</v>
      </c>
      <c r="D608" t="str">
        <f t="shared" si="18"/>
        <v>08-Jan-2012</v>
      </c>
      <c r="E608">
        <v>11</v>
      </c>
      <c r="F608" s="13">
        <v>48.91</v>
      </c>
      <c r="G608">
        <v>0.01</v>
      </c>
      <c r="H608" t="s">
        <v>19</v>
      </c>
      <c r="I608" s="13">
        <v>-7.04</v>
      </c>
      <c r="J608">
        <v>3.98</v>
      </c>
      <c r="K608">
        <v>2.97</v>
      </c>
      <c r="L608" t="s">
        <v>61</v>
      </c>
      <c r="M608" t="s">
        <v>20</v>
      </c>
      <c r="N608" s="5" t="s">
        <v>20</v>
      </c>
      <c r="O608" t="s">
        <v>28</v>
      </c>
      <c r="P608" t="s">
        <v>21</v>
      </c>
      <c r="Q608" t="s">
        <v>37</v>
      </c>
      <c r="R608">
        <v>0.35</v>
      </c>
      <c r="S608" s="1">
        <v>40921</v>
      </c>
      <c r="T608" t="str">
        <f t="shared" si="19"/>
        <v>13-Jan-2012</v>
      </c>
    </row>
    <row r="609" spans="1:20" ht="15" thickBot="1" x14ac:dyDescent="0.35">
      <c r="A609">
        <v>4132</v>
      </c>
      <c r="B609" s="1">
        <v>40691</v>
      </c>
      <c r="C609" t="s">
        <v>31</v>
      </c>
      <c r="D609" t="str">
        <f t="shared" si="18"/>
        <v>28-May-2011</v>
      </c>
      <c r="E609">
        <v>5</v>
      </c>
      <c r="F609" s="13">
        <v>14.76</v>
      </c>
      <c r="G609">
        <v>0.01</v>
      </c>
      <c r="H609" t="s">
        <v>19</v>
      </c>
      <c r="I609" s="13">
        <v>1.32</v>
      </c>
      <c r="J609">
        <v>2.88</v>
      </c>
      <c r="K609">
        <v>0.5</v>
      </c>
      <c r="L609" t="s">
        <v>60</v>
      </c>
      <c r="M609" t="s">
        <v>20</v>
      </c>
      <c r="N609" s="6" t="s">
        <v>20</v>
      </c>
      <c r="O609" t="s">
        <v>28</v>
      </c>
      <c r="P609" t="s">
        <v>21</v>
      </c>
      <c r="Q609" t="s">
        <v>48</v>
      </c>
      <c r="R609">
        <v>0.36</v>
      </c>
      <c r="S609" s="1">
        <v>40693</v>
      </c>
      <c r="T609" t="str">
        <f t="shared" si="19"/>
        <v>30-May-2011</v>
      </c>
    </row>
    <row r="610" spans="1:20" ht="15" thickTop="1" x14ac:dyDescent="0.3">
      <c r="A610">
        <v>45347</v>
      </c>
      <c r="B610" s="1">
        <v>40450</v>
      </c>
      <c r="C610" t="s">
        <v>38</v>
      </c>
      <c r="D610" t="str">
        <f t="shared" si="18"/>
        <v>29-Sep-2010</v>
      </c>
      <c r="E610">
        <v>41</v>
      </c>
      <c r="F610" s="13">
        <v>24051.49</v>
      </c>
      <c r="G610">
        <v>7.0000000000000007E-2</v>
      </c>
      <c r="H610" t="s">
        <v>35</v>
      </c>
      <c r="I610" s="13">
        <v>9791.0400000000009</v>
      </c>
      <c r="J610">
        <v>599.99</v>
      </c>
      <c r="K610">
        <v>24.49</v>
      </c>
      <c r="L610" t="s">
        <v>175</v>
      </c>
      <c r="M610" t="s">
        <v>161</v>
      </c>
      <c r="N610" s="5" t="s">
        <v>161</v>
      </c>
      <c r="O610" t="s">
        <v>28</v>
      </c>
      <c r="P610" t="s">
        <v>29</v>
      </c>
      <c r="Q610" t="s">
        <v>51</v>
      </c>
      <c r="R610">
        <v>0.37</v>
      </c>
      <c r="S610" s="1">
        <v>40452</v>
      </c>
      <c r="T610" t="str">
        <f t="shared" si="19"/>
        <v>01-Oct-2010</v>
      </c>
    </row>
    <row r="611" spans="1:20" x14ac:dyDescent="0.3">
      <c r="A611">
        <v>41728</v>
      </c>
      <c r="B611" s="1">
        <v>40086</v>
      </c>
      <c r="C611" t="s">
        <v>23</v>
      </c>
      <c r="D611" t="str">
        <f t="shared" si="18"/>
        <v>30-Sep-2009</v>
      </c>
      <c r="E611">
        <v>28</v>
      </c>
      <c r="F611" s="13">
        <v>23106.46</v>
      </c>
      <c r="G611">
        <v>0.08</v>
      </c>
      <c r="H611" t="s">
        <v>19</v>
      </c>
      <c r="I611" s="13">
        <v>9527.4699999999993</v>
      </c>
      <c r="J611">
        <v>896.99</v>
      </c>
      <c r="K611">
        <v>19.989999999999998</v>
      </c>
      <c r="L611" t="s">
        <v>290</v>
      </c>
      <c r="M611" t="s">
        <v>161</v>
      </c>
      <c r="N611" s="5" t="s">
        <v>161</v>
      </c>
      <c r="O611" t="s">
        <v>28</v>
      </c>
      <c r="P611" t="s">
        <v>21</v>
      </c>
      <c r="Q611" t="s">
        <v>26</v>
      </c>
      <c r="R611">
        <v>0.38</v>
      </c>
      <c r="S611" s="1">
        <v>40088</v>
      </c>
      <c r="T611" t="str">
        <f t="shared" si="19"/>
        <v>02-Oct-2009</v>
      </c>
    </row>
    <row r="612" spans="1:20" x14ac:dyDescent="0.3">
      <c r="A612">
        <v>26565</v>
      </c>
      <c r="B612" s="1">
        <v>40107</v>
      </c>
      <c r="C612" t="s">
        <v>38</v>
      </c>
      <c r="D612" t="str">
        <f t="shared" si="18"/>
        <v>21-Oct-2009</v>
      </c>
      <c r="E612">
        <v>49</v>
      </c>
      <c r="F612" s="13">
        <v>21337.27</v>
      </c>
      <c r="G612">
        <v>0.02</v>
      </c>
      <c r="H612" t="s">
        <v>19</v>
      </c>
      <c r="I612" s="13">
        <v>7606</v>
      </c>
      <c r="J612">
        <v>419.19</v>
      </c>
      <c r="K612">
        <v>19.989999999999998</v>
      </c>
      <c r="L612" t="s">
        <v>302</v>
      </c>
      <c r="M612" t="s">
        <v>161</v>
      </c>
      <c r="N612" s="5" t="s">
        <v>161</v>
      </c>
      <c r="O612" t="s">
        <v>28</v>
      </c>
      <c r="P612" t="s">
        <v>21</v>
      </c>
      <c r="Q612" t="s">
        <v>22</v>
      </c>
      <c r="R612">
        <v>0.57999999999999996</v>
      </c>
      <c r="S612" s="1">
        <v>40108</v>
      </c>
      <c r="T612" t="str">
        <f t="shared" si="19"/>
        <v>22-Oct-2009</v>
      </c>
    </row>
    <row r="613" spans="1:20" x14ac:dyDescent="0.3">
      <c r="A613">
        <v>51361</v>
      </c>
      <c r="B613" s="1">
        <v>40620</v>
      </c>
      <c r="C613" t="s">
        <v>43</v>
      </c>
      <c r="D613" t="str">
        <f t="shared" si="18"/>
        <v>18-Mar-2011</v>
      </c>
      <c r="E613">
        <v>50</v>
      </c>
      <c r="F613" s="13">
        <v>18056.68</v>
      </c>
      <c r="G613">
        <v>0</v>
      </c>
      <c r="H613" t="s">
        <v>24</v>
      </c>
      <c r="I613" s="13">
        <v>-6474.65</v>
      </c>
      <c r="J613">
        <v>349.45</v>
      </c>
      <c r="K613">
        <v>60</v>
      </c>
      <c r="L613" t="s">
        <v>153</v>
      </c>
      <c r="M613" t="s">
        <v>161</v>
      </c>
      <c r="N613" s="5" t="s">
        <v>161</v>
      </c>
      <c r="O613" t="s">
        <v>28</v>
      </c>
      <c r="P613" t="s">
        <v>32</v>
      </c>
      <c r="Q613" t="s">
        <v>46</v>
      </c>
      <c r="S613" s="1">
        <v>40624</v>
      </c>
      <c r="T613" t="str">
        <f t="shared" si="19"/>
        <v>22-Mar-2011</v>
      </c>
    </row>
    <row r="614" spans="1:20" x14ac:dyDescent="0.3">
      <c r="A614">
        <v>41059</v>
      </c>
      <c r="B614" s="1">
        <v>40435</v>
      </c>
      <c r="C614" t="s">
        <v>38</v>
      </c>
      <c r="D614" t="str">
        <f t="shared" si="18"/>
        <v>14-Sep-2010</v>
      </c>
      <c r="E614">
        <v>45</v>
      </c>
      <c r="F614" s="13">
        <v>17884.53</v>
      </c>
      <c r="G614">
        <v>0.04</v>
      </c>
      <c r="H614" t="s">
        <v>24</v>
      </c>
      <c r="I614" s="13">
        <v>2357.86</v>
      </c>
      <c r="J614">
        <v>400.98</v>
      </c>
      <c r="K614">
        <v>42.52</v>
      </c>
      <c r="L614" t="s">
        <v>163</v>
      </c>
      <c r="M614" t="s">
        <v>161</v>
      </c>
      <c r="N614" s="5" t="s">
        <v>161</v>
      </c>
      <c r="O614" t="s">
        <v>28</v>
      </c>
      <c r="P614" t="s">
        <v>32</v>
      </c>
      <c r="Q614" t="s">
        <v>46</v>
      </c>
      <c r="R614">
        <v>0.71</v>
      </c>
      <c r="S614" s="1">
        <v>40436</v>
      </c>
      <c r="T614" t="str">
        <f t="shared" si="19"/>
        <v>15-Sep-2010</v>
      </c>
    </row>
    <row r="615" spans="1:20" x14ac:dyDescent="0.3">
      <c r="A615">
        <v>20674</v>
      </c>
      <c r="B615" s="1">
        <v>40520</v>
      </c>
      <c r="C615" t="s">
        <v>23</v>
      </c>
      <c r="D615" t="str">
        <f t="shared" si="18"/>
        <v>08-Dec-2010</v>
      </c>
      <c r="E615">
        <v>37</v>
      </c>
      <c r="F615" s="13">
        <v>17717.34</v>
      </c>
      <c r="G615">
        <v>0</v>
      </c>
      <c r="H615" t="s">
        <v>24</v>
      </c>
      <c r="I615" s="13">
        <v>8291.08</v>
      </c>
      <c r="J615">
        <v>500.97</v>
      </c>
      <c r="K615">
        <v>69.3</v>
      </c>
      <c r="L615" t="s">
        <v>98</v>
      </c>
      <c r="M615" t="s">
        <v>161</v>
      </c>
      <c r="N615" s="5" t="s">
        <v>161</v>
      </c>
      <c r="O615" t="s">
        <v>28</v>
      </c>
      <c r="P615" t="s">
        <v>29</v>
      </c>
      <c r="Q615" t="s">
        <v>74</v>
      </c>
      <c r="R615">
        <v>0.37</v>
      </c>
      <c r="S615" s="1">
        <v>40521</v>
      </c>
      <c r="T615" t="str">
        <f t="shared" si="19"/>
        <v>09-Dec-2010</v>
      </c>
    </row>
    <row r="616" spans="1:20" x14ac:dyDescent="0.3">
      <c r="A616">
        <v>44768</v>
      </c>
      <c r="B616" s="1">
        <v>41055</v>
      </c>
      <c r="C616" t="s">
        <v>31</v>
      </c>
      <c r="D616" t="str">
        <f t="shared" si="18"/>
        <v>26-May-2012</v>
      </c>
      <c r="E616">
        <v>45</v>
      </c>
      <c r="F616" s="13">
        <v>16699.560000000001</v>
      </c>
      <c r="G616">
        <v>0.02</v>
      </c>
      <c r="H616" t="s">
        <v>24</v>
      </c>
      <c r="I616" s="13">
        <v>3083.98</v>
      </c>
      <c r="J616">
        <v>355.98</v>
      </c>
      <c r="K616">
        <v>58.92</v>
      </c>
      <c r="L616" t="s">
        <v>129</v>
      </c>
      <c r="M616" t="s">
        <v>161</v>
      </c>
      <c r="N616" s="5" t="s">
        <v>161</v>
      </c>
      <c r="O616" t="s">
        <v>28</v>
      </c>
      <c r="P616" t="s">
        <v>32</v>
      </c>
      <c r="Q616" t="s">
        <v>56</v>
      </c>
      <c r="R616">
        <v>0.64</v>
      </c>
      <c r="S616" s="1">
        <v>41056</v>
      </c>
      <c r="T616" t="str">
        <f t="shared" si="19"/>
        <v>27-May-2012</v>
      </c>
    </row>
    <row r="617" spans="1:20" x14ac:dyDescent="0.3">
      <c r="A617">
        <v>2912</v>
      </c>
      <c r="B617" s="1">
        <v>40979</v>
      </c>
      <c r="C617" t="s">
        <v>18</v>
      </c>
      <c r="D617" t="str">
        <f t="shared" si="18"/>
        <v>11-Mar-2012</v>
      </c>
      <c r="E617">
        <v>7</v>
      </c>
      <c r="F617" s="13">
        <v>16587.13</v>
      </c>
      <c r="G617">
        <v>0.08</v>
      </c>
      <c r="H617" t="s">
        <v>24</v>
      </c>
      <c r="I617" s="13">
        <v>-3476.86</v>
      </c>
      <c r="J617">
        <v>2550.14</v>
      </c>
      <c r="K617">
        <v>29.7</v>
      </c>
      <c r="L617" t="s">
        <v>181</v>
      </c>
      <c r="M617" t="s">
        <v>161</v>
      </c>
      <c r="N617" s="5" t="s">
        <v>161</v>
      </c>
      <c r="O617" t="s">
        <v>28</v>
      </c>
      <c r="P617" t="s">
        <v>29</v>
      </c>
      <c r="Q617" t="s">
        <v>74</v>
      </c>
      <c r="R617">
        <v>0.56999999999999995</v>
      </c>
      <c r="S617" s="1">
        <v>40981</v>
      </c>
      <c r="T617" t="str">
        <f t="shared" si="19"/>
        <v>13-Mar-2012</v>
      </c>
    </row>
    <row r="618" spans="1:20" x14ac:dyDescent="0.3">
      <c r="A618">
        <v>34785</v>
      </c>
      <c r="B618" s="1">
        <v>40203</v>
      </c>
      <c r="C618" t="s">
        <v>43</v>
      </c>
      <c r="D618" t="str">
        <f t="shared" si="18"/>
        <v>25-Jan-2010</v>
      </c>
      <c r="E618">
        <v>45</v>
      </c>
      <c r="F618" s="13">
        <v>15468.216</v>
      </c>
      <c r="G618">
        <v>0.01</v>
      </c>
      <c r="H618" t="s">
        <v>24</v>
      </c>
      <c r="I618" s="13">
        <v>-969.05</v>
      </c>
      <c r="J618">
        <v>400.98</v>
      </c>
      <c r="K618">
        <v>42.52</v>
      </c>
      <c r="L618" t="s">
        <v>99</v>
      </c>
      <c r="M618" t="s">
        <v>161</v>
      </c>
      <c r="N618" s="5" t="s">
        <v>161</v>
      </c>
      <c r="O618" t="s">
        <v>28</v>
      </c>
      <c r="P618" t="s">
        <v>32</v>
      </c>
      <c r="Q618" t="s">
        <v>46</v>
      </c>
      <c r="R618">
        <v>0.71</v>
      </c>
      <c r="S618" s="1">
        <v>40206</v>
      </c>
      <c r="T618" t="str">
        <f t="shared" si="19"/>
        <v>28-Jan-2010</v>
      </c>
    </row>
    <row r="619" spans="1:20" x14ac:dyDescent="0.3">
      <c r="A619">
        <v>29411</v>
      </c>
      <c r="B619" s="1">
        <v>41005</v>
      </c>
      <c r="C619" t="s">
        <v>23</v>
      </c>
      <c r="D619" t="str">
        <f t="shared" si="18"/>
        <v>06-Apr-2012</v>
      </c>
      <c r="E619">
        <v>38</v>
      </c>
      <c r="F619" s="13">
        <v>15174.95</v>
      </c>
      <c r="G619">
        <v>0.02</v>
      </c>
      <c r="H619" t="s">
        <v>24</v>
      </c>
      <c r="I619" s="13">
        <v>7251.92</v>
      </c>
      <c r="J619">
        <v>400.97</v>
      </c>
      <c r="K619">
        <v>48.26</v>
      </c>
      <c r="L619" t="s">
        <v>200</v>
      </c>
      <c r="M619" t="s">
        <v>161</v>
      </c>
      <c r="N619" s="5" t="s">
        <v>161</v>
      </c>
      <c r="O619" t="s">
        <v>28</v>
      </c>
      <c r="P619" t="s">
        <v>29</v>
      </c>
      <c r="Q619" t="s">
        <v>74</v>
      </c>
      <c r="R619">
        <v>0.36</v>
      </c>
      <c r="S619" s="1">
        <v>41005</v>
      </c>
      <c r="T619" t="str">
        <f t="shared" si="19"/>
        <v>06-Apr-2012</v>
      </c>
    </row>
    <row r="620" spans="1:20" x14ac:dyDescent="0.3">
      <c r="A620">
        <v>16260</v>
      </c>
      <c r="B620" s="1">
        <v>40860</v>
      </c>
      <c r="C620" t="s">
        <v>23</v>
      </c>
      <c r="D620" t="str">
        <f t="shared" si="18"/>
        <v>13-Nov-2011</v>
      </c>
      <c r="E620">
        <v>47</v>
      </c>
      <c r="F620" s="13">
        <v>14960.096</v>
      </c>
      <c r="G620">
        <v>0.01</v>
      </c>
      <c r="H620" t="s">
        <v>24</v>
      </c>
      <c r="I620" s="13">
        <v>-969.05</v>
      </c>
      <c r="J620">
        <v>400.98</v>
      </c>
      <c r="K620">
        <v>42.52</v>
      </c>
      <c r="L620" t="s">
        <v>208</v>
      </c>
      <c r="M620" t="s">
        <v>161</v>
      </c>
      <c r="N620" s="5" t="s">
        <v>161</v>
      </c>
      <c r="O620" t="s">
        <v>28</v>
      </c>
      <c r="P620" t="s">
        <v>32</v>
      </c>
      <c r="Q620" t="s">
        <v>46</v>
      </c>
      <c r="R620">
        <v>0.71</v>
      </c>
      <c r="S620" s="1">
        <v>40861</v>
      </c>
      <c r="T620" t="str">
        <f t="shared" si="19"/>
        <v>14-Nov-2011</v>
      </c>
    </row>
    <row r="621" spans="1:20" x14ac:dyDescent="0.3">
      <c r="A621">
        <v>19584</v>
      </c>
      <c r="B621" s="1">
        <v>39919</v>
      </c>
      <c r="C621" t="s">
        <v>43</v>
      </c>
      <c r="D621" t="str">
        <f t="shared" si="18"/>
        <v>16-Apr-2009</v>
      </c>
      <c r="E621">
        <v>6</v>
      </c>
      <c r="F621" s="13">
        <v>14535.8</v>
      </c>
      <c r="G621">
        <v>0.05</v>
      </c>
      <c r="H621" t="s">
        <v>24</v>
      </c>
      <c r="I621" s="13">
        <v>-3971.06</v>
      </c>
      <c r="J621">
        <v>2550.14</v>
      </c>
      <c r="K621">
        <v>29.7</v>
      </c>
      <c r="L621" t="s">
        <v>215</v>
      </c>
      <c r="M621" t="s">
        <v>161</v>
      </c>
      <c r="N621" s="5" t="s">
        <v>161</v>
      </c>
      <c r="O621" t="s">
        <v>28</v>
      </c>
      <c r="P621" t="s">
        <v>29</v>
      </c>
      <c r="Q621" t="s">
        <v>74</v>
      </c>
      <c r="R621">
        <v>0.56999999999999995</v>
      </c>
      <c r="S621" s="1">
        <v>39920</v>
      </c>
      <c r="T621" t="str">
        <f t="shared" si="19"/>
        <v>17-Apr-2009</v>
      </c>
    </row>
    <row r="622" spans="1:20" x14ac:dyDescent="0.3">
      <c r="A622">
        <v>36999</v>
      </c>
      <c r="B622" s="1">
        <v>40159</v>
      </c>
      <c r="C622" t="s">
        <v>38</v>
      </c>
      <c r="D622" t="str">
        <f t="shared" si="18"/>
        <v>12-Dec-2009</v>
      </c>
      <c r="E622">
        <v>28</v>
      </c>
      <c r="F622" s="13">
        <v>14475.74</v>
      </c>
      <c r="G622">
        <v>0.06</v>
      </c>
      <c r="H622" t="s">
        <v>24</v>
      </c>
      <c r="I622" s="13">
        <v>4963.8900000000003</v>
      </c>
      <c r="J622">
        <v>549.99</v>
      </c>
      <c r="K622">
        <v>49</v>
      </c>
      <c r="L622" t="s">
        <v>208</v>
      </c>
      <c r="M622" t="s">
        <v>161</v>
      </c>
      <c r="N622" s="5" t="s">
        <v>161</v>
      </c>
      <c r="O622" t="s">
        <v>28</v>
      </c>
      <c r="P622" t="s">
        <v>29</v>
      </c>
      <c r="Q622" t="s">
        <v>51</v>
      </c>
      <c r="R622">
        <v>0.35</v>
      </c>
      <c r="S622" s="1">
        <v>40160</v>
      </c>
      <c r="T622" t="str">
        <f t="shared" si="19"/>
        <v>13-Dec-2009</v>
      </c>
    </row>
    <row r="623" spans="1:20" x14ac:dyDescent="0.3">
      <c r="A623">
        <v>1991</v>
      </c>
      <c r="B623" s="1">
        <v>41158</v>
      </c>
      <c r="C623" t="s">
        <v>31</v>
      </c>
      <c r="D623" t="str">
        <f t="shared" si="18"/>
        <v>06-Sep-2012</v>
      </c>
      <c r="E623">
        <v>37</v>
      </c>
      <c r="F623" s="13">
        <v>14383.83</v>
      </c>
      <c r="G623">
        <v>0.01</v>
      </c>
      <c r="H623" t="s">
        <v>24</v>
      </c>
      <c r="I623" s="13">
        <v>5050.1000000000004</v>
      </c>
      <c r="J623">
        <v>399.98</v>
      </c>
      <c r="K623">
        <v>12.06</v>
      </c>
      <c r="L623" t="s">
        <v>221</v>
      </c>
      <c r="M623" t="s">
        <v>161</v>
      </c>
      <c r="N623" s="5" t="s">
        <v>161</v>
      </c>
      <c r="O623" t="s">
        <v>28</v>
      </c>
      <c r="P623" t="s">
        <v>29</v>
      </c>
      <c r="Q623" t="s">
        <v>74</v>
      </c>
      <c r="R623">
        <v>0.56000000000000005</v>
      </c>
      <c r="S623" s="1">
        <v>41159</v>
      </c>
      <c r="T623" t="str">
        <f t="shared" si="19"/>
        <v>07-Sep-2012</v>
      </c>
    </row>
    <row r="624" spans="1:20" x14ac:dyDescent="0.3">
      <c r="A624">
        <v>53281</v>
      </c>
      <c r="B624" s="1">
        <v>39905</v>
      </c>
      <c r="C624" t="s">
        <v>43</v>
      </c>
      <c r="D624" t="str">
        <f t="shared" si="18"/>
        <v>02-Apr-2009</v>
      </c>
      <c r="E624">
        <v>40</v>
      </c>
      <c r="F624" s="13">
        <v>14075.99</v>
      </c>
      <c r="G624">
        <v>0.08</v>
      </c>
      <c r="H624" t="s">
        <v>24</v>
      </c>
      <c r="I624" s="13">
        <v>1894.14</v>
      </c>
      <c r="J624">
        <v>355.98</v>
      </c>
      <c r="K624">
        <v>58.92</v>
      </c>
      <c r="L624" t="s">
        <v>98</v>
      </c>
      <c r="M624" t="s">
        <v>161</v>
      </c>
      <c r="N624" s="5" t="s">
        <v>161</v>
      </c>
      <c r="O624" t="s">
        <v>28</v>
      </c>
      <c r="P624" t="s">
        <v>32</v>
      </c>
      <c r="Q624" t="s">
        <v>56</v>
      </c>
      <c r="R624">
        <v>0.64</v>
      </c>
      <c r="S624" s="1">
        <v>39907</v>
      </c>
      <c r="T624" t="str">
        <f t="shared" si="19"/>
        <v>04-Apr-2009</v>
      </c>
    </row>
    <row r="625" spans="1:20" x14ac:dyDescent="0.3">
      <c r="A625">
        <v>35110</v>
      </c>
      <c r="B625" s="1">
        <v>40834</v>
      </c>
      <c r="C625" t="s">
        <v>23</v>
      </c>
      <c r="D625" t="str">
        <f t="shared" si="18"/>
        <v>18-Oct-2011</v>
      </c>
      <c r="E625">
        <v>14</v>
      </c>
      <c r="F625" s="13">
        <v>12805.25</v>
      </c>
      <c r="G625">
        <v>0.01</v>
      </c>
      <c r="H625" t="s">
        <v>19</v>
      </c>
      <c r="I625" s="13">
        <v>5065.51</v>
      </c>
      <c r="J625">
        <v>896.99</v>
      </c>
      <c r="K625">
        <v>19.989999999999998</v>
      </c>
      <c r="L625" t="s">
        <v>204</v>
      </c>
      <c r="M625" t="s">
        <v>161</v>
      </c>
      <c r="N625" s="5" t="s">
        <v>161</v>
      </c>
      <c r="O625" t="s">
        <v>28</v>
      </c>
      <c r="P625" t="s">
        <v>21</v>
      </c>
      <c r="Q625" t="s">
        <v>26</v>
      </c>
      <c r="R625">
        <v>0.38</v>
      </c>
      <c r="S625" s="1">
        <v>40835</v>
      </c>
      <c r="T625" t="str">
        <f t="shared" si="19"/>
        <v>19-Oct-2011</v>
      </c>
    </row>
    <row r="626" spans="1:20" x14ac:dyDescent="0.3">
      <c r="A626">
        <v>41059</v>
      </c>
      <c r="B626" s="1">
        <v>40435</v>
      </c>
      <c r="C626" t="s">
        <v>38</v>
      </c>
      <c r="D626" t="str">
        <f t="shared" si="18"/>
        <v>14-Sep-2010</v>
      </c>
      <c r="E626">
        <v>45</v>
      </c>
      <c r="F626" s="13">
        <v>12571.63</v>
      </c>
      <c r="G626">
        <v>0.09</v>
      </c>
      <c r="H626" t="s">
        <v>19</v>
      </c>
      <c r="I626" s="13">
        <v>5455.96</v>
      </c>
      <c r="J626">
        <v>300.98</v>
      </c>
      <c r="K626">
        <v>13.99</v>
      </c>
      <c r="L626" t="s">
        <v>163</v>
      </c>
      <c r="M626" t="s">
        <v>161</v>
      </c>
      <c r="N626" s="5" t="s">
        <v>161</v>
      </c>
      <c r="O626" t="s">
        <v>28</v>
      </c>
      <c r="P626" t="s">
        <v>29</v>
      </c>
      <c r="Q626" t="s">
        <v>74</v>
      </c>
      <c r="R626">
        <v>0.39</v>
      </c>
      <c r="S626" s="1">
        <v>40436</v>
      </c>
      <c r="T626" t="str">
        <f t="shared" si="19"/>
        <v>15-Sep-2010</v>
      </c>
    </row>
    <row r="627" spans="1:20" x14ac:dyDescent="0.3">
      <c r="A627">
        <v>11396</v>
      </c>
      <c r="B627" s="1">
        <v>41111</v>
      </c>
      <c r="C627" t="s">
        <v>43</v>
      </c>
      <c r="D627" t="str">
        <f t="shared" si="18"/>
        <v>21-Jul-2012</v>
      </c>
      <c r="E627">
        <v>42</v>
      </c>
      <c r="F627" s="13">
        <v>12270.3</v>
      </c>
      <c r="G627">
        <v>7.0000000000000007E-2</v>
      </c>
      <c r="H627" t="s">
        <v>19</v>
      </c>
      <c r="I627" s="13">
        <v>4842.37</v>
      </c>
      <c r="J627">
        <v>304.99</v>
      </c>
      <c r="K627">
        <v>19.989999999999998</v>
      </c>
      <c r="L627" t="s">
        <v>297</v>
      </c>
      <c r="M627" t="s">
        <v>161</v>
      </c>
      <c r="N627" s="5" t="s">
        <v>161</v>
      </c>
      <c r="O627" t="s">
        <v>28</v>
      </c>
      <c r="P627" t="s">
        <v>21</v>
      </c>
      <c r="Q627" t="s">
        <v>26</v>
      </c>
      <c r="R627">
        <v>0.4</v>
      </c>
      <c r="S627" s="1">
        <v>41112</v>
      </c>
      <c r="T627" t="str">
        <f t="shared" si="19"/>
        <v>22-Jul-2012</v>
      </c>
    </row>
    <row r="628" spans="1:20" x14ac:dyDescent="0.3">
      <c r="A628">
        <v>51937</v>
      </c>
      <c r="B628" s="1">
        <v>39871</v>
      </c>
      <c r="C628" t="s">
        <v>23</v>
      </c>
      <c r="D628" t="str">
        <f t="shared" si="18"/>
        <v>27-Feb-2009</v>
      </c>
      <c r="E628">
        <v>39</v>
      </c>
      <c r="F628" s="13">
        <v>11613.13</v>
      </c>
      <c r="G628">
        <v>0.05</v>
      </c>
      <c r="H628" t="s">
        <v>24</v>
      </c>
      <c r="I628" s="13">
        <v>2816.21</v>
      </c>
      <c r="J628">
        <v>294.62</v>
      </c>
      <c r="K628">
        <v>42.52</v>
      </c>
      <c r="L628" t="s">
        <v>188</v>
      </c>
      <c r="M628" t="s">
        <v>161</v>
      </c>
      <c r="N628" s="5" t="s">
        <v>161</v>
      </c>
      <c r="O628" t="s">
        <v>28</v>
      </c>
      <c r="P628" t="s">
        <v>21</v>
      </c>
      <c r="Q628" t="s">
        <v>25</v>
      </c>
      <c r="R628">
        <v>0.56999999999999995</v>
      </c>
      <c r="S628" s="1">
        <v>39871</v>
      </c>
      <c r="T628" t="str">
        <f t="shared" si="19"/>
        <v>27-Feb-2009</v>
      </c>
    </row>
    <row r="629" spans="1:20" x14ac:dyDescent="0.3">
      <c r="A629">
        <v>35555</v>
      </c>
      <c r="B629" s="1">
        <v>40606</v>
      </c>
      <c r="C629" t="s">
        <v>38</v>
      </c>
      <c r="D629" t="str">
        <f t="shared" si="18"/>
        <v>04-Mar-2011</v>
      </c>
      <c r="E629">
        <v>50</v>
      </c>
      <c r="F629" s="13">
        <v>11266.4</v>
      </c>
      <c r="G629">
        <v>0.08</v>
      </c>
      <c r="H629" t="s">
        <v>24</v>
      </c>
      <c r="I629" s="13">
        <v>1902.99</v>
      </c>
      <c r="J629">
        <v>243.98</v>
      </c>
      <c r="K629">
        <v>43.32</v>
      </c>
      <c r="L629" t="s">
        <v>188</v>
      </c>
      <c r="M629" t="s">
        <v>161</v>
      </c>
      <c r="N629" s="5" t="s">
        <v>161</v>
      </c>
      <c r="O629" t="s">
        <v>28</v>
      </c>
      <c r="P629" t="s">
        <v>32</v>
      </c>
      <c r="Q629" t="s">
        <v>56</v>
      </c>
      <c r="R629">
        <v>0.55000000000000004</v>
      </c>
      <c r="S629" s="1">
        <v>40607</v>
      </c>
      <c r="T629" t="str">
        <f t="shared" si="19"/>
        <v>05-Mar-2011</v>
      </c>
    </row>
    <row r="630" spans="1:20" x14ac:dyDescent="0.3">
      <c r="A630">
        <v>965</v>
      </c>
      <c r="B630" s="1">
        <v>40677</v>
      </c>
      <c r="C630" t="s">
        <v>18</v>
      </c>
      <c r="D630" t="str">
        <f t="shared" si="18"/>
        <v>14-May-2011</v>
      </c>
      <c r="E630">
        <v>42</v>
      </c>
      <c r="F630" s="13">
        <v>11230.25</v>
      </c>
      <c r="G630">
        <v>7.0000000000000007E-2</v>
      </c>
      <c r="H630" t="s">
        <v>24</v>
      </c>
      <c r="I630" s="13">
        <v>-679.04</v>
      </c>
      <c r="J630">
        <v>280.98</v>
      </c>
      <c r="K630">
        <v>35.67</v>
      </c>
      <c r="L630" t="s">
        <v>179</v>
      </c>
      <c r="M630" t="s">
        <v>161</v>
      </c>
      <c r="N630" s="5" t="s">
        <v>161</v>
      </c>
      <c r="O630" t="s">
        <v>28</v>
      </c>
      <c r="P630" t="s">
        <v>32</v>
      </c>
      <c r="Q630" t="s">
        <v>46</v>
      </c>
      <c r="R630">
        <v>0.66</v>
      </c>
      <c r="S630" s="1">
        <v>40684</v>
      </c>
      <c r="T630" t="str">
        <f t="shared" si="19"/>
        <v>21-May-2011</v>
      </c>
    </row>
    <row r="631" spans="1:20" x14ac:dyDescent="0.3">
      <c r="A631">
        <v>53349</v>
      </c>
      <c r="B631" s="1">
        <v>40278</v>
      </c>
      <c r="C631" t="s">
        <v>18</v>
      </c>
      <c r="D631" t="str">
        <f t="shared" si="18"/>
        <v>10-Apr-2010</v>
      </c>
      <c r="E631">
        <v>46</v>
      </c>
      <c r="F631" s="13">
        <v>11002.66</v>
      </c>
      <c r="G631">
        <v>7.0000000000000007E-2</v>
      </c>
      <c r="H631" t="s">
        <v>24</v>
      </c>
      <c r="I631" s="13">
        <v>2349.29</v>
      </c>
      <c r="J631">
        <v>243.98</v>
      </c>
      <c r="K631">
        <v>43.32</v>
      </c>
      <c r="L631" t="s">
        <v>290</v>
      </c>
      <c r="M631" t="s">
        <v>161</v>
      </c>
      <c r="N631" s="5" t="s">
        <v>161</v>
      </c>
      <c r="O631" t="s">
        <v>28</v>
      </c>
      <c r="P631" t="s">
        <v>32</v>
      </c>
      <c r="Q631" t="s">
        <v>56</v>
      </c>
      <c r="R631">
        <v>0.55000000000000004</v>
      </c>
      <c r="S631" s="1">
        <v>40287</v>
      </c>
      <c r="T631" t="str">
        <f t="shared" si="19"/>
        <v>19-Apr-2010</v>
      </c>
    </row>
    <row r="632" spans="1:20" x14ac:dyDescent="0.3">
      <c r="A632">
        <v>12160</v>
      </c>
      <c r="B632" s="1">
        <v>40524</v>
      </c>
      <c r="C632" t="s">
        <v>18</v>
      </c>
      <c r="D632" t="str">
        <f t="shared" si="18"/>
        <v>12-Dec-2010</v>
      </c>
      <c r="E632">
        <v>48</v>
      </c>
      <c r="F632" s="13">
        <v>10341.469999999999</v>
      </c>
      <c r="G632">
        <v>0.03</v>
      </c>
      <c r="H632" t="s">
        <v>24</v>
      </c>
      <c r="I632" s="13">
        <v>865.02</v>
      </c>
      <c r="J632">
        <v>208.16</v>
      </c>
      <c r="K632">
        <v>68.02</v>
      </c>
      <c r="L632" t="s">
        <v>192</v>
      </c>
      <c r="M632" t="s">
        <v>161</v>
      </c>
      <c r="N632" s="5" t="s">
        <v>161</v>
      </c>
      <c r="O632" t="s">
        <v>28</v>
      </c>
      <c r="P632" t="s">
        <v>32</v>
      </c>
      <c r="Q632" t="s">
        <v>56</v>
      </c>
      <c r="R632">
        <v>0.56999999999999995</v>
      </c>
      <c r="S632" s="1">
        <v>40529</v>
      </c>
      <c r="T632" t="str">
        <f t="shared" si="19"/>
        <v>17-Dec-2010</v>
      </c>
    </row>
    <row r="633" spans="1:20" x14ac:dyDescent="0.3">
      <c r="A633">
        <v>37121</v>
      </c>
      <c r="B633" s="1">
        <v>40617</v>
      </c>
      <c r="C633" t="s">
        <v>31</v>
      </c>
      <c r="D633" t="str">
        <f t="shared" si="18"/>
        <v>15-Mar-2011</v>
      </c>
      <c r="E633">
        <v>44</v>
      </c>
      <c r="F633" s="13">
        <v>9499.2999999999993</v>
      </c>
      <c r="G633">
        <v>0.01</v>
      </c>
      <c r="H633" t="s">
        <v>24</v>
      </c>
      <c r="I633" s="13">
        <v>618.36</v>
      </c>
      <c r="J633">
        <v>216.6</v>
      </c>
      <c r="K633">
        <v>64.2</v>
      </c>
      <c r="L633" t="s">
        <v>169</v>
      </c>
      <c r="M633" t="s">
        <v>161</v>
      </c>
      <c r="N633" s="5" t="s">
        <v>161</v>
      </c>
      <c r="O633" t="s">
        <v>28</v>
      </c>
      <c r="P633" t="s">
        <v>32</v>
      </c>
      <c r="Q633" t="s">
        <v>56</v>
      </c>
      <c r="R633">
        <v>0.59</v>
      </c>
      <c r="S633" s="1">
        <v>40618</v>
      </c>
      <c r="T633" t="str">
        <f t="shared" si="19"/>
        <v>16-Mar-2011</v>
      </c>
    </row>
    <row r="634" spans="1:20" x14ac:dyDescent="0.3">
      <c r="A634">
        <v>54407</v>
      </c>
      <c r="B634" s="1">
        <v>40345</v>
      </c>
      <c r="C634" t="s">
        <v>38</v>
      </c>
      <c r="D634" t="str">
        <f t="shared" si="18"/>
        <v>16-Jun-2010</v>
      </c>
      <c r="E634">
        <v>24</v>
      </c>
      <c r="F634" s="13">
        <v>9396.27</v>
      </c>
      <c r="G634">
        <v>7.0000000000000007E-2</v>
      </c>
      <c r="H634" t="s">
        <v>19</v>
      </c>
      <c r="I634" s="13">
        <v>3857.57</v>
      </c>
      <c r="J634">
        <v>420.98</v>
      </c>
      <c r="K634">
        <v>19.989999999999998</v>
      </c>
      <c r="L634" t="s">
        <v>303</v>
      </c>
      <c r="M634" t="s">
        <v>161</v>
      </c>
      <c r="N634" s="5" t="s">
        <v>161</v>
      </c>
      <c r="O634" t="s">
        <v>28</v>
      </c>
      <c r="P634" t="s">
        <v>21</v>
      </c>
      <c r="Q634" t="s">
        <v>26</v>
      </c>
      <c r="R634">
        <v>0.35</v>
      </c>
      <c r="S634" s="1">
        <v>40346</v>
      </c>
      <c r="T634" t="str">
        <f t="shared" si="19"/>
        <v>17-Jun-2010</v>
      </c>
    </row>
    <row r="635" spans="1:20" x14ac:dyDescent="0.3">
      <c r="A635">
        <v>20451</v>
      </c>
      <c r="B635" s="1">
        <v>41054</v>
      </c>
      <c r="C635" t="s">
        <v>43</v>
      </c>
      <c r="D635" t="str">
        <f t="shared" si="18"/>
        <v>25-May-2012</v>
      </c>
      <c r="E635">
        <v>17</v>
      </c>
      <c r="F635" s="13">
        <v>9150.09</v>
      </c>
      <c r="G635">
        <v>0.1</v>
      </c>
      <c r="H635" t="s">
        <v>24</v>
      </c>
      <c r="I635" s="13">
        <v>-1331.55</v>
      </c>
      <c r="J635">
        <v>550.98</v>
      </c>
      <c r="K635">
        <v>45.7</v>
      </c>
      <c r="L635" t="s">
        <v>294</v>
      </c>
      <c r="M635" t="s">
        <v>161</v>
      </c>
      <c r="N635" s="5" t="s">
        <v>161</v>
      </c>
      <c r="O635" t="s">
        <v>28</v>
      </c>
      <c r="P635" t="s">
        <v>32</v>
      </c>
      <c r="Q635" t="s">
        <v>46</v>
      </c>
      <c r="R635">
        <v>0.71</v>
      </c>
      <c r="S635" s="1">
        <v>41056</v>
      </c>
      <c r="T635" t="str">
        <f t="shared" si="19"/>
        <v>27-May-2012</v>
      </c>
    </row>
    <row r="636" spans="1:20" x14ac:dyDescent="0.3">
      <c r="A636">
        <v>52416</v>
      </c>
      <c r="B636" s="1">
        <v>39844</v>
      </c>
      <c r="C636" t="s">
        <v>31</v>
      </c>
      <c r="D636" t="str">
        <f t="shared" si="18"/>
        <v>31-Jan-2009</v>
      </c>
      <c r="E636">
        <v>40</v>
      </c>
      <c r="F636" s="13">
        <v>9141.64</v>
      </c>
      <c r="G636">
        <v>0.04</v>
      </c>
      <c r="H636" t="s">
        <v>24</v>
      </c>
      <c r="I636" s="13">
        <v>-528.65</v>
      </c>
      <c r="J636">
        <v>218.75</v>
      </c>
      <c r="K636">
        <v>69.64</v>
      </c>
      <c r="L636" t="s">
        <v>313</v>
      </c>
      <c r="M636" t="s">
        <v>161</v>
      </c>
      <c r="N636" s="5" t="s">
        <v>161</v>
      </c>
      <c r="O636" t="s">
        <v>28</v>
      </c>
      <c r="P636" t="s">
        <v>32</v>
      </c>
      <c r="Q636" t="s">
        <v>46</v>
      </c>
      <c r="R636">
        <v>0.72</v>
      </c>
      <c r="S636" s="1">
        <v>39845</v>
      </c>
      <c r="T636" t="str">
        <f t="shared" si="19"/>
        <v>01-Feb-2009</v>
      </c>
    </row>
    <row r="637" spans="1:20" x14ac:dyDescent="0.3">
      <c r="A637">
        <v>37669</v>
      </c>
      <c r="B637" s="1">
        <v>40480</v>
      </c>
      <c r="C637" t="s">
        <v>31</v>
      </c>
      <c r="D637" t="str">
        <f t="shared" si="18"/>
        <v>29-Oct-2010</v>
      </c>
      <c r="E637">
        <v>39</v>
      </c>
      <c r="F637" s="13">
        <v>9081.98</v>
      </c>
      <c r="G637">
        <v>0.02</v>
      </c>
      <c r="H637" t="s">
        <v>35</v>
      </c>
      <c r="I637" s="13">
        <v>2485.54</v>
      </c>
      <c r="J637">
        <v>232.58</v>
      </c>
      <c r="K637">
        <v>19.989999999999998</v>
      </c>
      <c r="L637" t="s">
        <v>290</v>
      </c>
      <c r="M637" t="s">
        <v>161</v>
      </c>
      <c r="N637" s="5" t="s">
        <v>161</v>
      </c>
      <c r="O637" t="s">
        <v>28</v>
      </c>
      <c r="P637" t="s">
        <v>21</v>
      </c>
      <c r="Q637" t="s">
        <v>25</v>
      </c>
      <c r="R637">
        <v>0.59</v>
      </c>
      <c r="S637" s="1">
        <v>40482</v>
      </c>
      <c r="T637" t="str">
        <f t="shared" si="19"/>
        <v>31-Oct-2010</v>
      </c>
    </row>
    <row r="638" spans="1:20" x14ac:dyDescent="0.3">
      <c r="A638">
        <v>21922</v>
      </c>
      <c r="B638" s="1">
        <v>40128</v>
      </c>
      <c r="C638" t="s">
        <v>23</v>
      </c>
      <c r="D638" t="str">
        <f t="shared" si="18"/>
        <v>11-Nov-2009</v>
      </c>
      <c r="E638">
        <v>17</v>
      </c>
      <c r="F638" s="13">
        <v>8937.3799999999992</v>
      </c>
      <c r="G638">
        <v>0.01</v>
      </c>
      <c r="H638" t="s">
        <v>24</v>
      </c>
      <c r="I638" s="13">
        <v>2383.42</v>
      </c>
      <c r="J638">
        <v>500.98</v>
      </c>
      <c r="K638">
        <v>26</v>
      </c>
      <c r="L638" t="s">
        <v>312</v>
      </c>
      <c r="M638" t="s">
        <v>161</v>
      </c>
      <c r="N638" s="5" t="s">
        <v>161</v>
      </c>
      <c r="O638" t="s">
        <v>28</v>
      </c>
      <c r="P638" t="s">
        <v>32</v>
      </c>
      <c r="Q638" t="s">
        <v>56</v>
      </c>
      <c r="R638">
        <v>0.6</v>
      </c>
      <c r="S638" s="1">
        <v>40129</v>
      </c>
      <c r="T638" t="str">
        <f t="shared" si="19"/>
        <v>12-Nov-2009</v>
      </c>
    </row>
    <row r="639" spans="1:20" x14ac:dyDescent="0.3">
      <c r="A639">
        <v>58784</v>
      </c>
      <c r="B639" s="1">
        <v>39831</v>
      </c>
      <c r="C639" t="s">
        <v>38</v>
      </c>
      <c r="D639" t="str">
        <f t="shared" si="18"/>
        <v>18-Jan-2009</v>
      </c>
      <c r="E639">
        <v>25</v>
      </c>
      <c r="F639" s="13">
        <v>8875.17</v>
      </c>
      <c r="G639">
        <v>0.05</v>
      </c>
      <c r="H639" t="s">
        <v>24</v>
      </c>
      <c r="I639" s="13">
        <v>2372.08</v>
      </c>
      <c r="J639">
        <v>350.99</v>
      </c>
      <c r="K639">
        <v>39</v>
      </c>
      <c r="L639" t="s">
        <v>308</v>
      </c>
      <c r="M639" t="s">
        <v>161</v>
      </c>
      <c r="N639" s="5" t="s">
        <v>161</v>
      </c>
      <c r="O639" t="s">
        <v>28</v>
      </c>
      <c r="P639" t="s">
        <v>32</v>
      </c>
      <c r="Q639" t="s">
        <v>56</v>
      </c>
      <c r="R639">
        <v>0.55000000000000004</v>
      </c>
      <c r="S639" s="1">
        <v>39833</v>
      </c>
      <c r="T639" t="str">
        <f t="shared" si="19"/>
        <v>20-Jan-2009</v>
      </c>
    </row>
    <row r="640" spans="1:20" x14ac:dyDescent="0.3">
      <c r="A640">
        <v>45347</v>
      </c>
      <c r="B640" s="1">
        <v>40450</v>
      </c>
      <c r="C640" t="s">
        <v>38</v>
      </c>
      <c r="D640" t="str">
        <f t="shared" si="18"/>
        <v>29-Sep-2010</v>
      </c>
      <c r="E640">
        <v>10</v>
      </c>
      <c r="F640" s="13">
        <v>8704.08</v>
      </c>
      <c r="G640">
        <v>0.05</v>
      </c>
      <c r="H640" t="s">
        <v>24</v>
      </c>
      <c r="I640" s="13">
        <v>1034.54</v>
      </c>
      <c r="J640">
        <v>880.98</v>
      </c>
      <c r="K640">
        <v>44.55</v>
      </c>
      <c r="L640" t="s">
        <v>175</v>
      </c>
      <c r="M640" t="s">
        <v>161</v>
      </c>
      <c r="N640" s="5" t="s">
        <v>161</v>
      </c>
      <c r="O640" t="s">
        <v>28</v>
      </c>
      <c r="P640" t="s">
        <v>32</v>
      </c>
      <c r="Q640" t="s">
        <v>45</v>
      </c>
      <c r="R640">
        <v>0.62</v>
      </c>
      <c r="S640" s="1">
        <v>40451</v>
      </c>
      <c r="T640" t="str">
        <f t="shared" si="19"/>
        <v>30-Sep-2010</v>
      </c>
    </row>
    <row r="641" spans="1:20" x14ac:dyDescent="0.3">
      <c r="A641">
        <v>18085</v>
      </c>
      <c r="B641" s="1">
        <v>40811</v>
      </c>
      <c r="C641" t="s">
        <v>23</v>
      </c>
      <c r="D641" t="str">
        <f t="shared" si="18"/>
        <v>25-Sep-2011</v>
      </c>
      <c r="E641">
        <v>23</v>
      </c>
      <c r="F641" s="13">
        <v>8127.51</v>
      </c>
      <c r="G641">
        <v>0.01</v>
      </c>
      <c r="H641" t="s">
        <v>24</v>
      </c>
      <c r="I641" s="13">
        <v>1541.25</v>
      </c>
      <c r="J641">
        <v>348.21</v>
      </c>
      <c r="K641">
        <v>40.19</v>
      </c>
      <c r="L641" t="s">
        <v>119</v>
      </c>
      <c r="M641" t="s">
        <v>161</v>
      </c>
      <c r="N641" s="5" t="s">
        <v>161</v>
      </c>
      <c r="O641" t="s">
        <v>28</v>
      </c>
      <c r="P641" t="s">
        <v>32</v>
      </c>
      <c r="Q641" t="s">
        <v>46</v>
      </c>
      <c r="R641">
        <v>0.62</v>
      </c>
      <c r="S641" s="1">
        <v>40813</v>
      </c>
      <c r="T641" t="str">
        <f t="shared" si="19"/>
        <v>27-Sep-2011</v>
      </c>
    </row>
    <row r="642" spans="1:20" x14ac:dyDescent="0.3">
      <c r="A642">
        <v>28033</v>
      </c>
      <c r="B642" s="1">
        <v>40435</v>
      </c>
      <c r="C642" t="s">
        <v>23</v>
      </c>
      <c r="D642" t="str">
        <f t="shared" ref="D642:D705" si="20">TEXT(B642, "dd-mmm-yyyy" )</f>
        <v>14-Sep-2010</v>
      </c>
      <c r="E642">
        <v>37</v>
      </c>
      <c r="F642" s="13">
        <v>7834.77</v>
      </c>
      <c r="G642">
        <v>0.04</v>
      </c>
      <c r="H642" t="s">
        <v>24</v>
      </c>
      <c r="I642" s="13">
        <v>297.79000000000002</v>
      </c>
      <c r="J642">
        <v>216.6</v>
      </c>
      <c r="K642">
        <v>64.2</v>
      </c>
      <c r="L642" t="s">
        <v>196</v>
      </c>
      <c r="M642" t="s">
        <v>161</v>
      </c>
      <c r="N642" s="5" t="s">
        <v>161</v>
      </c>
      <c r="O642" t="s">
        <v>28</v>
      </c>
      <c r="P642" t="s">
        <v>32</v>
      </c>
      <c r="Q642" t="s">
        <v>56</v>
      </c>
      <c r="R642">
        <v>0.59</v>
      </c>
      <c r="S642" s="1">
        <v>40437</v>
      </c>
      <c r="T642" t="str">
        <f t="shared" ref="T642:T705" si="21">TEXT(S642, "dd-mmm-yyyy")</f>
        <v>16-Sep-2010</v>
      </c>
    </row>
    <row r="643" spans="1:20" x14ac:dyDescent="0.3">
      <c r="A643">
        <v>44706</v>
      </c>
      <c r="B643" s="1">
        <v>40267</v>
      </c>
      <c r="C643" t="s">
        <v>18</v>
      </c>
      <c r="D643" t="str">
        <f t="shared" si="20"/>
        <v>30-Mar-2010</v>
      </c>
      <c r="E643">
        <v>18</v>
      </c>
      <c r="F643" s="13">
        <v>7556.61</v>
      </c>
      <c r="G643">
        <v>0.08</v>
      </c>
      <c r="H643" t="s">
        <v>24</v>
      </c>
      <c r="I643" s="13">
        <v>-352.24</v>
      </c>
      <c r="J643">
        <v>424.21</v>
      </c>
      <c r="K643">
        <v>110.2</v>
      </c>
      <c r="L643" t="s">
        <v>175</v>
      </c>
      <c r="M643" t="s">
        <v>161</v>
      </c>
      <c r="N643" s="5" t="s">
        <v>161</v>
      </c>
      <c r="O643" t="s">
        <v>28</v>
      </c>
      <c r="P643" t="s">
        <v>32</v>
      </c>
      <c r="Q643" t="s">
        <v>46</v>
      </c>
      <c r="R643">
        <v>0.67</v>
      </c>
      <c r="S643" s="1">
        <v>40269</v>
      </c>
      <c r="T643" t="str">
        <f t="shared" si="21"/>
        <v>01-Apr-2010</v>
      </c>
    </row>
    <row r="644" spans="1:20" x14ac:dyDescent="0.3">
      <c r="A644">
        <v>41543</v>
      </c>
      <c r="B644" s="1">
        <v>39850</v>
      </c>
      <c r="C644" t="s">
        <v>18</v>
      </c>
      <c r="D644" t="str">
        <f t="shared" si="20"/>
        <v>06-Feb-2009</v>
      </c>
      <c r="E644">
        <v>45</v>
      </c>
      <c r="F644" s="13">
        <v>7548.65</v>
      </c>
      <c r="G644">
        <v>0.03</v>
      </c>
      <c r="H644" t="s">
        <v>24</v>
      </c>
      <c r="I644" s="13">
        <v>1385.35</v>
      </c>
      <c r="J644">
        <v>160.97999999999999</v>
      </c>
      <c r="K644">
        <v>30</v>
      </c>
      <c r="L644" t="s">
        <v>169</v>
      </c>
      <c r="M644" t="s">
        <v>161</v>
      </c>
      <c r="N644" s="5" t="s">
        <v>161</v>
      </c>
      <c r="O644" t="s">
        <v>28</v>
      </c>
      <c r="P644" t="s">
        <v>32</v>
      </c>
      <c r="Q644" t="s">
        <v>56</v>
      </c>
      <c r="R644">
        <v>0.62</v>
      </c>
      <c r="S644" s="1">
        <v>39854</v>
      </c>
      <c r="T644" t="str">
        <f t="shared" si="21"/>
        <v>10-Feb-2009</v>
      </c>
    </row>
    <row r="645" spans="1:20" x14ac:dyDescent="0.3">
      <c r="A645">
        <v>31238</v>
      </c>
      <c r="B645" s="1">
        <v>40412</v>
      </c>
      <c r="C645" t="s">
        <v>38</v>
      </c>
      <c r="D645" t="str">
        <f t="shared" si="20"/>
        <v>22-Aug-2010</v>
      </c>
      <c r="E645">
        <v>21</v>
      </c>
      <c r="F645" s="13">
        <v>7512.03</v>
      </c>
      <c r="G645">
        <v>0.09</v>
      </c>
      <c r="H645" t="s">
        <v>35</v>
      </c>
      <c r="I645" s="13">
        <v>2017.64</v>
      </c>
      <c r="J645">
        <v>363.25</v>
      </c>
      <c r="K645">
        <v>19.989999999999998</v>
      </c>
      <c r="L645" t="s">
        <v>162</v>
      </c>
      <c r="M645" t="s">
        <v>161</v>
      </c>
      <c r="N645" s="5" t="s">
        <v>161</v>
      </c>
      <c r="O645" t="s">
        <v>28</v>
      </c>
      <c r="P645" t="s">
        <v>21</v>
      </c>
      <c r="Q645" t="s">
        <v>25</v>
      </c>
      <c r="R645">
        <v>0.56999999999999995</v>
      </c>
      <c r="S645" s="1">
        <v>40414</v>
      </c>
      <c r="T645" t="str">
        <f t="shared" si="21"/>
        <v>24-Aug-2010</v>
      </c>
    </row>
    <row r="646" spans="1:20" x14ac:dyDescent="0.3">
      <c r="A646">
        <v>33250</v>
      </c>
      <c r="B646" s="1">
        <v>39989</v>
      </c>
      <c r="C646" t="s">
        <v>31</v>
      </c>
      <c r="D646" t="str">
        <f t="shared" si="20"/>
        <v>25-Jun-2009</v>
      </c>
      <c r="E646">
        <v>40</v>
      </c>
      <c r="F646" s="13">
        <v>7381.19</v>
      </c>
      <c r="G646">
        <v>0.04</v>
      </c>
      <c r="H646" t="s">
        <v>19</v>
      </c>
      <c r="I646" s="13">
        <v>2998.88</v>
      </c>
      <c r="J646">
        <v>177.98</v>
      </c>
      <c r="K646">
        <v>0.99</v>
      </c>
      <c r="L646" t="s">
        <v>157</v>
      </c>
      <c r="M646" t="s">
        <v>161</v>
      </c>
      <c r="N646" s="5" t="s">
        <v>161</v>
      </c>
      <c r="O646" t="s">
        <v>28</v>
      </c>
      <c r="P646" t="s">
        <v>21</v>
      </c>
      <c r="Q646" t="s">
        <v>25</v>
      </c>
      <c r="R646">
        <v>0.56000000000000005</v>
      </c>
      <c r="S646" s="1">
        <v>39991</v>
      </c>
      <c r="T646" t="str">
        <f t="shared" si="21"/>
        <v>27-Jun-2009</v>
      </c>
    </row>
    <row r="647" spans="1:20" x14ac:dyDescent="0.3">
      <c r="A647">
        <v>1952</v>
      </c>
      <c r="B647" s="1">
        <v>39887</v>
      </c>
      <c r="C647" t="s">
        <v>23</v>
      </c>
      <c r="D647" t="str">
        <f t="shared" si="20"/>
        <v>15-Mar-2009</v>
      </c>
      <c r="E647">
        <v>24</v>
      </c>
      <c r="F647" s="13">
        <v>7287.55</v>
      </c>
      <c r="G647">
        <v>0.04</v>
      </c>
      <c r="H647" t="s">
        <v>24</v>
      </c>
      <c r="I647" s="13">
        <v>-715.78</v>
      </c>
      <c r="J647">
        <v>296.18</v>
      </c>
      <c r="K647">
        <v>54.12</v>
      </c>
      <c r="L647" t="s">
        <v>290</v>
      </c>
      <c r="M647" t="s">
        <v>161</v>
      </c>
      <c r="N647" s="5" t="s">
        <v>161</v>
      </c>
      <c r="O647" t="s">
        <v>28</v>
      </c>
      <c r="P647" t="s">
        <v>32</v>
      </c>
      <c r="Q647" t="s">
        <v>46</v>
      </c>
      <c r="R647">
        <v>0.76</v>
      </c>
      <c r="S647" s="1">
        <v>39887</v>
      </c>
      <c r="T647" t="str">
        <f t="shared" si="21"/>
        <v>15-Mar-2009</v>
      </c>
    </row>
    <row r="648" spans="1:20" x14ac:dyDescent="0.3">
      <c r="A648">
        <v>40965</v>
      </c>
      <c r="B648" s="1">
        <v>40137</v>
      </c>
      <c r="C648" t="s">
        <v>38</v>
      </c>
      <c r="D648" t="str">
        <f t="shared" si="20"/>
        <v>20-Nov-2009</v>
      </c>
      <c r="E648">
        <v>48</v>
      </c>
      <c r="F648" s="13">
        <v>7227.42</v>
      </c>
      <c r="G648">
        <v>0.09</v>
      </c>
      <c r="H648" t="s">
        <v>24</v>
      </c>
      <c r="I648" s="13">
        <v>-385</v>
      </c>
      <c r="J648">
        <v>159.31</v>
      </c>
      <c r="K648">
        <v>60</v>
      </c>
      <c r="L648" t="s">
        <v>129</v>
      </c>
      <c r="M648" t="s">
        <v>161</v>
      </c>
      <c r="N648" s="5" t="s">
        <v>161</v>
      </c>
      <c r="O648" t="s">
        <v>28</v>
      </c>
      <c r="P648" t="s">
        <v>32</v>
      </c>
      <c r="Q648" t="s">
        <v>46</v>
      </c>
      <c r="R648">
        <v>0.55000000000000004</v>
      </c>
      <c r="S648" s="1">
        <v>40139</v>
      </c>
      <c r="T648" t="str">
        <f t="shared" si="21"/>
        <v>22-Nov-2009</v>
      </c>
    </row>
    <row r="649" spans="1:20" x14ac:dyDescent="0.3">
      <c r="A649">
        <v>44992</v>
      </c>
      <c r="B649" s="1">
        <v>41267</v>
      </c>
      <c r="C649" t="s">
        <v>43</v>
      </c>
      <c r="D649" t="str">
        <f t="shared" si="20"/>
        <v>24-Dec-2012</v>
      </c>
      <c r="E649">
        <v>32</v>
      </c>
      <c r="F649" s="13">
        <v>7110.24</v>
      </c>
      <c r="G649">
        <v>0.06</v>
      </c>
      <c r="H649" t="s">
        <v>24</v>
      </c>
      <c r="I649" s="13">
        <v>-536.16999999999996</v>
      </c>
      <c r="J649">
        <v>218.75</v>
      </c>
      <c r="K649">
        <v>69.64</v>
      </c>
      <c r="L649" t="s">
        <v>185</v>
      </c>
      <c r="M649" t="s">
        <v>161</v>
      </c>
      <c r="N649" s="5" t="s">
        <v>161</v>
      </c>
      <c r="O649" t="s">
        <v>28</v>
      </c>
      <c r="P649" t="s">
        <v>32</v>
      </c>
      <c r="Q649" t="s">
        <v>46</v>
      </c>
      <c r="R649">
        <v>0.72</v>
      </c>
      <c r="S649" s="1">
        <v>41269</v>
      </c>
      <c r="T649" t="str">
        <f t="shared" si="21"/>
        <v>26-Dec-2012</v>
      </c>
    </row>
    <row r="650" spans="1:20" x14ac:dyDescent="0.3">
      <c r="A650">
        <v>16065</v>
      </c>
      <c r="B650" s="1">
        <v>40379</v>
      </c>
      <c r="C650" t="s">
        <v>23</v>
      </c>
      <c r="D650" t="str">
        <f t="shared" si="20"/>
        <v>20-Jul-2010</v>
      </c>
      <c r="E650">
        <v>15</v>
      </c>
      <c r="F650" s="13">
        <v>6933.45</v>
      </c>
      <c r="G650">
        <v>0.04</v>
      </c>
      <c r="H650" t="s">
        <v>24</v>
      </c>
      <c r="I650" s="13">
        <v>1200.21</v>
      </c>
      <c r="J650">
        <v>449.99</v>
      </c>
      <c r="K650">
        <v>49</v>
      </c>
      <c r="L650" t="s">
        <v>201</v>
      </c>
      <c r="M650" t="s">
        <v>161</v>
      </c>
      <c r="N650" s="5" t="s">
        <v>161</v>
      </c>
      <c r="O650" t="s">
        <v>28</v>
      </c>
      <c r="P650" t="s">
        <v>29</v>
      </c>
      <c r="Q650" t="s">
        <v>51</v>
      </c>
      <c r="R650">
        <v>0.38</v>
      </c>
      <c r="S650" s="1">
        <v>40379</v>
      </c>
      <c r="T650" t="str">
        <f t="shared" si="21"/>
        <v>20-Jul-2010</v>
      </c>
    </row>
    <row r="651" spans="1:20" x14ac:dyDescent="0.3">
      <c r="A651">
        <v>17668</v>
      </c>
      <c r="B651" s="1">
        <v>40142</v>
      </c>
      <c r="C651" t="s">
        <v>38</v>
      </c>
      <c r="D651" t="str">
        <f t="shared" si="20"/>
        <v>25-Nov-2009</v>
      </c>
      <c r="E651">
        <v>24</v>
      </c>
      <c r="F651" s="13">
        <v>6930.97</v>
      </c>
      <c r="G651">
        <v>0.05</v>
      </c>
      <c r="H651" t="s">
        <v>19</v>
      </c>
      <c r="I651" s="13">
        <v>2574.12</v>
      </c>
      <c r="J651">
        <v>300.98</v>
      </c>
      <c r="K651">
        <v>13.99</v>
      </c>
      <c r="L651" t="s">
        <v>182</v>
      </c>
      <c r="M651" t="s">
        <v>161</v>
      </c>
      <c r="N651" s="5" t="s">
        <v>161</v>
      </c>
      <c r="O651" t="s">
        <v>28</v>
      </c>
      <c r="P651" t="s">
        <v>29</v>
      </c>
      <c r="Q651" t="s">
        <v>74</v>
      </c>
      <c r="R651">
        <v>0.39</v>
      </c>
      <c r="S651" s="1">
        <v>40143</v>
      </c>
      <c r="T651" t="str">
        <f t="shared" si="21"/>
        <v>26-Nov-2009</v>
      </c>
    </row>
    <row r="652" spans="1:20" x14ac:dyDescent="0.3">
      <c r="A652">
        <v>50883</v>
      </c>
      <c r="B652" s="1">
        <v>41061</v>
      </c>
      <c r="C652" t="s">
        <v>18</v>
      </c>
      <c r="D652" t="str">
        <f t="shared" si="20"/>
        <v>01-Jun-2012</v>
      </c>
      <c r="E652">
        <v>35</v>
      </c>
      <c r="F652" s="13">
        <v>6739.92</v>
      </c>
      <c r="G652">
        <v>0.01</v>
      </c>
      <c r="H652" t="s">
        <v>24</v>
      </c>
      <c r="I652" s="13">
        <v>957.29</v>
      </c>
      <c r="J652">
        <v>180.98</v>
      </c>
      <c r="K652">
        <v>30</v>
      </c>
      <c r="L652" t="s">
        <v>174</v>
      </c>
      <c r="M652" t="s">
        <v>161</v>
      </c>
      <c r="N652" s="5" t="s">
        <v>161</v>
      </c>
      <c r="O652" t="s">
        <v>28</v>
      </c>
      <c r="P652" t="s">
        <v>32</v>
      </c>
      <c r="Q652" t="s">
        <v>56</v>
      </c>
      <c r="R652">
        <v>0.69</v>
      </c>
      <c r="S652" s="1">
        <v>41061</v>
      </c>
      <c r="T652" t="str">
        <f t="shared" si="21"/>
        <v>01-Jun-2012</v>
      </c>
    </row>
    <row r="653" spans="1:20" x14ac:dyDescent="0.3">
      <c r="A653">
        <v>31266</v>
      </c>
      <c r="B653" s="1">
        <v>41185</v>
      </c>
      <c r="C653" t="s">
        <v>23</v>
      </c>
      <c r="D653" t="str">
        <f t="shared" si="20"/>
        <v>03-Oct-2012</v>
      </c>
      <c r="E653">
        <v>16</v>
      </c>
      <c r="F653" s="13">
        <v>6573.75</v>
      </c>
      <c r="G653">
        <v>0.04</v>
      </c>
      <c r="H653" t="s">
        <v>24</v>
      </c>
      <c r="I653" s="13">
        <v>1197.05</v>
      </c>
      <c r="J653">
        <v>399.98</v>
      </c>
      <c r="K653">
        <v>12.06</v>
      </c>
      <c r="L653" t="s">
        <v>108</v>
      </c>
      <c r="M653" t="s">
        <v>161</v>
      </c>
      <c r="N653" s="5" t="s">
        <v>161</v>
      </c>
      <c r="O653" t="s">
        <v>28</v>
      </c>
      <c r="P653" t="s">
        <v>29</v>
      </c>
      <c r="Q653" t="s">
        <v>74</v>
      </c>
      <c r="R653">
        <v>0.56000000000000005</v>
      </c>
      <c r="S653" s="1">
        <v>41186</v>
      </c>
      <c r="T653" t="str">
        <f t="shared" si="21"/>
        <v>04-Oct-2012</v>
      </c>
    </row>
    <row r="654" spans="1:20" x14ac:dyDescent="0.3">
      <c r="A654">
        <v>3109</v>
      </c>
      <c r="B654" s="1">
        <v>40382</v>
      </c>
      <c r="C654" t="s">
        <v>18</v>
      </c>
      <c r="D654" t="str">
        <f t="shared" si="20"/>
        <v>23-Jul-2010</v>
      </c>
      <c r="E654">
        <v>37</v>
      </c>
      <c r="F654" s="13">
        <v>6477.7394999999997</v>
      </c>
      <c r="G654">
        <v>0.01</v>
      </c>
      <c r="H654" t="s">
        <v>19</v>
      </c>
      <c r="I654" s="13">
        <v>1653.97</v>
      </c>
      <c r="J654">
        <v>205.99</v>
      </c>
      <c r="K654">
        <v>8.99</v>
      </c>
      <c r="L654" t="s">
        <v>167</v>
      </c>
      <c r="M654" t="s">
        <v>161</v>
      </c>
      <c r="N654" s="5" t="s">
        <v>161</v>
      </c>
      <c r="O654" t="s">
        <v>28</v>
      </c>
      <c r="P654" t="s">
        <v>29</v>
      </c>
      <c r="Q654" t="s">
        <v>30</v>
      </c>
      <c r="R654">
        <v>0.57999999999999996</v>
      </c>
      <c r="S654" s="1">
        <v>40389</v>
      </c>
      <c r="T654" t="str">
        <f t="shared" si="21"/>
        <v>30-Jul-2010</v>
      </c>
    </row>
    <row r="655" spans="1:20" x14ac:dyDescent="0.3">
      <c r="A655">
        <v>29410</v>
      </c>
      <c r="B655" s="1">
        <v>40073</v>
      </c>
      <c r="C655" t="s">
        <v>43</v>
      </c>
      <c r="D655" t="str">
        <f t="shared" si="20"/>
        <v>17-Sep-2009</v>
      </c>
      <c r="E655">
        <v>36</v>
      </c>
      <c r="F655" s="13">
        <v>6057.27</v>
      </c>
      <c r="G655">
        <v>0</v>
      </c>
      <c r="H655" t="s">
        <v>19</v>
      </c>
      <c r="I655" s="13">
        <v>1585.5</v>
      </c>
      <c r="J655">
        <v>195.99</v>
      </c>
      <c r="K655">
        <v>4.2</v>
      </c>
      <c r="L655" t="s">
        <v>202</v>
      </c>
      <c r="M655" t="s">
        <v>161</v>
      </c>
      <c r="N655" s="5" t="s">
        <v>161</v>
      </c>
      <c r="O655" t="s">
        <v>28</v>
      </c>
      <c r="P655" t="s">
        <v>29</v>
      </c>
      <c r="Q655" t="s">
        <v>30</v>
      </c>
      <c r="R655">
        <v>0.6</v>
      </c>
      <c r="S655" s="1">
        <v>40075</v>
      </c>
      <c r="T655" t="str">
        <f t="shared" si="21"/>
        <v>19-Sep-2009</v>
      </c>
    </row>
    <row r="656" spans="1:20" x14ac:dyDescent="0.3">
      <c r="A656">
        <v>50854</v>
      </c>
      <c r="B656" s="1">
        <v>40894</v>
      </c>
      <c r="C656" t="s">
        <v>43</v>
      </c>
      <c r="D656" t="str">
        <f t="shared" si="20"/>
        <v>17-Dec-2011</v>
      </c>
      <c r="E656">
        <v>12</v>
      </c>
      <c r="F656" s="13">
        <v>5744.24</v>
      </c>
      <c r="G656">
        <v>0.09</v>
      </c>
      <c r="H656" t="s">
        <v>24</v>
      </c>
      <c r="I656" s="13">
        <v>1118.17</v>
      </c>
      <c r="J656">
        <v>500.98</v>
      </c>
      <c r="K656">
        <v>28.14</v>
      </c>
      <c r="L656" t="s">
        <v>196</v>
      </c>
      <c r="M656" t="s">
        <v>161</v>
      </c>
      <c r="N656" s="5" t="s">
        <v>161</v>
      </c>
      <c r="O656" t="s">
        <v>28</v>
      </c>
      <c r="P656" t="s">
        <v>29</v>
      </c>
      <c r="Q656" t="s">
        <v>74</v>
      </c>
      <c r="R656">
        <v>0.38</v>
      </c>
      <c r="S656" s="1">
        <v>40896</v>
      </c>
      <c r="T656" t="str">
        <f t="shared" si="21"/>
        <v>19-Dec-2011</v>
      </c>
    </row>
    <row r="657" spans="1:20" x14ac:dyDescent="0.3">
      <c r="A657">
        <v>55713</v>
      </c>
      <c r="B657" s="1">
        <v>39846</v>
      </c>
      <c r="C657" t="s">
        <v>23</v>
      </c>
      <c r="D657" t="str">
        <f t="shared" si="20"/>
        <v>02-Feb-2009</v>
      </c>
      <c r="E657">
        <v>49</v>
      </c>
      <c r="F657" s="13">
        <v>5718.85</v>
      </c>
      <c r="G657">
        <v>0.09</v>
      </c>
      <c r="H657" t="s">
        <v>24</v>
      </c>
      <c r="I657" s="13">
        <v>-2426.5500000000002</v>
      </c>
      <c r="J657">
        <v>122.99</v>
      </c>
      <c r="K657">
        <v>70.2</v>
      </c>
      <c r="L657" t="s">
        <v>309</v>
      </c>
      <c r="M657" t="s">
        <v>161</v>
      </c>
      <c r="N657" s="5" t="s">
        <v>161</v>
      </c>
      <c r="O657" t="s">
        <v>28</v>
      </c>
      <c r="P657" t="s">
        <v>32</v>
      </c>
      <c r="Q657" t="s">
        <v>56</v>
      </c>
      <c r="R657">
        <v>0.74</v>
      </c>
      <c r="S657" s="1">
        <v>39848</v>
      </c>
      <c r="T657" t="str">
        <f t="shared" si="21"/>
        <v>04-Feb-2009</v>
      </c>
    </row>
    <row r="658" spans="1:20" x14ac:dyDescent="0.3">
      <c r="A658">
        <v>50981</v>
      </c>
      <c r="B658" s="1">
        <v>40029</v>
      </c>
      <c r="C658" t="s">
        <v>43</v>
      </c>
      <c r="D658" t="str">
        <f t="shared" si="20"/>
        <v>04-Aug-2009</v>
      </c>
      <c r="E658">
        <v>42</v>
      </c>
      <c r="F658" s="13">
        <v>5678.5524999999998</v>
      </c>
      <c r="G658">
        <v>0.01</v>
      </c>
      <c r="H658" t="s">
        <v>19</v>
      </c>
      <c r="I658" s="13">
        <v>1550.88</v>
      </c>
      <c r="J658">
        <v>155.99</v>
      </c>
      <c r="K658">
        <v>8.99</v>
      </c>
      <c r="L658" t="s">
        <v>171</v>
      </c>
      <c r="M658" t="s">
        <v>161</v>
      </c>
      <c r="N658" s="5" t="s">
        <v>161</v>
      </c>
      <c r="O658" t="s">
        <v>28</v>
      </c>
      <c r="P658" t="s">
        <v>29</v>
      </c>
      <c r="Q658" t="s">
        <v>30</v>
      </c>
      <c r="R658">
        <v>0.57999999999999996</v>
      </c>
      <c r="S658" s="1">
        <v>40029</v>
      </c>
      <c r="T658" t="str">
        <f t="shared" si="21"/>
        <v>04-Aug-2009</v>
      </c>
    </row>
    <row r="659" spans="1:20" x14ac:dyDescent="0.3">
      <c r="A659">
        <v>38503</v>
      </c>
      <c r="B659" s="1">
        <v>39938</v>
      </c>
      <c r="C659" t="s">
        <v>18</v>
      </c>
      <c r="D659" t="str">
        <f t="shared" si="20"/>
        <v>05-May-2009</v>
      </c>
      <c r="E659">
        <v>47</v>
      </c>
      <c r="F659" s="13">
        <v>5567.79</v>
      </c>
      <c r="G659">
        <v>0.04</v>
      </c>
      <c r="H659" t="s">
        <v>19</v>
      </c>
      <c r="I659" s="13">
        <v>1726.66</v>
      </c>
      <c r="J659">
        <v>120.98</v>
      </c>
      <c r="K659">
        <v>3.99</v>
      </c>
      <c r="L659" t="s">
        <v>194</v>
      </c>
      <c r="M659" t="s">
        <v>161</v>
      </c>
      <c r="N659" s="5" t="s">
        <v>161</v>
      </c>
      <c r="O659" t="s">
        <v>28</v>
      </c>
      <c r="P659" t="s">
        <v>21</v>
      </c>
      <c r="Q659" t="s">
        <v>25</v>
      </c>
      <c r="R659">
        <v>0.6</v>
      </c>
      <c r="S659" s="1">
        <v>39938</v>
      </c>
      <c r="T659" t="str">
        <f t="shared" si="21"/>
        <v>05-May-2009</v>
      </c>
    </row>
    <row r="660" spans="1:20" x14ac:dyDescent="0.3">
      <c r="A660">
        <v>18753</v>
      </c>
      <c r="B660" s="1">
        <v>40025</v>
      </c>
      <c r="C660" t="s">
        <v>38</v>
      </c>
      <c r="D660" t="str">
        <f t="shared" si="20"/>
        <v>31-Jul-2009</v>
      </c>
      <c r="E660">
        <v>33</v>
      </c>
      <c r="F660" s="13">
        <v>5394.4</v>
      </c>
      <c r="G660">
        <v>0.01</v>
      </c>
      <c r="H660" t="s">
        <v>24</v>
      </c>
      <c r="I660" s="13">
        <v>788.79</v>
      </c>
      <c r="J660">
        <v>160.97999999999999</v>
      </c>
      <c r="K660">
        <v>30</v>
      </c>
      <c r="L660" t="s">
        <v>182</v>
      </c>
      <c r="M660" t="s">
        <v>161</v>
      </c>
      <c r="N660" s="5" t="s">
        <v>161</v>
      </c>
      <c r="O660" t="s">
        <v>28</v>
      </c>
      <c r="P660" t="s">
        <v>32</v>
      </c>
      <c r="Q660" t="s">
        <v>56</v>
      </c>
      <c r="R660">
        <v>0.62</v>
      </c>
      <c r="S660" s="1">
        <v>40027</v>
      </c>
      <c r="T660" t="str">
        <f t="shared" si="21"/>
        <v>02-Aug-2009</v>
      </c>
    </row>
    <row r="661" spans="1:20" x14ac:dyDescent="0.3">
      <c r="A661">
        <v>18085</v>
      </c>
      <c r="B661" s="1">
        <v>40811</v>
      </c>
      <c r="C661" t="s">
        <v>23</v>
      </c>
      <c r="D661" t="str">
        <f t="shared" si="20"/>
        <v>25-Sep-2011</v>
      </c>
      <c r="E661">
        <v>33</v>
      </c>
      <c r="F661" s="13">
        <v>5352.9345000000003</v>
      </c>
      <c r="G661">
        <v>0.09</v>
      </c>
      <c r="H661" t="s">
        <v>19</v>
      </c>
      <c r="I661" s="13">
        <v>1343.21</v>
      </c>
      <c r="J661">
        <v>195.99</v>
      </c>
      <c r="K661">
        <v>4.2</v>
      </c>
      <c r="L661" t="s">
        <v>119</v>
      </c>
      <c r="M661" t="s">
        <v>161</v>
      </c>
      <c r="N661" s="5" t="s">
        <v>161</v>
      </c>
      <c r="O661" t="s">
        <v>28</v>
      </c>
      <c r="P661" t="s">
        <v>29</v>
      </c>
      <c r="Q661" t="s">
        <v>30</v>
      </c>
      <c r="R661">
        <v>0.56999999999999995</v>
      </c>
      <c r="S661" s="1">
        <v>40812</v>
      </c>
      <c r="T661" t="str">
        <f t="shared" si="21"/>
        <v>26-Sep-2011</v>
      </c>
    </row>
    <row r="662" spans="1:20" x14ac:dyDescent="0.3">
      <c r="A662">
        <v>56101</v>
      </c>
      <c r="B662" s="1">
        <v>40378</v>
      </c>
      <c r="C662" t="s">
        <v>31</v>
      </c>
      <c r="D662" t="str">
        <f t="shared" si="20"/>
        <v>19-Jul-2010</v>
      </c>
      <c r="E662">
        <v>44</v>
      </c>
      <c r="F662" s="13">
        <v>5347.13</v>
      </c>
      <c r="G662">
        <v>0.08</v>
      </c>
      <c r="H662" t="s">
        <v>19</v>
      </c>
      <c r="I662" s="13">
        <v>1886.41</v>
      </c>
      <c r="J662">
        <v>122.99</v>
      </c>
      <c r="K662">
        <v>19.989999999999998</v>
      </c>
      <c r="L662" t="s">
        <v>169</v>
      </c>
      <c r="M662" t="s">
        <v>161</v>
      </c>
      <c r="N662" s="5" t="s">
        <v>161</v>
      </c>
      <c r="O662" t="s">
        <v>28</v>
      </c>
      <c r="P662" t="s">
        <v>21</v>
      </c>
      <c r="Q662" t="s">
        <v>26</v>
      </c>
      <c r="R662">
        <v>0.37</v>
      </c>
      <c r="S662" s="1">
        <v>40381</v>
      </c>
      <c r="T662" t="str">
        <f t="shared" si="21"/>
        <v>22-Jul-2010</v>
      </c>
    </row>
    <row r="663" spans="1:20" x14ac:dyDescent="0.3">
      <c r="A663">
        <v>39015</v>
      </c>
      <c r="B663" s="1">
        <v>40153</v>
      </c>
      <c r="C663" t="s">
        <v>38</v>
      </c>
      <c r="D663" t="str">
        <f t="shared" si="20"/>
        <v>06-Dec-2009</v>
      </c>
      <c r="E663">
        <v>13</v>
      </c>
      <c r="F663" s="13">
        <v>5236.1400000000003</v>
      </c>
      <c r="G663">
        <v>0.05</v>
      </c>
      <c r="H663" t="s">
        <v>24</v>
      </c>
      <c r="I663" s="13">
        <v>567.59</v>
      </c>
      <c r="J663">
        <v>399.98</v>
      </c>
      <c r="K663">
        <v>12.06</v>
      </c>
      <c r="L663" t="s">
        <v>163</v>
      </c>
      <c r="M663" t="s">
        <v>161</v>
      </c>
      <c r="N663" s="5" t="s">
        <v>161</v>
      </c>
      <c r="O663" t="s">
        <v>28</v>
      </c>
      <c r="P663" t="s">
        <v>29</v>
      </c>
      <c r="Q663" t="s">
        <v>74</v>
      </c>
      <c r="R663">
        <v>0.56000000000000005</v>
      </c>
      <c r="S663" s="1">
        <v>40153</v>
      </c>
      <c r="T663" t="str">
        <f t="shared" si="21"/>
        <v>06-Dec-2009</v>
      </c>
    </row>
    <row r="664" spans="1:20" x14ac:dyDescent="0.3">
      <c r="A664">
        <v>52325</v>
      </c>
      <c r="B664" s="1">
        <v>41104</v>
      </c>
      <c r="C664" t="s">
        <v>31</v>
      </c>
      <c r="D664" t="str">
        <f t="shared" si="20"/>
        <v>14-Jul-2012</v>
      </c>
      <c r="E664">
        <v>23</v>
      </c>
      <c r="F664" s="13">
        <v>5126.3</v>
      </c>
      <c r="G664">
        <v>7.0000000000000007E-2</v>
      </c>
      <c r="H664" t="s">
        <v>19</v>
      </c>
      <c r="I664" s="13">
        <v>2019.19</v>
      </c>
      <c r="J664">
        <v>223.98</v>
      </c>
      <c r="K664">
        <v>15.01</v>
      </c>
      <c r="L664" t="s">
        <v>137</v>
      </c>
      <c r="M664" t="s">
        <v>161</v>
      </c>
      <c r="N664" s="5" t="s">
        <v>161</v>
      </c>
      <c r="O664" t="s">
        <v>28</v>
      </c>
      <c r="P664" t="s">
        <v>21</v>
      </c>
      <c r="Q664" t="s">
        <v>26</v>
      </c>
      <c r="R664">
        <v>0.38</v>
      </c>
      <c r="S664" s="1">
        <v>41104</v>
      </c>
      <c r="T664" t="str">
        <f t="shared" si="21"/>
        <v>14-Jul-2012</v>
      </c>
    </row>
    <row r="665" spans="1:20" x14ac:dyDescent="0.3">
      <c r="A665">
        <v>27201</v>
      </c>
      <c r="B665" s="1">
        <v>41115</v>
      </c>
      <c r="C665" t="s">
        <v>23</v>
      </c>
      <c r="D665" t="str">
        <f t="shared" si="20"/>
        <v>25-Jul-2012</v>
      </c>
      <c r="E665">
        <v>10</v>
      </c>
      <c r="F665" s="13">
        <v>5056.8900000000003</v>
      </c>
      <c r="G665">
        <v>0.02</v>
      </c>
      <c r="H665" t="s">
        <v>24</v>
      </c>
      <c r="I665" s="13">
        <v>789.05</v>
      </c>
      <c r="J665">
        <v>500.98</v>
      </c>
      <c r="K665">
        <v>26</v>
      </c>
      <c r="L665" t="s">
        <v>214</v>
      </c>
      <c r="M665" t="s">
        <v>161</v>
      </c>
      <c r="N665" s="5" t="s">
        <v>161</v>
      </c>
      <c r="O665" t="s">
        <v>28</v>
      </c>
      <c r="P665" t="s">
        <v>32</v>
      </c>
      <c r="Q665" t="s">
        <v>56</v>
      </c>
      <c r="R665">
        <v>0.6</v>
      </c>
      <c r="S665" s="1">
        <v>41115</v>
      </c>
      <c r="T665" t="str">
        <f t="shared" si="21"/>
        <v>25-Jul-2012</v>
      </c>
    </row>
    <row r="666" spans="1:20" x14ac:dyDescent="0.3">
      <c r="A666">
        <v>52516</v>
      </c>
      <c r="B666" s="1">
        <v>40913</v>
      </c>
      <c r="C666" t="s">
        <v>23</v>
      </c>
      <c r="D666" t="str">
        <f t="shared" si="20"/>
        <v>05-Jan-2012</v>
      </c>
      <c r="E666">
        <v>50</v>
      </c>
      <c r="F666" s="13">
        <v>4962.05</v>
      </c>
      <c r="G666">
        <v>0.08</v>
      </c>
      <c r="H666" t="s">
        <v>24</v>
      </c>
      <c r="I666" s="13">
        <v>335.29</v>
      </c>
      <c r="J666">
        <v>119.99</v>
      </c>
      <c r="K666">
        <v>56.14</v>
      </c>
      <c r="L666" t="s">
        <v>214</v>
      </c>
      <c r="M666" t="s">
        <v>161</v>
      </c>
      <c r="N666" s="5" t="s">
        <v>161</v>
      </c>
      <c r="O666" t="s">
        <v>28</v>
      </c>
      <c r="P666" t="s">
        <v>29</v>
      </c>
      <c r="Q666" t="s">
        <v>74</v>
      </c>
      <c r="R666">
        <v>0.39</v>
      </c>
      <c r="S666" s="1">
        <v>40913</v>
      </c>
      <c r="T666" t="str">
        <f t="shared" si="21"/>
        <v>05-Jan-2012</v>
      </c>
    </row>
    <row r="667" spans="1:20" x14ac:dyDescent="0.3">
      <c r="A667">
        <v>13121</v>
      </c>
      <c r="B667" s="1">
        <v>40244</v>
      </c>
      <c r="C667" t="s">
        <v>23</v>
      </c>
      <c r="D667" t="str">
        <f t="shared" si="20"/>
        <v>07-Mar-2010</v>
      </c>
      <c r="E667">
        <v>28</v>
      </c>
      <c r="F667" s="13">
        <v>4924.1350000000002</v>
      </c>
      <c r="G667">
        <v>7.0000000000000007E-2</v>
      </c>
      <c r="H667" t="s">
        <v>19</v>
      </c>
      <c r="I667" s="13">
        <v>1049.54</v>
      </c>
      <c r="J667">
        <v>205.99</v>
      </c>
      <c r="K667">
        <v>8.99</v>
      </c>
      <c r="L667" t="s">
        <v>293</v>
      </c>
      <c r="M667" t="s">
        <v>161</v>
      </c>
      <c r="N667" s="5" t="s">
        <v>161</v>
      </c>
      <c r="O667" t="s">
        <v>28</v>
      </c>
      <c r="P667" t="s">
        <v>29</v>
      </c>
      <c r="Q667" t="s">
        <v>30</v>
      </c>
      <c r="R667">
        <v>0.57999999999999996</v>
      </c>
      <c r="S667" s="1">
        <v>40247</v>
      </c>
      <c r="T667" t="str">
        <f t="shared" si="21"/>
        <v>10-Mar-2010</v>
      </c>
    </row>
    <row r="668" spans="1:20" x14ac:dyDescent="0.3">
      <c r="A668">
        <v>55776</v>
      </c>
      <c r="B668" s="1">
        <v>39894</v>
      </c>
      <c r="C668" t="s">
        <v>31</v>
      </c>
      <c r="D668" t="str">
        <f t="shared" si="20"/>
        <v>22-Mar-2009</v>
      </c>
      <c r="E668">
        <v>32</v>
      </c>
      <c r="F668" s="13">
        <v>4856.1000000000004</v>
      </c>
      <c r="G668">
        <v>0.01</v>
      </c>
      <c r="H668" t="s">
        <v>24</v>
      </c>
      <c r="I668" s="13">
        <v>1096.6400000000001</v>
      </c>
      <c r="J668">
        <v>145.44999999999999</v>
      </c>
      <c r="K668">
        <v>17.850000000000001</v>
      </c>
      <c r="L668" t="s">
        <v>209</v>
      </c>
      <c r="M668" t="s">
        <v>161</v>
      </c>
      <c r="N668" s="5" t="s">
        <v>161</v>
      </c>
      <c r="O668" t="s">
        <v>28</v>
      </c>
      <c r="P668" t="s">
        <v>29</v>
      </c>
      <c r="Q668" t="s">
        <v>74</v>
      </c>
      <c r="R668">
        <v>0.56000000000000005</v>
      </c>
      <c r="S668" s="1">
        <v>39895</v>
      </c>
      <c r="T668" t="str">
        <f t="shared" si="21"/>
        <v>23-Mar-2009</v>
      </c>
    </row>
    <row r="669" spans="1:20" x14ac:dyDescent="0.3">
      <c r="A669">
        <v>50949</v>
      </c>
      <c r="B669" s="1">
        <v>40578</v>
      </c>
      <c r="C669" t="s">
        <v>38</v>
      </c>
      <c r="D669" t="str">
        <f t="shared" si="20"/>
        <v>04-Feb-2011</v>
      </c>
      <c r="E669">
        <v>46</v>
      </c>
      <c r="F669" s="13">
        <v>4804.0384999999997</v>
      </c>
      <c r="G669">
        <v>0.08</v>
      </c>
      <c r="H669" t="s">
        <v>19</v>
      </c>
      <c r="I669" s="13">
        <v>1077.92</v>
      </c>
      <c r="J669">
        <v>125.99</v>
      </c>
      <c r="K669">
        <v>8.8000000000000007</v>
      </c>
      <c r="L669" t="s">
        <v>157</v>
      </c>
      <c r="M669" t="s">
        <v>161</v>
      </c>
      <c r="N669" s="5" t="s">
        <v>161</v>
      </c>
      <c r="O669" t="s">
        <v>28</v>
      </c>
      <c r="P669" t="s">
        <v>29</v>
      </c>
      <c r="Q669" t="s">
        <v>30</v>
      </c>
      <c r="R669">
        <v>0.59</v>
      </c>
      <c r="S669" s="1">
        <v>40580</v>
      </c>
      <c r="T669" t="str">
        <f t="shared" si="21"/>
        <v>06-Feb-2011</v>
      </c>
    </row>
    <row r="670" spans="1:20" x14ac:dyDescent="0.3">
      <c r="A670">
        <v>53382</v>
      </c>
      <c r="B670" s="1">
        <v>40174</v>
      </c>
      <c r="C670" t="s">
        <v>31</v>
      </c>
      <c r="D670" t="str">
        <f t="shared" si="20"/>
        <v>27-Dec-2009</v>
      </c>
      <c r="E670">
        <v>15</v>
      </c>
      <c r="F670" s="13">
        <v>4760.0200000000004</v>
      </c>
      <c r="G670">
        <v>0</v>
      </c>
      <c r="H670" t="s">
        <v>24</v>
      </c>
      <c r="I670" s="13">
        <v>658.88</v>
      </c>
      <c r="J670">
        <v>300.98</v>
      </c>
      <c r="K670">
        <v>64.73</v>
      </c>
      <c r="L670" t="s">
        <v>137</v>
      </c>
      <c r="M670" t="s">
        <v>161</v>
      </c>
      <c r="N670" s="5" t="s">
        <v>161</v>
      </c>
      <c r="O670" t="s">
        <v>28</v>
      </c>
      <c r="P670" t="s">
        <v>32</v>
      </c>
      <c r="Q670" t="s">
        <v>56</v>
      </c>
      <c r="R670">
        <v>0.56000000000000005</v>
      </c>
      <c r="S670" s="1">
        <v>40175</v>
      </c>
      <c r="T670" t="str">
        <f t="shared" si="21"/>
        <v>28-Dec-2009</v>
      </c>
    </row>
    <row r="671" spans="1:20" x14ac:dyDescent="0.3">
      <c r="A671">
        <v>19493</v>
      </c>
      <c r="B671" s="1">
        <v>39846</v>
      </c>
      <c r="C671" t="s">
        <v>43</v>
      </c>
      <c r="D671" t="str">
        <f t="shared" si="20"/>
        <v>02-Feb-2009</v>
      </c>
      <c r="E671">
        <v>31</v>
      </c>
      <c r="F671" s="13">
        <v>4713.25</v>
      </c>
      <c r="G671">
        <v>0.1</v>
      </c>
      <c r="H671" t="s">
        <v>19</v>
      </c>
      <c r="I671" s="13">
        <v>-372.49</v>
      </c>
      <c r="J671">
        <v>154.13</v>
      </c>
      <c r="K671">
        <v>69</v>
      </c>
      <c r="L671" t="s">
        <v>294</v>
      </c>
      <c r="M671" t="s">
        <v>161</v>
      </c>
      <c r="N671" s="5" t="s">
        <v>161</v>
      </c>
      <c r="O671" t="s">
        <v>28</v>
      </c>
      <c r="P671" t="s">
        <v>32</v>
      </c>
      <c r="Q671" t="s">
        <v>46</v>
      </c>
      <c r="R671">
        <v>0.68</v>
      </c>
      <c r="S671" s="1">
        <v>39847</v>
      </c>
      <c r="T671" t="str">
        <f t="shared" si="21"/>
        <v>03-Feb-2009</v>
      </c>
    </row>
    <row r="672" spans="1:20" x14ac:dyDescent="0.3">
      <c r="A672">
        <v>2978</v>
      </c>
      <c r="B672" s="1">
        <v>40665</v>
      </c>
      <c r="C672" t="s">
        <v>43</v>
      </c>
      <c r="D672" t="str">
        <f t="shared" si="20"/>
        <v>02-May-2011</v>
      </c>
      <c r="E672">
        <v>28</v>
      </c>
      <c r="F672" s="13">
        <v>4671.1495000000004</v>
      </c>
      <c r="G672">
        <v>7.0000000000000007E-2</v>
      </c>
      <c r="H672" t="s">
        <v>19</v>
      </c>
      <c r="I672" s="13">
        <v>947.31</v>
      </c>
      <c r="J672">
        <v>200.99</v>
      </c>
      <c r="K672">
        <v>4.2</v>
      </c>
      <c r="L672" t="s">
        <v>309</v>
      </c>
      <c r="M672" t="s">
        <v>161</v>
      </c>
      <c r="N672" s="5" t="s">
        <v>161</v>
      </c>
      <c r="O672" t="s">
        <v>28</v>
      </c>
      <c r="P672" t="s">
        <v>29</v>
      </c>
      <c r="Q672" t="s">
        <v>30</v>
      </c>
      <c r="R672">
        <v>0.59</v>
      </c>
      <c r="S672" s="1">
        <v>40666</v>
      </c>
      <c r="T672" t="str">
        <f t="shared" si="21"/>
        <v>03-May-2011</v>
      </c>
    </row>
    <row r="673" spans="1:20" x14ac:dyDescent="0.3">
      <c r="A673">
        <v>37152</v>
      </c>
      <c r="B673" s="1">
        <v>40685</v>
      </c>
      <c r="C673" t="s">
        <v>38</v>
      </c>
      <c r="D673" t="str">
        <f t="shared" si="20"/>
        <v>22-May-2011</v>
      </c>
      <c r="E673">
        <v>39</v>
      </c>
      <c r="F673" s="13">
        <v>4647.6899999999996</v>
      </c>
      <c r="G673">
        <v>0.02</v>
      </c>
      <c r="H673" t="s">
        <v>24</v>
      </c>
      <c r="I673" s="13">
        <v>182.53</v>
      </c>
      <c r="J673">
        <v>113.98</v>
      </c>
      <c r="K673">
        <v>30</v>
      </c>
      <c r="L673" t="s">
        <v>212</v>
      </c>
      <c r="M673" t="s">
        <v>161</v>
      </c>
      <c r="N673" s="5" t="s">
        <v>161</v>
      </c>
      <c r="O673" t="s">
        <v>28</v>
      </c>
      <c r="P673" t="s">
        <v>32</v>
      </c>
      <c r="Q673" t="s">
        <v>56</v>
      </c>
      <c r="R673">
        <v>0.69</v>
      </c>
      <c r="S673" s="1">
        <v>40687</v>
      </c>
      <c r="T673" t="str">
        <f t="shared" si="21"/>
        <v>24-May-2011</v>
      </c>
    </row>
    <row r="674" spans="1:20" x14ac:dyDescent="0.3">
      <c r="A674">
        <v>18182</v>
      </c>
      <c r="B674" s="1">
        <v>40643</v>
      </c>
      <c r="C674" t="s">
        <v>38</v>
      </c>
      <c r="D674" t="str">
        <f t="shared" si="20"/>
        <v>10-Apr-2011</v>
      </c>
      <c r="E674">
        <v>45</v>
      </c>
      <c r="F674" s="13">
        <v>4598.7299999999996</v>
      </c>
      <c r="G674">
        <v>0.04</v>
      </c>
      <c r="H674" t="s">
        <v>19</v>
      </c>
      <c r="I674" s="13">
        <v>1049.45</v>
      </c>
      <c r="J674">
        <v>99.99</v>
      </c>
      <c r="K674">
        <v>19.989999999999998</v>
      </c>
      <c r="L674" t="s">
        <v>191</v>
      </c>
      <c r="M674" t="s">
        <v>161</v>
      </c>
      <c r="N674" s="5" t="s">
        <v>161</v>
      </c>
      <c r="O674" t="s">
        <v>28</v>
      </c>
      <c r="P674" t="s">
        <v>29</v>
      </c>
      <c r="Q674" t="s">
        <v>41</v>
      </c>
      <c r="R674">
        <v>0.5</v>
      </c>
      <c r="S674" s="1">
        <v>40645</v>
      </c>
      <c r="T674" t="str">
        <f t="shared" si="21"/>
        <v>12-Apr-2011</v>
      </c>
    </row>
    <row r="675" spans="1:20" x14ac:dyDescent="0.3">
      <c r="A675">
        <v>23649</v>
      </c>
      <c r="B675" s="1">
        <v>41157</v>
      </c>
      <c r="C675" t="s">
        <v>31</v>
      </c>
      <c r="D675" t="str">
        <f t="shared" si="20"/>
        <v>05-Sep-2012</v>
      </c>
      <c r="E675">
        <v>30</v>
      </c>
      <c r="F675" s="13">
        <v>4587.9260000000004</v>
      </c>
      <c r="G675">
        <v>0.1</v>
      </c>
      <c r="H675" t="s">
        <v>19</v>
      </c>
      <c r="I675" s="13">
        <v>687.41</v>
      </c>
      <c r="J675">
        <v>195.99</v>
      </c>
      <c r="K675">
        <v>4.2</v>
      </c>
      <c r="L675" t="s">
        <v>198</v>
      </c>
      <c r="M675" t="s">
        <v>161</v>
      </c>
      <c r="N675" s="5" t="s">
        <v>161</v>
      </c>
      <c r="O675" t="s">
        <v>28</v>
      </c>
      <c r="P675" t="s">
        <v>29</v>
      </c>
      <c r="Q675" t="s">
        <v>30</v>
      </c>
      <c r="R675">
        <v>0.6</v>
      </c>
      <c r="S675" s="1">
        <v>41160</v>
      </c>
      <c r="T675" t="str">
        <f t="shared" si="21"/>
        <v>08-Sep-2012</v>
      </c>
    </row>
    <row r="676" spans="1:20" x14ac:dyDescent="0.3">
      <c r="A676">
        <v>23649</v>
      </c>
      <c r="B676" s="1">
        <v>41157</v>
      </c>
      <c r="C676" t="s">
        <v>31</v>
      </c>
      <c r="D676" t="str">
        <f t="shared" si="20"/>
        <v>05-Sep-2012</v>
      </c>
      <c r="E676">
        <v>42</v>
      </c>
      <c r="F676" s="13">
        <v>4541.924</v>
      </c>
      <c r="G676">
        <v>0.01</v>
      </c>
      <c r="H676" t="s">
        <v>19</v>
      </c>
      <c r="I676" s="13">
        <v>1222.1400000000001</v>
      </c>
      <c r="J676">
        <v>125.99</v>
      </c>
      <c r="K676">
        <v>8.08</v>
      </c>
      <c r="L676" t="s">
        <v>198</v>
      </c>
      <c r="M676" t="s">
        <v>161</v>
      </c>
      <c r="N676" s="5" t="s">
        <v>161</v>
      </c>
      <c r="O676" t="s">
        <v>28</v>
      </c>
      <c r="P676" t="s">
        <v>29</v>
      </c>
      <c r="Q676" t="s">
        <v>30</v>
      </c>
      <c r="R676">
        <v>0.56999999999999995</v>
      </c>
      <c r="S676" s="1">
        <v>41158</v>
      </c>
      <c r="T676" t="str">
        <f t="shared" si="21"/>
        <v>06-Sep-2012</v>
      </c>
    </row>
    <row r="677" spans="1:20" x14ac:dyDescent="0.3">
      <c r="A677">
        <v>38021</v>
      </c>
      <c r="B677" s="1">
        <v>39834</v>
      </c>
      <c r="C677" t="s">
        <v>38</v>
      </c>
      <c r="D677" t="str">
        <f t="shared" si="20"/>
        <v>21-Jan-2009</v>
      </c>
      <c r="E677">
        <v>16</v>
      </c>
      <c r="F677" s="13">
        <v>4407.03</v>
      </c>
      <c r="G677">
        <v>0.04</v>
      </c>
      <c r="H677" t="s">
        <v>24</v>
      </c>
      <c r="I677" s="13">
        <v>834.96</v>
      </c>
      <c r="J677">
        <v>279.81</v>
      </c>
      <c r="K677">
        <v>23.19</v>
      </c>
      <c r="L677" t="s">
        <v>108</v>
      </c>
      <c r="M677" t="s">
        <v>161</v>
      </c>
      <c r="N677" s="5" t="s">
        <v>161</v>
      </c>
      <c r="O677" t="s">
        <v>28</v>
      </c>
      <c r="P677" t="s">
        <v>21</v>
      </c>
      <c r="Q677" t="s">
        <v>25</v>
      </c>
      <c r="R677">
        <v>0.59</v>
      </c>
      <c r="S677" s="1">
        <v>39835</v>
      </c>
      <c r="T677" t="str">
        <f t="shared" si="21"/>
        <v>22-Jan-2009</v>
      </c>
    </row>
    <row r="678" spans="1:20" x14ac:dyDescent="0.3">
      <c r="A678">
        <v>39844</v>
      </c>
      <c r="B678" s="1">
        <v>40148</v>
      </c>
      <c r="C678" t="s">
        <v>31</v>
      </c>
      <c r="D678" t="str">
        <f t="shared" si="20"/>
        <v>01-Dec-2009</v>
      </c>
      <c r="E678">
        <v>47</v>
      </c>
      <c r="F678" s="13">
        <v>4387.24</v>
      </c>
      <c r="G678">
        <v>0.09</v>
      </c>
      <c r="H678" t="s">
        <v>19</v>
      </c>
      <c r="I678" s="13">
        <v>-286.47000000000003</v>
      </c>
      <c r="J678">
        <v>95.43</v>
      </c>
      <c r="K678">
        <v>19.989999999999998</v>
      </c>
      <c r="L678" t="s">
        <v>99</v>
      </c>
      <c r="M678" t="s">
        <v>161</v>
      </c>
      <c r="N678" s="5" t="s">
        <v>161</v>
      </c>
      <c r="O678" t="s">
        <v>28</v>
      </c>
      <c r="P678" t="s">
        <v>21</v>
      </c>
      <c r="Q678" t="s">
        <v>22</v>
      </c>
      <c r="R678">
        <v>0.79</v>
      </c>
      <c r="S678" s="1">
        <v>40149</v>
      </c>
      <c r="T678" t="str">
        <f t="shared" si="21"/>
        <v>02-Dec-2009</v>
      </c>
    </row>
    <row r="679" spans="1:20" x14ac:dyDescent="0.3">
      <c r="A679">
        <v>22849</v>
      </c>
      <c r="B679" s="1">
        <v>40588</v>
      </c>
      <c r="C679" t="s">
        <v>31</v>
      </c>
      <c r="D679" t="str">
        <f t="shared" si="20"/>
        <v>14-Feb-2011</v>
      </c>
      <c r="E679">
        <v>25</v>
      </c>
      <c r="F679" s="13">
        <v>4366.348</v>
      </c>
      <c r="G679">
        <v>0.05</v>
      </c>
      <c r="H679" t="s">
        <v>19</v>
      </c>
      <c r="I679" s="13">
        <v>940.57</v>
      </c>
      <c r="J679">
        <v>205.99</v>
      </c>
      <c r="K679">
        <v>3</v>
      </c>
      <c r="L679" t="s">
        <v>182</v>
      </c>
      <c r="M679" t="s">
        <v>161</v>
      </c>
      <c r="N679" s="5" t="s">
        <v>161</v>
      </c>
      <c r="O679" t="s">
        <v>28</v>
      </c>
      <c r="P679" t="s">
        <v>29</v>
      </c>
      <c r="Q679" t="s">
        <v>30</v>
      </c>
      <c r="R679">
        <v>0.57999999999999996</v>
      </c>
      <c r="S679" s="1">
        <v>40590</v>
      </c>
      <c r="T679" t="str">
        <f t="shared" si="21"/>
        <v>16-Feb-2011</v>
      </c>
    </row>
    <row r="680" spans="1:20" x14ac:dyDescent="0.3">
      <c r="A680">
        <v>7744</v>
      </c>
      <c r="B680" s="1">
        <v>40134</v>
      </c>
      <c r="C680" t="s">
        <v>18</v>
      </c>
      <c r="D680" t="str">
        <f t="shared" si="20"/>
        <v>17-Nov-2009</v>
      </c>
      <c r="E680">
        <v>26</v>
      </c>
      <c r="F680" s="13">
        <v>4286.55</v>
      </c>
      <c r="G680">
        <v>7.0000000000000007E-2</v>
      </c>
      <c r="H680" t="s">
        <v>19</v>
      </c>
      <c r="I680" s="13">
        <v>1416.7</v>
      </c>
      <c r="J680">
        <v>172.99</v>
      </c>
      <c r="K680">
        <v>19.989999999999998</v>
      </c>
      <c r="L680" t="s">
        <v>288</v>
      </c>
      <c r="M680" t="s">
        <v>161</v>
      </c>
      <c r="N680" s="5" t="s">
        <v>161</v>
      </c>
      <c r="O680" t="s">
        <v>28</v>
      </c>
      <c r="P680" t="s">
        <v>21</v>
      </c>
      <c r="Q680" t="s">
        <v>26</v>
      </c>
      <c r="R680">
        <v>0.39</v>
      </c>
      <c r="S680" s="1">
        <v>40134</v>
      </c>
      <c r="T680" t="str">
        <f t="shared" si="21"/>
        <v>17-Nov-2009</v>
      </c>
    </row>
    <row r="681" spans="1:20" x14ac:dyDescent="0.3">
      <c r="A681">
        <v>59108</v>
      </c>
      <c r="B681" s="1">
        <v>40823</v>
      </c>
      <c r="C681" t="s">
        <v>18</v>
      </c>
      <c r="D681" t="str">
        <f t="shared" si="20"/>
        <v>07-Oct-2011</v>
      </c>
      <c r="E681">
        <v>39</v>
      </c>
      <c r="F681" s="13">
        <v>4215.83</v>
      </c>
      <c r="G681">
        <v>0.02</v>
      </c>
      <c r="H681" t="s">
        <v>19</v>
      </c>
      <c r="I681" s="13">
        <v>972.19</v>
      </c>
      <c r="J681">
        <v>125.99</v>
      </c>
      <c r="K681">
        <v>8.99</v>
      </c>
      <c r="L681" t="s">
        <v>189</v>
      </c>
      <c r="M681" t="s">
        <v>161</v>
      </c>
      <c r="N681" s="5" t="s">
        <v>161</v>
      </c>
      <c r="O681" t="s">
        <v>28</v>
      </c>
      <c r="P681" t="s">
        <v>29</v>
      </c>
      <c r="Q681" t="s">
        <v>30</v>
      </c>
      <c r="R681">
        <v>0.59</v>
      </c>
      <c r="S681" s="1">
        <v>40832</v>
      </c>
      <c r="T681" t="str">
        <f t="shared" si="21"/>
        <v>16-Oct-2011</v>
      </c>
    </row>
    <row r="682" spans="1:20" x14ac:dyDescent="0.3">
      <c r="A682">
        <v>29410</v>
      </c>
      <c r="B682" s="1">
        <v>40073</v>
      </c>
      <c r="C682" t="s">
        <v>43</v>
      </c>
      <c r="D682" t="str">
        <f t="shared" si="20"/>
        <v>17-Sep-2009</v>
      </c>
      <c r="E682">
        <v>35</v>
      </c>
      <c r="F682" s="13">
        <v>4186.53</v>
      </c>
      <c r="G682">
        <v>0.04</v>
      </c>
      <c r="H682" t="s">
        <v>19</v>
      </c>
      <c r="I682" s="13">
        <v>1929.58</v>
      </c>
      <c r="J682">
        <v>120.97</v>
      </c>
      <c r="K682">
        <v>7.11</v>
      </c>
      <c r="L682" t="s">
        <v>202</v>
      </c>
      <c r="M682" t="s">
        <v>161</v>
      </c>
      <c r="N682" s="5" t="s">
        <v>161</v>
      </c>
      <c r="O682" t="s">
        <v>28</v>
      </c>
      <c r="P682" t="s">
        <v>29</v>
      </c>
      <c r="Q682" t="s">
        <v>74</v>
      </c>
      <c r="R682">
        <v>0.36</v>
      </c>
      <c r="S682" s="1">
        <v>40073</v>
      </c>
      <c r="T682" t="str">
        <f t="shared" si="21"/>
        <v>17-Sep-2009</v>
      </c>
    </row>
    <row r="683" spans="1:20" x14ac:dyDescent="0.3">
      <c r="A683">
        <v>54791</v>
      </c>
      <c r="B683" s="1">
        <v>41263</v>
      </c>
      <c r="C683" t="s">
        <v>23</v>
      </c>
      <c r="D683" t="str">
        <f t="shared" si="20"/>
        <v>20-Dec-2012</v>
      </c>
      <c r="E683">
        <v>45</v>
      </c>
      <c r="F683" s="13">
        <v>4165.04</v>
      </c>
      <c r="G683">
        <v>0</v>
      </c>
      <c r="H683" t="s">
        <v>24</v>
      </c>
      <c r="I683" s="13">
        <v>135.68</v>
      </c>
      <c r="J683">
        <v>90.98</v>
      </c>
      <c r="K683">
        <v>30</v>
      </c>
      <c r="L683" t="s">
        <v>119</v>
      </c>
      <c r="M683" t="s">
        <v>161</v>
      </c>
      <c r="N683" s="5" t="s">
        <v>161</v>
      </c>
      <c r="O683" t="s">
        <v>28</v>
      </c>
      <c r="P683" t="s">
        <v>32</v>
      </c>
      <c r="Q683" t="s">
        <v>56</v>
      </c>
      <c r="R683">
        <v>0.61</v>
      </c>
      <c r="S683" s="1">
        <v>41265</v>
      </c>
      <c r="T683" t="str">
        <f t="shared" si="21"/>
        <v>22-Dec-2012</v>
      </c>
    </row>
    <row r="684" spans="1:20" x14ac:dyDescent="0.3">
      <c r="A684">
        <v>45542</v>
      </c>
      <c r="B684" s="1">
        <v>40216</v>
      </c>
      <c r="C684" t="s">
        <v>23</v>
      </c>
      <c r="D684" t="str">
        <f t="shared" si="20"/>
        <v>07-Feb-2010</v>
      </c>
      <c r="E684">
        <v>40</v>
      </c>
      <c r="F684" s="13">
        <v>4064.2719999999999</v>
      </c>
      <c r="G684">
        <v>0.01</v>
      </c>
      <c r="H684" t="s">
        <v>24</v>
      </c>
      <c r="I684" s="13">
        <v>-300.85000000000002</v>
      </c>
      <c r="J684">
        <v>124.49</v>
      </c>
      <c r="K684">
        <v>51.94</v>
      </c>
      <c r="L684" t="s">
        <v>295</v>
      </c>
      <c r="M684" t="s">
        <v>161</v>
      </c>
      <c r="N684" s="5" t="s">
        <v>161</v>
      </c>
      <c r="O684" t="s">
        <v>28</v>
      </c>
      <c r="P684" t="s">
        <v>32</v>
      </c>
      <c r="Q684" t="s">
        <v>46</v>
      </c>
      <c r="R684">
        <v>0.63</v>
      </c>
      <c r="S684" s="1">
        <v>40217</v>
      </c>
      <c r="T684" t="str">
        <f t="shared" si="21"/>
        <v>08-Feb-2010</v>
      </c>
    </row>
    <row r="685" spans="1:20" x14ac:dyDescent="0.3">
      <c r="A685">
        <v>43269</v>
      </c>
      <c r="B685" s="1">
        <v>39913</v>
      </c>
      <c r="C685" t="s">
        <v>43</v>
      </c>
      <c r="D685" t="str">
        <f t="shared" si="20"/>
        <v>10-Apr-2009</v>
      </c>
      <c r="E685">
        <v>24</v>
      </c>
      <c r="F685" s="13">
        <v>3978.02</v>
      </c>
      <c r="G685">
        <v>0.08</v>
      </c>
      <c r="H685" t="s">
        <v>19</v>
      </c>
      <c r="I685" s="13">
        <v>1336.96</v>
      </c>
      <c r="J685">
        <v>165.98</v>
      </c>
      <c r="K685">
        <v>19.989999999999998</v>
      </c>
      <c r="L685" t="s">
        <v>188</v>
      </c>
      <c r="M685" t="s">
        <v>161</v>
      </c>
      <c r="N685" s="5" t="s">
        <v>161</v>
      </c>
      <c r="O685" t="s">
        <v>28</v>
      </c>
      <c r="P685" t="s">
        <v>21</v>
      </c>
      <c r="Q685" t="s">
        <v>26</v>
      </c>
      <c r="R685">
        <v>0.4</v>
      </c>
      <c r="S685" s="1">
        <v>39915</v>
      </c>
      <c r="T685" t="str">
        <f t="shared" si="21"/>
        <v>12-Apr-2009</v>
      </c>
    </row>
    <row r="686" spans="1:20" x14ac:dyDescent="0.3">
      <c r="A686">
        <v>18753</v>
      </c>
      <c r="B686" s="1">
        <v>40025</v>
      </c>
      <c r="C686" t="s">
        <v>38</v>
      </c>
      <c r="D686" t="str">
        <f t="shared" si="20"/>
        <v>31-Jul-2009</v>
      </c>
      <c r="E686">
        <v>31</v>
      </c>
      <c r="F686" s="13">
        <v>3945.95</v>
      </c>
      <c r="G686">
        <v>0.03</v>
      </c>
      <c r="H686" t="s">
        <v>19</v>
      </c>
      <c r="I686" s="13">
        <v>1031.32</v>
      </c>
      <c r="J686">
        <v>128.24</v>
      </c>
      <c r="K686">
        <v>12.65</v>
      </c>
      <c r="L686" t="s">
        <v>182</v>
      </c>
      <c r="M686" t="s">
        <v>161</v>
      </c>
      <c r="N686" s="5" t="s">
        <v>161</v>
      </c>
      <c r="O686" t="s">
        <v>28</v>
      </c>
      <c r="P686" t="s">
        <v>32</v>
      </c>
      <c r="Q686" t="s">
        <v>56</v>
      </c>
      <c r="S686" s="1">
        <v>40027</v>
      </c>
      <c r="T686" t="str">
        <f t="shared" si="21"/>
        <v>02-Aug-2009</v>
      </c>
    </row>
    <row r="687" spans="1:20" x14ac:dyDescent="0.3">
      <c r="A687">
        <v>31046</v>
      </c>
      <c r="B687" s="1">
        <v>40581</v>
      </c>
      <c r="C687" t="s">
        <v>43</v>
      </c>
      <c r="D687" t="str">
        <f t="shared" si="20"/>
        <v>07-Feb-2011</v>
      </c>
      <c r="E687">
        <v>42</v>
      </c>
      <c r="F687" s="13">
        <v>3900.5309999999999</v>
      </c>
      <c r="G687">
        <v>0.08</v>
      </c>
      <c r="H687" t="s">
        <v>19</v>
      </c>
      <c r="I687" s="13">
        <v>1144.6300000000001</v>
      </c>
      <c r="J687">
        <v>110.99</v>
      </c>
      <c r="K687">
        <v>2.5</v>
      </c>
      <c r="L687" t="s">
        <v>182</v>
      </c>
      <c r="M687" t="s">
        <v>161</v>
      </c>
      <c r="N687" s="5" t="s">
        <v>161</v>
      </c>
      <c r="O687" t="s">
        <v>28</v>
      </c>
      <c r="P687" t="s">
        <v>29</v>
      </c>
      <c r="Q687" t="s">
        <v>30</v>
      </c>
      <c r="R687">
        <v>0.56999999999999995</v>
      </c>
      <c r="S687" s="1">
        <v>40582</v>
      </c>
      <c r="T687" t="str">
        <f t="shared" si="21"/>
        <v>08-Feb-2011</v>
      </c>
    </row>
    <row r="688" spans="1:20" x14ac:dyDescent="0.3">
      <c r="A688">
        <v>56002</v>
      </c>
      <c r="B688" s="1">
        <v>39998</v>
      </c>
      <c r="C688" t="s">
        <v>18</v>
      </c>
      <c r="D688" t="str">
        <f t="shared" si="20"/>
        <v>04-Jul-2009</v>
      </c>
      <c r="E688">
        <v>14</v>
      </c>
      <c r="F688" s="13">
        <v>3857.56</v>
      </c>
      <c r="G688">
        <v>7.0000000000000007E-2</v>
      </c>
      <c r="H688" t="s">
        <v>19</v>
      </c>
      <c r="I688" s="13">
        <v>-377.81</v>
      </c>
      <c r="J688">
        <v>290.98</v>
      </c>
      <c r="K688">
        <v>69</v>
      </c>
      <c r="L688" t="s">
        <v>197</v>
      </c>
      <c r="M688" t="s">
        <v>161</v>
      </c>
      <c r="N688" s="5" t="s">
        <v>161</v>
      </c>
      <c r="O688" t="s">
        <v>28</v>
      </c>
      <c r="P688" t="s">
        <v>32</v>
      </c>
      <c r="Q688" t="s">
        <v>46</v>
      </c>
      <c r="R688">
        <v>0.67</v>
      </c>
      <c r="S688" s="1">
        <v>40000</v>
      </c>
      <c r="T688" t="str">
        <f t="shared" si="21"/>
        <v>06-Jul-2009</v>
      </c>
    </row>
    <row r="689" spans="1:20" x14ac:dyDescent="0.3">
      <c r="A689">
        <v>5251</v>
      </c>
      <c r="B689" s="1">
        <v>40644</v>
      </c>
      <c r="C689" t="s">
        <v>38</v>
      </c>
      <c r="D689" t="str">
        <f t="shared" si="20"/>
        <v>11-Apr-2011</v>
      </c>
      <c r="E689">
        <v>38</v>
      </c>
      <c r="F689" s="13">
        <v>3821.0390000000002</v>
      </c>
      <c r="G689">
        <v>0.05</v>
      </c>
      <c r="H689" t="s">
        <v>35</v>
      </c>
      <c r="I689" s="13">
        <v>1057.8900000000001</v>
      </c>
      <c r="J689">
        <v>115.99</v>
      </c>
      <c r="K689">
        <v>5.99</v>
      </c>
      <c r="L689" t="s">
        <v>181</v>
      </c>
      <c r="M689" t="s">
        <v>161</v>
      </c>
      <c r="N689" s="5" t="s">
        <v>161</v>
      </c>
      <c r="O689" t="s">
        <v>28</v>
      </c>
      <c r="P689" t="s">
        <v>29</v>
      </c>
      <c r="Q689" t="s">
        <v>30</v>
      </c>
      <c r="R689">
        <v>0.56999999999999995</v>
      </c>
      <c r="S689" s="1">
        <v>40646</v>
      </c>
      <c r="T689" t="str">
        <f t="shared" si="21"/>
        <v>13-Apr-2011</v>
      </c>
    </row>
    <row r="690" spans="1:20" x14ac:dyDescent="0.3">
      <c r="A690">
        <v>65</v>
      </c>
      <c r="B690" s="1">
        <v>40619</v>
      </c>
      <c r="C690" t="s">
        <v>43</v>
      </c>
      <c r="D690" t="str">
        <f t="shared" si="20"/>
        <v>17-Mar-2011</v>
      </c>
      <c r="E690">
        <v>32</v>
      </c>
      <c r="F690" s="13">
        <v>3812.73</v>
      </c>
      <c r="G690">
        <v>0.02</v>
      </c>
      <c r="H690" t="s">
        <v>19</v>
      </c>
      <c r="I690" s="13">
        <v>1470.3</v>
      </c>
      <c r="J690">
        <v>115.79</v>
      </c>
      <c r="K690">
        <v>1.99</v>
      </c>
      <c r="L690" t="s">
        <v>181</v>
      </c>
      <c r="M690" t="s">
        <v>161</v>
      </c>
      <c r="N690" s="5" t="s">
        <v>161</v>
      </c>
      <c r="O690" t="s">
        <v>28</v>
      </c>
      <c r="P690" t="s">
        <v>29</v>
      </c>
      <c r="Q690" t="s">
        <v>41</v>
      </c>
      <c r="R690">
        <v>0.49</v>
      </c>
      <c r="S690" s="1">
        <v>40620</v>
      </c>
      <c r="T690" t="str">
        <f t="shared" si="21"/>
        <v>18-Mar-2011</v>
      </c>
    </row>
    <row r="691" spans="1:20" x14ac:dyDescent="0.3">
      <c r="A691">
        <v>9568</v>
      </c>
      <c r="B691" s="1">
        <v>40244</v>
      </c>
      <c r="C691" t="s">
        <v>31</v>
      </c>
      <c r="D691" t="str">
        <f t="shared" si="20"/>
        <v>07-Mar-2010</v>
      </c>
      <c r="E691">
        <v>46</v>
      </c>
      <c r="F691" s="13">
        <v>3725.53</v>
      </c>
      <c r="G691">
        <v>0</v>
      </c>
      <c r="H691" t="s">
        <v>19</v>
      </c>
      <c r="I691" s="13">
        <v>748.67</v>
      </c>
      <c r="J691">
        <v>76.72</v>
      </c>
      <c r="K691">
        <v>19.95</v>
      </c>
      <c r="L691" t="s">
        <v>289</v>
      </c>
      <c r="M691" t="s">
        <v>161</v>
      </c>
      <c r="N691" s="5" t="s">
        <v>161</v>
      </c>
      <c r="O691" t="s">
        <v>28</v>
      </c>
      <c r="P691" t="s">
        <v>21</v>
      </c>
      <c r="Q691" t="s">
        <v>25</v>
      </c>
      <c r="R691">
        <v>0.54</v>
      </c>
      <c r="S691" s="1">
        <v>40246</v>
      </c>
      <c r="T691" t="str">
        <f t="shared" si="21"/>
        <v>09-Mar-2010</v>
      </c>
    </row>
    <row r="692" spans="1:20" x14ac:dyDescent="0.3">
      <c r="A692">
        <v>55431</v>
      </c>
      <c r="B692" s="1">
        <v>41068</v>
      </c>
      <c r="C692" t="s">
        <v>31</v>
      </c>
      <c r="D692" t="str">
        <f t="shared" si="20"/>
        <v>08-Jun-2012</v>
      </c>
      <c r="E692">
        <v>13</v>
      </c>
      <c r="F692" s="13">
        <v>3723.99</v>
      </c>
      <c r="G692">
        <v>0.03</v>
      </c>
      <c r="H692" t="s">
        <v>19</v>
      </c>
      <c r="I692" s="13">
        <v>777.28</v>
      </c>
      <c r="J692">
        <v>289.52999999999997</v>
      </c>
      <c r="K692">
        <v>19.989999999999998</v>
      </c>
      <c r="L692" t="s">
        <v>311</v>
      </c>
      <c r="M692" t="s">
        <v>161</v>
      </c>
      <c r="N692" s="5" t="s">
        <v>161</v>
      </c>
      <c r="O692" t="s">
        <v>28</v>
      </c>
      <c r="P692" t="s">
        <v>21</v>
      </c>
      <c r="Q692" t="s">
        <v>25</v>
      </c>
      <c r="R692">
        <v>0.56000000000000005</v>
      </c>
      <c r="S692" s="1">
        <v>41069</v>
      </c>
      <c r="T692" t="str">
        <f t="shared" si="21"/>
        <v>09-Jun-2012</v>
      </c>
    </row>
    <row r="693" spans="1:20" x14ac:dyDescent="0.3">
      <c r="A693">
        <v>41474</v>
      </c>
      <c r="B693" s="1">
        <v>39923</v>
      </c>
      <c r="C693" t="s">
        <v>31</v>
      </c>
      <c r="D693" t="str">
        <f t="shared" si="20"/>
        <v>20-Apr-2009</v>
      </c>
      <c r="E693">
        <v>35</v>
      </c>
      <c r="F693" s="13">
        <v>3640.83</v>
      </c>
      <c r="G693">
        <v>0</v>
      </c>
      <c r="H693" t="s">
        <v>24</v>
      </c>
      <c r="I693" s="13">
        <v>-6.8</v>
      </c>
      <c r="J693">
        <v>100.98</v>
      </c>
      <c r="K693">
        <v>35.840000000000003</v>
      </c>
      <c r="L693" t="s">
        <v>297</v>
      </c>
      <c r="M693" t="s">
        <v>161</v>
      </c>
      <c r="N693" s="5" t="s">
        <v>161</v>
      </c>
      <c r="O693" t="s">
        <v>28</v>
      </c>
      <c r="P693" t="s">
        <v>32</v>
      </c>
      <c r="Q693" t="s">
        <v>45</v>
      </c>
      <c r="R693">
        <v>0.62</v>
      </c>
      <c r="S693" s="1">
        <v>39925</v>
      </c>
      <c r="T693" t="str">
        <f t="shared" si="21"/>
        <v>22-Apr-2009</v>
      </c>
    </row>
    <row r="694" spans="1:20" x14ac:dyDescent="0.3">
      <c r="A694">
        <v>20614</v>
      </c>
      <c r="B694" s="1">
        <v>39951</v>
      </c>
      <c r="C694" t="s">
        <v>31</v>
      </c>
      <c r="D694" t="str">
        <f t="shared" si="20"/>
        <v>18-May-2009</v>
      </c>
      <c r="E694">
        <v>47</v>
      </c>
      <c r="F694" s="13">
        <v>3596.36</v>
      </c>
      <c r="G694">
        <v>0</v>
      </c>
      <c r="H694" t="s">
        <v>35</v>
      </c>
      <c r="I694" s="13">
        <v>326.25</v>
      </c>
      <c r="J694">
        <v>73.98</v>
      </c>
      <c r="K694">
        <v>12.14</v>
      </c>
      <c r="L694" t="s">
        <v>198</v>
      </c>
      <c r="M694" t="s">
        <v>161</v>
      </c>
      <c r="N694" s="5" t="s">
        <v>161</v>
      </c>
      <c r="O694" t="s">
        <v>28</v>
      </c>
      <c r="P694" t="s">
        <v>29</v>
      </c>
      <c r="Q694" t="s">
        <v>41</v>
      </c>
      <c r="R694">
        <v>0.67</v>
      </c>
      <c r="S694" s="1">
        <v>39953</v>
      </c>
      <c r="T694" t="str">
        <f t="shared" si="21"/>
        <v>20-May-2009</v>
      </c>
    </row>
    <row r="695" spans="1:20" x14ac:dyDescent="0.3">
      <c r="A695">
        <v>36896</v>
      </c>
      <c r="B695" s="1">
        <v>40120</v>
      </c>
      <c r="C695" t="s">
        <v>43</v>
      </c>
      <c r="D695" t="str">
        <f t="shared" si="20"/>
        <v>03-Nov-2009</v>
      </c>
      <c r="E695">
        <v>21</v>
      </c>
      <c r="F695" s="13">
        <v>3508.33</v>
      </c>
      <c r="G695">
        <v>0.04</v>
      </c>
      <c r="H695" t="s">
        <v>19</v>
      </c>
      <c r="I695" s="13">
        <v>-546.98</v>
      </c>
      <c r="J695">
        <v>167.27</v>
      </c>
      <c r="K695">
        <v>35</v>
      </c>
      <c r="L695" t="s">
        <v>293</v>
      </c>
      <c r="M695" t="s">
        <v>161</v>
      </c>
      <c r="N695" s="5" t="s">
        <v>161</v>
      </c>
      <c r="O695" t="s">
        <v>28</v>
      </c>
      <c r="P695" t="s">
        <v>21</v>
      </c>
      <c r="Q695" t="s">
        <v>22</v>
      </c>
      <c r="R695">
        <v>0.85</v>
      </c>
      <c r="S695" s="1">
        <v>40120</v>
      </c>
      <c r="T695" t="str">
        <f t="shared" si="21"/>
        <v>03-Nov-2009</v>
      </c>
    </row>
    <row r="696" spans="1:20" x14ac:dyDescent="0.3">
      <c r="A696">
        <v>27201</v>
      </c>
      <c r="B696" s="1">
        <v>41115</v>
      </c>
      <c r="C696" t="s">
        <v>23</v>
      </c>
      <c r="D696" t="str">
        <f t="shared" si="20"/>
        <v>25-Jul-2012</v>
      </c>
      <c r="E696">
        <v>45</v>
      </c>
      <c r="F696" s="13">
        <v>3500.1</v>
      </c>
      <c r="G696">
        <v>0.01</v>
      </c>
      <c r="H696" t="s">
        <v>24</v>
      </c>
      <c r="I696" s="13">
        <v>-2661.32</v>
      </c>
      <c r="J696">
        <v>70.89</v>
      </c>
      <c r="K696">
        <v>89.3</v>
      </c>
      <c r="L696" t="s">
        <v>214</v>
      </c>
      <c r="M696" t="s">
        <v>161</v>
      </c>
      <c r="N696" s="5" t="s">
        <v>161</v>
      </c>
      <c r="O696" t="s">
        <v>28</v>
      </c>
      <c r="P696" t="s">
        <v>32</v>
      </c>
      <c r="Q696" t="s">
        <v>46</v>
      </c>
      <c r="R696">
        <v>0.72</v>
      </c>
      <c r="S696" s="1">
        <v>41115</v>
      </c>
      <c r="T696" t="str">
        <f t="shared" si="21"/>
        <v>25-Jul-2012</v>
      </c>
    </row>
    <row r="697" spans="1:20" x14ac:dyDescent="0.3">
      <c r="A697">
        <v>1991</v>
      </c>
      <c r="B697" s="1">
        <v>41158</v>
      </c>
      <c r="C697" t="s">
        <v>31</v>
      </c>
      <c r="D697" t="str">
        <f t="shared" si="20"/>
        <v>06-Sep-2012</v>
      </c>
      <c r="E697">
        <v>27</v>
      </c>
      <c r="F697" s="13">
        <v>3491.06</v>
      </c>
      <c r="G697">
        <v>0.09</v>
      </c>
      <c r="H697" t="s">
        <v>19</v>
      </c>
      <c r="I697" s="13">
        <v>921.7</v>
      </c>
      <c r="J697">
        <v>136.97999999999999</v>
      </c>
      <c r="K697">
        <v>24.49</v>
      </c>
      <c r="L697" t="s">
        <v>221</v>
      </c>
      <c r="M697" t="s">
        <v>161</v>
      </c>
      <c r="N697" s="5" t="s">
        <v>161</v>
      </c>
      <c r="O697" t="s">
        <v>28</v>
      </c>
      <c r="P697" t="s">
        <v>32</v>
      </c>
      <c r="Q697" t="s">
        <v>33</v>
      </c>
      <c r="R697">
        <v>0.59</v>
      </c>
      <c r="S697" s="1">
        <v>41158</v>
      </c>
      <c r="T697" t="str">
        <f t="shared" si="21"/>
        <v>06-Sep-2012</v>
      </c>
    </row>
    <row r="698" spans="1:20" x14ac:dyDescent="0.3">
      <c r="A698">
        <v>29318</v>
      </c>
      <c r="B698" s="1">
        <v>40724</v>
      </c>
      <c r="C698" t="s">
        <v>31</v>
      </c>
      <c r="D698" t="str">
        <f t="shared" si="20"/>
        <v>30-Jun-2011</v>
      </c>
      <c r="E698">
        <v>34</v>
      </c>
      <c r="F698" s="13">
        <v>3375.3074999999999</v>
      </c>
      <c r="G698">
        <v>0.1</v>
      </c>
      <c r="H698" t="s">
        <v>19</v>
      </c>
      <c r="I698" s="13">
        <v>562.13</v>
      </c>
      <c r="J698">
        <v>125.99</v>
      </c>
      <c r="K698">
        <v>8.08</v>
      </c>
      <c r="L698" t="s">
        <v>168</v>
      </c>
      <c r="M698" t="s">
        <v>161</v>
      </c>
      <c r="N698" s="5" t="s">
        <v>161</v>
      </c>
      <c r="O698" t="s">
        <v>28</v>
      </c>
      <c r="P698" t="s">
        <v>29</v>
      </c>
      <c r="Q698" t="s">
        <v>30</v>
      </c>
      <c r="R698">
        <v>0.56999999999999995</v>
      </c>
      <c r="S698" s="1">
        <v>40725</v>
      </c>
      <c r="T698" t="str">
        <f t="shared" si="21"/>
        <v>01-Jul-2011</v>
      </c>
    </row>
    <row r="699" spans="1:20" x14ac:dyDescent="0.3">
      <c r="A699">
        <v>2691</v>
      </c>
      <c r="B699" s="1">
        <v>41028</v>
      </c>
      <c r="C699" t="s">
        <v>18</v>
      </c>
      <c r="D699" t="str">
        <f t="shared" si="20"/>
        <v>29-Apr-2012</v>
      </c>
      <c r="E699">
        <v>14</v>
      </c>
      <c r="F699" s="13">
        <v>3363.14</v>
      </c>
      <c r="G699">
        <v>0.1</v>
      </c>
      <c r="H699" t="s">
        <v>24</v>
      </c>
      <c r="I699" s="13">
        <v>98.75</v>
      </c>
      <c r="J699">
        <v>260.98</v>
      </c>
      <c r="K699">
        <v>41.91</v>
      </c>
      <c r="L699" t="s">
        <v>186</v>
      </c>
      <c r="M699" t="s">
        <v>161</v>
      </c>
      <c r="N699" s="5" t="s">
        <v>161</v>
      </c>
      <c r="O699" t="s">
        <v>28</v>
      </c>
      <c r="P699" t="s">
        <v>32</v>
      </c>
      <c r="Q699" t="s">
        <v>45</v>
      </c>
      <c r="R699">
        <v>0.59</v>
      </c>
      <c r="S699" s="1">
        <v>41037</v>
      </c>
      <c r="T699" t="str">
        <f t="shared" si="21"/>
        <v>08-May-2012</v>
      </c>
    </row>
    <row r="700" spans="1:20" x14ac:dyDescent="0.3">
      <c r="A700">
        <v>48195</v>
      </c>
      <c r="B700" s="1">
        <v>40509</v>
      </c>
      <c r="C700" t="s">
        <v>31</v>
      </c>
      <c r="D700" t="str">
        <f t="shared" si="20"/>
        <v>27-Nov-2010</v>
      </c>
      <c r="E700">
        <v>35</v>
      </c>
      <c r="F700" s="13">
        <v>3337.5165000000002</v>
      </c>
      <c r="G700">
        <v>7.0000000000000007E-2</v>
      </c>
      <c r="H700" t="s">
        <v>19</v>
      </c>
      <c r="I700" s="13">
        <v>850.54</v>
      </c>
      <c r="J700">
        <v>115.99</v>
      </c>
      <c r="K700">
        <v>2.5</v>
      </c>
      <c r="L700" t="s">
        <v>201</v>
      </c>
      <c r="M700" t="s">
        <v>161</v>
      </c>
      <c r="N700" s="5" t="s">
        <v>161</v>
      </c>
      <c r="O700" t="s">
        <v>28</v>
      </c>
      <c r="P700" t="s">
        <v>29</v>
      </c>
      <c r="Q700" t="s">
        <v>30</v>
      </c>
      <c r="R700">
        <v>0.56999999999999995</v>
      </c>
      <c r="S700" s="1">
        <v>40510</v>
      </c>
      <c r="T700" t="str">
        <f t="shared" si="21"/>
        <v>28-Nov-2010</v>
      </c>
    </row>
    <row r="701" spans="1:20" x14ac:dyDescent="0.3">
      <c r="A701">
        <v>13351</v>
      </c>
      <c r="B701" s="1">
        <v>40304</v>
      </c>
      <c r="C701" t="s">
        <v>38</v>
      </c>
      <c r="D701" t="str">
        <f t="shared" si="20"/>
        <v>06-May-2010</v>
      </c>
      <c r="E701">
        <v>20</v>
      </c>
      <c r="F701" s="13">
        <v>3331.81</v>
      </c>
      <c r="G701">
        <v>0.08</v>
      </c>
      <c r="H701" t="s">
        <v>19</v>
      </c>
      <c r="I701" s="13">
        <v>484.15</v>
      </c>
      <c r="J701">
        <v>179.99</v>
      </c>
      <c r="K701">
        <v>19.989999999999998</v>
      </c>
      <c r="L701" t="s">
        <v>219</v>
      </c>
      <c r="M701" t="s">
        <v>161</v>
      </c>
      <c r="N701" s="5" t="s">
        <v>161</v>
      </c>
      <c r="O701" t="s">
        <v>28</v>
      </c>
      <c r="P701" t="s">
        <v>29</v>
      </c>
      <c r="Q701" t="s">
        <v>41</v>
      </c>
      <c r="R701">
        <v>0.48</v>
      </c>
      <c r="S701" s="1">
        <v>40305</v>
      </c>
      <c r="T701" t="str">
        <f t="shared" si="21"/>
        <v>07-May-2010</v>
      </c>
    </row>
    <row r="702" spans="1:20" x14ac:dyDescent="0.3">
      <c r="A702">
        <v>41702</v>
      </c>
      <c r="B702" s="1">
        <v>40534</v>
      </c>
      <c r="C702" t="s">
        <v>31</v>
      </c>
      <c r="D702" t="str">
        <f t="shared" si="20"/>
        <v>22-Dec-2010</v>
      </c>
      <c r="E702">
        <v>21</v>
      </c>
      <c r="F702" s="13">
        <v>3323.44</v>
      </c>
      <c r="G702">
        <v>0.03</v>
      </c>
      <c r="H702" t="s">
        <v>19</v>
      </c>
      <c r="I702" s="13">
        <v>99.88</v>
      </c>
      <c r="J702">
        <v>152.47999999999999</v>
      </c>
      <c r="K702">
        <v>4</v>
      </c>
      <c r="L702" t="s">
        <v>178</v>
      </c>
      <c r="M702" t="s">
        <v>161</v>
      </c>
      <c r="N702" s="5" t="s">
        <v>161</v>
      </c>
      <c r="O702" t="s">
        <v>28</v>
      </c>
      <c r="P702" t="s">
        <v>29</v>
      </c>
      <c r="Q702" t="s">
        <v>41</v>
      </c>
      <c r="R702">
        <v>0.79</v>
      </c>
      <c r="S702" s="1">
        <v>40535</v>
      </c>
      <c r="T702" t="str">
        <f t="shared" si="21"/>
        <v>23-Dec-2010</v>
      </c>
    </row>
    <row r="703" spans="1:20" x14ac:dyDescent="0.3">
      <c r="A703">
        <v>38498</v>
      </c>
      <c r="B703" s="1">
        <v>41026</v>
      </c>
      <c r="C703" t="s">
        <v>43</v>
      </c>
      <c r="D703" t="str">
        <f t="shared" si="20"/>
        <v>27-Apr-2012</v>
      </c>
      <c r="E703">
        <v>30</v>
      </c>
      <c r="F703" s="13">
        <v>3295.15</v>
      </c>
      <c r="G703">
        <v>7.0000000000000007E-2</v>
      </c>
      <c r="H703" t="s">
        <v>19</v>
      </c>
      <c r="I703" s="13">
        <v>1070.18</v>
      </c>
      <c r="J703">
        <v>115.79</v>
      </c>
      <c r="K703">
        <v>1.99</v>
      </c>
      <c r="L703" t="s">
        <v>52</v>
      </c>
      <c r="M703" t="s">
        <v>161</v>
      </c>
      <c r="N703" s="5" t="s">
        <v>161</v>
      </c>
      <c r="O703" t="s">
        <v>28</v>
      </c>
      <c r="P703" t="s">
        <v>29</v>
      </c>
      <c r="Q703" t="s">
        <v>41</v>
      </c>
      <c r="R703">
        <v>0.49</v>
      </c>
      <c r="S703" s="1">
        <v>41028</v>
      </c>
      <c r="T703" t="str">
        <f t="shared" si="21"/>
        <v>29-Apr-2012</v>
      </c>
    </row>
    <row r="704" spans="1:20" x14ac:dyDescent="0.3">
      <c r="A704">
        <v>40962</v>
      </c>
      <c r="B704" s="1">
        <v>40594</v>
      </c>
      <c r="C704" t="s">
        <v>43</v>
      </c>
      <c r="D704" t="str">
        <f t="shared" si="20"/>
        <v>20-Feb-2011</v>
      </c>
      <c r="E704">
        <v>30</v>
      </c>
      <c r="F704" s="13">
        <v>3276.9965000000002</v>
      </c>
      <c r="G704">
        <v>0</v>
      </c>
      <c r="H704" t="s">
        <v>19</v>
      </c>
      <c r="I704" s="13">
        <v>653.05999999999995</v>
      </c>
      <c r="J704">
        <v>125.99</v>
      </c>
      <c r="K704">
        <v>8.99</v>
      </c>
      <c r="L704" t="s">
        <v>158</v>
      </c>
      <c r="M704" t="s">
        <v>161</v>
      </c>
      <c r="N704" s="5" t="s">
        <v>161</v>
      </c>
      <c r="O704" t="s">
        <v>28</v>
      </c>
      <c r="P704" t="s">
        <v>29</v>
      </c>
      <c r="Q704" t="s">
        <v>30</v>
      </c>
      <c r="R704">
        <v>0.59</v>
      </c>
      <c r="S704" s="1">
        <v>40595</v>
      </c>
      <c r="T704" t="str">
        <f t="shared" si="21"/>
        <v>21-Feb-2011</v>
      </c>
    </row>
    <row r="705" spans="1:20" x14ac:dyDescent="0.3">
      <c r="A705">
        <v>19777</v>
      </c>
      <c r="B705" s="1">
        <v>41201</v>
      </c>
      <c r="C705" t="s">
        <v>31</v>
      </c>
      <c r="D705" t="str">
        <f t="shared" si="20"/>
        <v>19-Oct-2012</v>
      </c>
      <c r="E705">
        <v>24</v>
      </c>
      <c r="F705" s="13">
        <v>3268.7514999999999</v>
      </c>
      <c r="G705">
        <v>0.04</v>
      </c>
      <c r="H705" t="s">
        <v>19</v>
      </c>
      <c r="I705" s="13">
        <v>562.91</v>
      </c>
      <c r="J705">
        <v>155.99</v>
      </c>
      <c r="K705">
        <v>8.08</v>
      </c>
      <c r="L705" t="s">
        <v>174</v>
      </c>
      <c r="M705" t="s">
        <v>161</v>
      </c>
      <c r="N705" s="5" t="s">
        <v>161</v>
      </c>
      <c r="O705" t="s">
        <v>28</v>
      </c>
      <c r="P705" t="s">
        <v>29</v>
      </c>
      <c r="Q705" t="s">
        <v>30</v>
      </c>
      <c r="R705">
        <v>0.6</v>
      </c>
      <c r="S705" s="1">
        <v>41203</v>
      </c>
      <c r="T705" t="str">
        <f t="shared" si="21"/>
        <v>21-Oct-2012</v>
      </c>
    </row>
    <row r="706" spans="1:20" x14ac:dyDescent="0.3">
      <c r="A706">
        <v>40193</v>
      </c>
      <c r="B706" s="1">
        <v>41154</v>
      </c>
      <c r="C706" t="s">
        <v>23</v>
      </c>
      <c r="D706" t="str">
        <f t="shared" ref="D706:D769" si="22">TEXT(B706, "dd-mmm-yyyy" )</f>
        <v>02-Sep-2012</v>
      </c>
      <c r="E706">
        <v>34</v>
      </c>
      <c r="F706" s="13">
        <v>3130.2015000000001</v>
      </c>
      <c r="G706">
        <v>7.0000000000000007E-2</v>
      </c>
      <c r="H706" t="s">
        <v>35</v>
      </c>
      <c r="I706" s="13">
        <v>692.78</v>
      </c>
      <c r="J706">
        <v>115.99</v>
      </c>
      <c r="K706">
        <v>2.5</v>
      </c>
      <c r="L706" t="s">
        <v>215</v>
      </c>
      <c r="M706" t="s">
        <v>161</v>
      </c>
      <c r="N706" s="5" t="s">
        <v>161</v>
      </c>
      <c r="O706" t="s">
        <v>28</v>
      </c>
      <c r="P706" t="s">
        <v>29</v>
      </c>
      <c r="Q706" t="s">
        <v>30</v>
      </c>
      <c r="R706">
        <v>0.56999999999999995</v>
      </c>
      <c r="S706" s="1">
        <v>41154</v>
      </c>
      <c r="T706" t="str">
        <f t="shared" ref="T706:T769" si="23">TEXT(S706, "dd-mmm-yyyy")</f>
        <v>02-Sep-2012</v>
      </c>
    </row>
    <row r="707" spans="1:20" x14ac:dyDescent="0.3">
      <c r="A707">
        <v>53766</v>
      </c>
      <c r="B707" s="1">
        <v>40099</v>
      </c>
      <c r="C707" t="s">
        <v>31</v>
      </c>
      <c r="D707" t="str">
        <f t="shared" si="22"/>
        <v>13-Oct-2009</v>
      </c>
      <c r="E707">
        <v>22</v>
      </c>
      <c r="F707" s="13">
        <v>3122.55</v>
      </c>
      <c r="G707">
        <v>7.0000000000000007E-2</v>
      </c>
      <c r="H707" t="s">
        <v>24</v>
      </c>
      <c r="I707" s="13">
        <v>-574.55999999999995</v>
      </c>
      <c r="J707">
        <v>145.97999999999999</v>
      </c>
      <c r="K707">
        <v>46.2</v>
      </c>
      <c r="L707" t="s">
        <v>301</v>
      </c>
      <c r="M707" t="s">
        <v>161</v>
      </c>
      <c r="N707" s="5" t="s">
        <v>161</v>
      </c>
      <c r="O707" t="s">
        <v>28</v>
      </c>
      <c r="P707" t="s">
        <v>32</v>
      </c>
      <c r="Q707" t="s">
        <v>46</v>
      </c>
      <c r="R707">
        <v>0.69</v>
      </c>
      <c r="S707" s="1">
        <v>40100</v>
      </c>
      <c r="T707" t="str">
        <f t="shared" si="23"/>
        <v>14-Oct-2009</v>
      </c>
    </row>
    <row r="708" spans="1:20" x14ac:dyDescent="0.3">
      <c r="A708">
        <v>34087</v>
      </c>
      <c r="B708" s="1">
        <v>40018</v>
      </c>
      <c r="C708" t="s">
        <v>18</v>
      </c>
      <c r="D708" t="str">
        <f t="shared" si="22"/>
        <v>24-Jul-2009</v>
      </c>
      <c r="E708">
        <v>31</v>
      </c>
      <c r="F708" s="13">
        <v>3077.7310000000002</v>
      </c>
      <c r="G708">
        <v>0.05</v>
      </c>
      <c r="H708" t="s">
        <v>19</v>
      </c>
      <c r="I708" s="13">
        <v>745.48</v>
      </c>
      <c r="J708">
        <v>115.99</v>
      </c>
      <c r="K708">
        <v>5.26</v>
      </c>
      <c r="L708" t="s">
        <v>99</v>
      </c>
      <c r="M708" t="s">
        <v>161</v>
      </c>
      <c r="N708" s="5" t="s">
        <v>161</v>
      </c>
      <c r="O708" t="s">
        <v>28</v>
      </c>
      <c r="P708" t="s">
        <v>29</v>
      </c>
      <c r="Q708" t="s">
        <v>30</v>
      </c>
      <c r="R708">
        <v>0.56999999999999995</v>
      </c>
      <c r="S708" s="1">
        <v>40022</v>
      </c>
      <c r="T708" t="str">
        <f t="shared" si="23"/>
        <v>28-Jul-2009</v>
      </c>
    </row>
    <row r="709" spans="1:20" x14ac:dyDescent="0.3">
      <c r="A709">
        <v>42246</v>
      </c>
      <c r="B709" s="1">
        <v>41025</v>
      </c>
      <c r="C709" t="s">
        <v>31</v>
      </c>
      <c r="D709" t="str">
        <f t="shared" si="22"/>
        <v>26-Apr-2012</v>
      </c>
      <c r="E709">
        <v>40</v>
      </c>
      <c r="F709" s="13">
        <v>3060.37</v>
      </c>
      <c r="G709">
        <v>7.0000000000000007E-2</v>
      </c>
      <c r="H709" t="s">
        <v>19</v>
      </c>
      <c r="I709" s="13">
        <v>234.03</v>
      </c>
      <c r="J709">
        <v>77.510000000000005</v>
      </c>
      <c r="K709">
        <v>4</v>
      </c>
      <c r="L709" t="s">
        <v>186</v>
      </c>
      <c r="M709" t="s">
        <v>161</v>
      </c>
      <c r="N709" s="5" t="s">
        <v>161</v>
      </c>
      <c r="O709" t="s">
        <v>28</v>
      </c>
      <c r="P709" t="s">
        <v>29</v>
      </c>
      <c r="Q709" t="s">
        <v>41</v>
      </c>
      <c r="R709">
        <v>0.76</v>
      </c>
      <c r="S709" s="1">
        <v>41026</v>
      </c>
      <c r="T709" t="str">
        <f t="shared" si="23"/>
        <v>27-Apr-2012</v>
      </c>
    </row>
    <row r="710" spans="1:20" x14ac:dyDescent="0.3">
      <c r="A710">
        <v>54339</v>
      </c>
      <c r="B710" s="1">
        <v>41031</v>
      </c>
      <c r="C710" t="s">
        <v>18</v>
      </c>
      <c r="D710" t="str">
        <f t="shared" si="22"/>
        <v>02-May-2012</v>
      </c>
      <c r="E710">
        <v>48</v>
      </c>
      <c r="F710" s="13">
        <v>3005.74</v>
      </c>
      <c r="G710">
        <v>0.02</v>
      </c>
      <c r="H710" t="s">
        <v>35</v>
      </c>
      <c r="I710" s="13">
        <v>1053.21</v>
      </c>
      <c r="J710">
        <v>59.98</v>
      </c>
      <c r="K710">
        <v>3.99</v>
      </c>
      <c r="L710" t="s">
        <v>187</v>
      </c>
      <c r="M710" t="s">
        <v>161</v>
      </c>
      <c r="N710" s="5" t="s">
        <v>161</v>
      </c>
      <c r="O710" t="s">
        <v>28</v>
      </c>
      <c r="P710" t="s">
        <v>21</v>
      </c>
      <c r="Q710" t="s">
        <v>25</v>
      </c>
      <c r="R710">
        <v>0.56999999999999995</v>
      </c>
      <c r="S710" s="1">
        <v>41038</v>
      </c>
      <c r="T710" t="str">
        <f t="shared" si="23"/>
        <v>09-May-2012</v>
      </c>
    </row>
    <row r="711" spans="1:20" x14ac:dyDescent="0.3">
      <c r="A711">
        <v>29318</v>
      </c>
      <c r="B711" s="1">
        <v>40724</v>
      </c>
      <c r="C711" t="s">
        <v>31</v>
      </c>
      <c r="D711" t="str">
        <f t="shared" si="22"/>
        <v>30-Jun-2011</v>
      </c>
      <c r="E711">
        <v>21</v>
      </c>
      <c r="F711" s="13">
        <v>2954.14</v>
      </c>
      <c r="G711">
        <v>0.04</v>
      </c>
      <c r="H711" t="s">
        <v>35</v>
      </c>
      <c r="I711" s="13">
        <v>-522.94000000000005</v>
      </c>
      <c r="J711">
        <v>138.13999999999999</v>
      </c>
      <c r="K711">
        <v>35</v>
      </c>
      <c r="L711" t="s">
        <v>168</v>
      </c>
      <c r="M711" t="s">
        <v>161</v>
      </c>
      <c r="N711" s="5" t="s">
        <v>161</v>
      </c>
      <c r="O711" t="s">
        <v>28</v>
      </c>
      <c r="P711" t="s">
        <v>21</v>
      </c>
      <c r="Q711" t="s">
        <v>22</v>
      </c>
      <c r="S711" s="1">
        <v>40725</v>
      </c>
      <c r="T711" t="str">
        <f t="shared" si="23"/>
        <v>01-Jul-2011</v>
      </c>
    </row>
    <row r="712" spans="1:20" x14ac:dyDescent="0.3">
      <c r="A712">
        <v>17187</v>
      </c>
      <c r="B712" s="1">
        <v>41175</v>
      </c>
      <c r="C712" t="s">
        <v>23</v>
      </c>
      <c r="D712" t="str">
        <f t="shared" si="22"/>
        <v>23-Sep-2012</v>
      </c>
      <c r="E712">
        <v>4</v>
      </c>
      <c r="F712" s="13">
        <v>2951.97</v>
      </c>
      <c r="G712">
        <v>0.09</v>
      </c>
      <c r="H712" t="s">
        <v>24</v>
      </c>
      <c r="I712" s="13">
        <v>-1890.33</v>
      </c>
      <c r="J712">
        <v>810.98</v>
      </c>
      <c r="K712">
        <v>16.059999999999999</v>
      </c>
      <c r="L712" t="s">
        <v>193</v>
      </c>
      <c r="M712" t="s">
        <v>161</v>
      </c>
      <c r="N712" s="5" t="s">
        <v>161</v>
      </c>
      <c r="O712" t="s">
        <v>28</v>
      </c>
      <c r="P712" t="s">
        <v>29</v>
      </c>
      <c r="Q712" t="s">
        <v>74</v>
      </c>
      <c r="R712">
        <v>0.56000000000000005</v>
      </c>
      <c r="S712" s="1">
        <v>41177</v>
      </c>
      <c r="T712" t="str">
        <f t="shared" si="23"/>
        <v>25-Sep-2012</v>
      </c>
    </row>
    <row r="713" spans="1:20" x14ac:dyDescent="0.3">
      <c r="A713">
        <v>47714</v>
      </c>
      <c r="B713" s="1">
        <v>40612</v>
      </c>
      <c r="C713" t="s">
        <v>38</v>
      </c>
      <c r="D713" t="str">
        <f t="shared" si="22"/>
        <v>10-Mar-2011</v>
      </c>
      <c r="E713">
        <v>29</v>
      </c>
      <c r="F713" s="13">
        <v>2946.05</v>
      </c>
      <c r="G713">
        <v>0.06</v>
      </c>
      <c r="H713" t="s">
        <v>24</v>
      </c>
      <c r="I713" s="13">
        <v>-690.21</v>
      </c>
      <c r="J713">
        <v>105.49</v>
      </c>
      <c r="K713">
        <v>41.64</v>
      </c>
      <c r="L713" t="s">
        <v>98</v>
      </c>
      <c r="M713" t="s">
        <v>161</v>
      </c>
      <c r="N713" s="5" t="s">
        <v>161</v>
      </c>
      <c r="O713" t="s">
        <v>28</v>
      </c>
      <c r="P713" t="s">
        <v>32</v>
      </c>
      <c r="Q713" t="s">
        <v>46</v>
      </c>
      <c r="R713">
        <v>0.75</v>
      </c>
      <c r="S713" s="1">
        <v>40613</v>
      </c>
      <c r="T713" t="str">
        <f t="shared" si="23"/>
        <v>11-Mar-2011</v>
      </c>
    </row>
    <row r="714" spans="1:20" x14ac:dyDescent="0.3">
      <c r="A714">
        <v>47168</v>
      </c>
      <c r="B714" s="1">
        <v>39985</v>
      </c>
      <c r="C714" t="s">
        <v>31</v>
      </c>
      <c r="D714" t="str">
        <f t="shared" si="22"/>
        <v>21-Jun-2009</v>
      </c>
      <c r="E714">
        <v>24</v>
      </c>
      <c r="F714" s="13">
        <v>2920.83</v>
      </c>
      <c r="G714">
        <v>0.02</v>
      </c>
      <c r="H714" t="s">
        <v>24</v>
      </c>
      <c r="I714" s="13">
        <v>1068.1600000000001</v>
      </c>
      <c r="J714">
        <v>119.99</v>
      </c>
      <c r="K714">
        <v>14</v>
      </c>
      <c r="L714" t="s">
        <v>178</v>
      </c>
      <c r="M714" t="s">
        <v>161</v>
      </c>
      <c r="N714" s="5" t="s">
        <v>161</v>
      </c>
      <c r="O714" t="s">
        <v>28</v>
      </c>
      <c r="P714" t="s">
        <v>29</v>
      </c>
      <c r="Q714" t="s">
        <v>74</v>
      </c>
      <c r="R714">
        <v>0.36</v>
      </c>
      <c r="S714" s="1">
        <v>39986</v>
      </c>
      <c r="T714" t="str">
        <f t="shared" si="23"/>
        <v>22-Jun-2009</v>
      </c>
    </row>
    <row r="715" spans="1:20" x14ac:dyDescent="0.3">
      <c r="A715">
        <v>10470</v>
      </c>
      <c r="B715" s="1">
        <v>41033</v>
      </c>
      <c r="C715" t="s">
        <v>18</v>
      </c>
      <c r="D715" t="str">
        <f t="shared" si="22"/>
        <v>04-May-2012</v>
      </c>
      <c r="E715">
        <v>20</v>
      </c>
      <c r="F715" s="13">
        <v>2913.1455000000001</v>
      </c>
      <c r="G715">
        <v>0.09</v>
      </c>
      <c r="H715" t="s">
        <v>19</v>
      </c>
      <c r="I715" s="13">
        <v>333.72</v>
      </c>
      <c r="J715">
        <v>175.99</v>
      </c>
      <c r="K715">
        <v>4.99</v>
      </c>
      <c r="L715" t="s">
        <v>296</v>
      </c>
      <c r="M715" t="s">
        <v>161</v>
      </c>
      <c r="N715" s="5" t="s">
        <v>161</v>
      </c>
      <c r="O715" t="s">
        <v>28</v>
      </c>
      <c r="P715" t="s">
        <v>29</v>
      </c>
      <c r="Q715" t="s">
        <v>30</v>
      </c>
      <c r="R715">
        <v>0.59</v>
      </c>
      <c r="S715" s="1">
        <v>41035</v>
      </c>
      <c r="T715" t="str">
        <f t="shared" si="23"/>
        <v>06-May-2012</v>
      </c>
    </row>
    <row r="716" spans="1:20" x14ac:dyDescent="0.3">
      <c r="A716">
        <v>17249</v>
      </c>
      <c r="B716" s="1">
        <v>40446</v>
      </c>
      <c r="C716" t="s">
        <v>18</v>
      </c>
      <c r="D716" t="str">
        <f t="shared" si="22"/>
        <v>25-Sep-2010</v>
      </c>
      <c r="E716">
        <v>37</v>
      </c>
      <c r="F716" s="13">
        <v>2911.64</v>
      </c>
      <c r="G716">
        <v>0.02</v>
      </c>
      <c r="H716" t="s">
        <v>19</v>
      </c>
      <c r="I716" s="13">
        <v>225.28</v>
      </c>
      <c r="J716">
        <v>73.98</v>
      </c>
      <c r="K716">
        <v>14.52</v>
      </c>
      <c r="L716" t="s">
        <v>297</v>
      </c>
      <c r="M716" t="s">
        <v>161</v>
      </c>
      <c r="N716" s="5" t="s">
        <v>161</v>
      </c>
      <c r="O716" t="s">
        <v>28</v>
      </c>
      <c r="P716" t="s">
        <v>29</v>
      </c>
      <c r="Q716" t="s">
        <v>41</v>
      </c>
      <c r="R716">
        <v>0.65</v>
      </c>
      <c r="S716" s="1">
        <v>40448</v>
      </c>
      <c r="T716" t="str">
        <f t="shared" si="23"/>
        <v>27-Sep-2010</v>
      </c>
    </row>
    <row r="717" spans="1:20" x14ac:dyDescent="0.3">
      <c r="A717">
        <v>30915</v>
      </c>
      <c r="B717" s="1">
        <v>39829</v>
      </c>
      <c r="C717" t="s">
        <v>18</v>
      </c>
      <c r="D717" t="str">
        <f t="shared" si="22"/>
        <v>16-Jan-2009</v>
      </c>
      <c r="E717">
        <v>25</v>
      </c>
      <c r="F717" s="13">
        <v>2836.0504999999998</v>
      </c>
      <c r="G717">
        <v>0.01</v>
      </c>
      <c r="H717" t="s">
        <v>19</v>
      </c>
      <c r="I717" s="13">
        <v>561.13</v>
      </c>
      <c r="J717">
        <v>125.99</v>
      </c>
      <c r="K717">
        <v>8.99</v>
      </c>
      <c r="L717" t="s">
        <v>293</v>
      </c>
      <c r="M717" t="s">
        <v>161</v>
      </c>
      <c r="N717" s="5" t="s">
        <v>161</v>
      </c>
      <c r="O717" t="s">
        <v>28</v>
      </c>
      <c r="P717" t="s">
        <v>29</v>
      </c>
      <c r="Q717" t="s">
        <v>30</v>
      </c>
      <c r="R717">
        <v>0.59</v>
      </c>
      <c r="S717" s="1">
        <v>39834</v>
      </c>
      <c r="T717" t="str">
        <f t="shared" si="23"/>
        <v>21-Jan-2009</v>
      </c>
    </row>
    <row r="718" spans="1:20" x14ac:dyDescent="0.3">
      <c r="A718">
        <v>28033</v>
      </c>
      <c r="B718" s="1">
        <v>40435</v>
      </c>
      <c r="C718" t="s">
        <v>23</v>
      </c>
      <c r="D718" t="str">
        <f t="shared" si="22"/>
        <v>14-Sep-2010</v>
      </c>
      <c r="E718">
        <v>16</v>
      </c>
      <c r="F718" s="13">
        <v>2826.9</v>
      </c>
      <c r="G718">
        <v>7.0000000000000007E-2</v>
      </c>
      <c r="H718" t="s">
        <v>24</v>
      </c>
      <c r="I718" s="13">
        <v>337.29</v>
      </c>
      <c r="J718">
        <v>180.98</v>
      </c>
      <c r="K718">
        <v>26.2</v>
      </c>
      <c r="L718" t="s">
        <v>196</v>
      </c>
      <c r="M718" t="s">
        <v>161</v>
      </c>
      <c r="N718" s="5" t="s">
        <v>161</v>
      </c>
      <c r="O718" t="s">
        <v>28</v>
      </c>
      <c r="P718" t="s">
        <v>32</v>
      </c>
      <c r="Q718" t="s">
        <v>56</v>
      </c>
      <c r="R718">
        <v>0.59</v>
      </c>
      <c r="S718" s="1">
        <v>40437</v>
      </c>
      <c r="T718" t="str">
        <f t="shared" si="23"/>
        <v>16-Sep-2010</v>
      </c>
    </row>
    <row r="719" spans="1:20" x14ac:dyDescent="0.3">
      <c r="A719">
        <v>43875</v>
      </c>
      <c r="B719" s="1">
        <v>40884</v>
      </c>
      <c r="C719" t="s">
        <v>43</v>
      </c>
      <c r="D719" t="str">
        <f t="shared" si="22"/>
        <v>07-Dec-2011</v>
      </c>
      <c r="E719">
        <v>16</v>
      </c>
      <c r="F719" s="13">
        <v>2795.0039999999999</v>
      </c>
      <c r="G719">
        <v>0.02</v>
      </c>
      <c r="H719" t="s">
        <v>19</v>
      </c>
      <c r="I719" s="13">
        <v>311.08999999999997</v>
      </c>
      <c r="J719">
        <v>195.99</v>
      </c>
      <c r="K719">
        <v>8.99</v>
      </c>
      <c r="L719" t="s">
        <v>194</v>
      </c>
      <c r="M719" t="s">
        <v>161</v>
      </c>
      <c r="N719" s="5" t="s">
        <v>161</v>
      </c>
      <c r="O719" t="s">
        <v>28</v>
      </c>
      <c r="P719" t="s">
        <v>29</v>
      </c>
      <c r="Q719" t="s">
        <v>30</v>
      </c>
      <c r="R719">
        <v>0.57999999999999996</v>
      </c>
      <c r="S719" s="1">
        <v>40885</v>
      </c>
      <c r="T719" t="str">
        <f t="shared" si="23"/>
        <v>08-Dec-2011</v>
      </c>
    </row>
    <row r="720" spans="1:20" x14ac:dyDescent="0.3">
      <c r="A720">
        <v>54183</v>
      </c>
      <c r="B720" s="1">
        <v>41014</v>
      </c>
      <c r="C720" t="s">
        <v>43</v>
      </c>
      <c r="D720" t="str">
        <f t="shared" si="22"/>
        <v>15-Apr-2012</v>
      </c>
      <c r="E720">
        <v>32</v>
      </c>
      <c r="F720" s="13">
        <v>2773.71</v>
      </c>
      <c r="G720">
        <v>0.02</v>
      </c>
      <c r="H720" t="s">
        <v>35</v>
      </c>
      <c r="I720" s="13">
        <v>1097.25</v>
      </c>
      <c r="J720">
        <v>82.99</v>
      </c>
      <c r="K720">
        <v>5.5</v>
      </c>
      <c r="L720" t="s">
        <v>204</v>
      </c>
      <c r="M720" t="s">
        <v>161</v>
      </c>
      <c r="N720" s="5" t="s">
        <v>161</v>
      </c>
      <c r="O720" t="s">
        <v>28</v>
      </c>
      <c r="P720" t="s">
        <v>29</v>
      </c>
      <c r="Q720" t="s">
        <v>41</v>
      </c>
      <c r="R720">
        <v>0.44</v>
      </c>
      <c r="S720" s="1">
        <v>41016</v>
      </c>
      <c r="T720" t="str">
        <f t="shared" si="23"/>
        <v>17-Apr-2012</v>
      </c>
    </row>
    <row r="721" spans="1:20" x14ac:dyDescent="0.3">
      <c r="A721">
        <v>12261</v>
      </c>
      <c r="B721" s="1">
        <v>40474</v>
      </c>
      <c r="C721" t="s">
        <v>18</v>
      </c>
      <c r="D721" t="str">
        <f t="shared" si="22"/>
        <v>23-Oct-2010</v>
      </c>
      <c r="E721">
        <v>15</v>
      </c>
      <c r="F721" s="13">
        <v>2746.57</v>
      </c>
      <c r="G721">
        <v>0.03</v>
      </c>
      <c r="H721" t="s">
        <v>19</v>
      </c>
      <c r="I721" s="13">
        <v>617.4</v>
      </c>
      <c r="J721">
        <v>178.47</v>
      </c>
      <c r="K721">
        <v>19.989999999999998</v>
      </c>
      <c r="L721" t="s">
        <v>175</v>
      </c>
      <c r="M721" t="s">
        <v>161</v>
      </c>
      <c r="N721" s="5" t="s">
        <v>161</v>
      </c>
      <c r="O721" t="s">
        <v>28</v>
      </c>
      <c r="P721" t="s">
        <v>21</v>
      </c>
      <c r="Q721" t="s">
        <v>22</v>
      </c>
      <c r="R721">
        <v>0.55000000000000004</v>
      </c>
      <c r="S721" s="1">
        <v>40479</v>
      </c>
      <c r="T721" t="str">
        <f t="shared" si="23"/>
        <v>28-Oct-2010</v>
      </c>
    </row>
    <row r="722" spans="1:20" x14ac:dyDescent="0.3">
      <c r="A722">
        <v>29383</v>
      </c>
      <c r="B722" s="1">
        <v>40865</v>
      </c>
      <c r="C722" t="s">
        <v>38</v>
      </c>
      <c r="D722" t="str">
        <f t="shared" si="22"/>
        <v>18-Nov-2011</v>
      </c>
      <c r="E722">
        <v>29</v>
      </c>
      <c r="F722" s="13">
        <v>2738.7849999999999</v>
      </c>
      <c r="G722">
        <v>7.0000000000000007E-2</v>
      </c>
      <c r="H722" t="s">
        <v>19</v>
      </c>
      <c r="I722" s="13">
        <v>556.83000000000004</v>
      </c>
      <c r="J722">
        <v>115.99</v>
      </c>
      <c r="K722">
        <v>2.5</v>
      </c>
      <c r="L722" t="s">
        <v>179</v>
      </c>
      <c r="M722" t="s">
        <v>161</v>
      </c>
      <c r="N722" s="5" t="s">
        <v>161</v>
      </c>
      <c r="O722" t="s">
        <v>28</v>
      </c>
      <c r="P722" t="s">
        <v>29</v>
      </c>
      <c r="Q722" t="s">
        <v>30</v>
      </c>
      <c r="R722">
        <v>0.57999999999999996</v>
      </c>
      <c r="S722" s="1">
        <v>40867</v>
      </c>
      <c r="T722" t="str">
        <f t="shared" si="23"/>
        <v>20-Nov-2011</v>
      </c>
    </row>
    <row r="723" spans="1:20" x14ac:dyDescent="0.3">
      <c r="A723">
        <v>40839</v>
      </c>
      <c r="B723" s="1">
        <v>40999</v>
      </c>
      <c r="C723" t="s">
        <v>38</v>
      </c>
      <c r="D723" t="str">
        <f t="shared" si="22"/>
        <v>31-Mar-2012</v>
      </c>
      <c r="E723">
        <v>23</v>
      </c>
      <c r="F723" s="13">
        <v>2732.01</v>
      </c>
      <c r="G723">
        <v>0.04</v>
      </c>
      <c r="H723" t="s">
        <v>24</v>
      </c>
      <c r="I723" s="13">
        <v>-100.47</v>
      </c>
      <c r="J723">
        <v>119.99</v>
      </c>
      <c r="K723">
        <v>56.14</v>
      </c>
      <c r="L723" t="s">
        <v>296</v>
      </c>
      <c r="M723" t="s">
        <v>161</v>
      </c>
      <c r="N723" s="5" t="s">
        <v>161</v>
      </c>
      <c r="O723" t="s">
        <v>28</v>
      </c>
      <c r="P723" t="s">
        <v>29</v>
      </c>
      <c r="Q723" t="s">
        <v>74</v>
      </c>
      <c r="R723">
        <v>0.39</v>
      </c>
      <c r="S723" s="1">
        <v>41000</v>
      </c>
      <c r="T723" t="str">
        <f t="shared" si="23"/>
        <v>01-Apr-2012</v>
      </c>
    </row>
    <row r="724" spans="1:20" x14ac:dyDescent="0.3">
      <c r="A724">
        <v>13633</v>
      </c>
      <c r="B724" s="1">
        <v>41002</v>
      </c>
      <c r="C724" t="s">
        <v>31</v>
      </c>
      <c r="D724" t="str">
        <f t="shared" si="22"/>
        <v>03-Apr-2012</v>
      </c>
      <c r="E724">
        <v>18</v>
      </c>
      <c r="F724" s="13">
        <v>2703.37</v>
      </c>
      <c r="G724">
        <v>0.09</v>
      </c>
      <c r="H724" t="s">
        <v>24</v>
      </c>
      <c r="I724" s="13">
        <v>-231.6</v>
      </c>
      <c r="J724">
        <v>150.97999999999999</v>
      </c>
      <c r="K724">
        <v>57.2</v>
      </c>
      <c r="L724" t="s">
        <v>187</v>
      </c>
      <c r="M724" t="s">
        <v>161</v>
      </c>
      <c r="N724" s="5" t="s">
        <v>161</v>
      </c>
      <c r="O724" t="s">
        <v>28</v>
      </c>
      <c r="P724" t="s">
        <v>32</v>
      </c>
      <c r="Q724" t="s">
        <v>56</v>
      </c>
      <c r="R724">
        <v>0.59</v>
      </c>
      <c r="S724" s="1">
        <v>41003</v>
      </c>
      <c r="T724" t="str">
        <f t="shared" si="23"/>
        <v>04-Apr-2012</v>
      </c>
    </row>
    <row r="725" spans="1:20" x14ac:dyDescent="0.3">
      <c r="A725">
        <v>48195</v>
      </c>
      <c r="B725" s="1">
        <v>40509</v>
      </c>
      <c r="C725" t="s">
        <v>31</v>
      </c>
      <c r="D725" t="str">
        <f t="shared" si="22"/>
        <v>27-Nov-2010</v>
      </c>
      <c r="E725">
        <v>47</v>
      </c>
      <c r="F725" s="13">
        <v>2679.1235000000001</v>
      </c>
      <c r="G725">
        <v>0.01</v>
      </c>
      <c r="H725" t="s">
        <v>19</v>
      </c>
      <c r="I725" s="13">
        <v>47.28</v>
      </c>
      <c r="J725">
        <v>65.989999999999995</v>
      </c>
      <c r="K725">
        <v>19.989999999999998</v>
      </c>
      <c r="L725" t="s">
        <v>201</v>
      </c>
      <c r="M725" t="s">
        <v>161</v>
      </c>
      <c r="N725" s="5" t="s">
        <v>161</v>
      </c>
      <c r="O725" t="s">
        <v>28</v>
      </c>
      <c r="P725" t="s">
        <v>29</v>
      </c>
      <c r="Q725" t="s">
        <v>30</v>
      </c>
      <c r="R725">
        <v>0.59</v>
      </c>
      <c r="S725" s="1">
        <v>40510</v>
      </c>
      <c r="T725" t="str">
        <f t="shared" si="23"/>
        <v>28-Nov-2010</v>
      </c>
    </row>
    <row r="726" spans="1:20" x14ac:dyDescent="0.3">
      <c r="A726">
        <v>18182</v>
      </c>
      <c r="B726" s="1">
        <v>40643</v>
      </c>
      <c r="C726" t="s">
        <v>38</v>
      </c>
      <c r="D726" t="str">
        <f t="shared" si="22"/>
        <v>10-Apr-2011</v>
      </c>
      <c r="E726">
        <v>45</v>
      </c>
      <c r="F726" s="13">
        <v>2673.08</v>
      </c>
      <c r="G726">
        <v>0.01</v>
      </c>
      <c r="H726" t="s">
        <v>19</v>
      </c>
      <c r="I726" s="13">
        <v>-1363.12</v>
      </c>
      <c r="J726">
        <v>55.5</v>
      </c>
      <c r="K726">
        <v>52.2</v>
      </c>
      <c r="L726" t="s">
        <v>191</v>
      </c>
      <c r="M726" t="s">
        <v>161</v>
      </c>
      <c r="N726" s="5" t="s">
        <v>161</v>
      </c>
      <c r="O726" t="s">
        <v>28</v>
      </c>
      <c r="P726" t="s">
        <v>32</v>
      </c>
      <c r="Q726" t="s">
        <v>33</v>
      </c>
      <c r="R726">
        <v>0.72</v>
      </c>
      <c r="S726" s="1">
        <v>40644</v>
      </c>
      <c r="T726" t="str">
        <f t="shared" si="23"/>
        <v>11-Apr-2011</v>
      </c>
    </row>
    <row r="727" spans="1:20" x14ac:dyDescent="0.3">
      <c r="A727">
        <v>18661</v>
      </c>
      <c r="B727" s="1">
        <v>41160</v>
      </c>
      <c r="C727" t="s">
        <v>18</v>
      </c>
      <c r="D727" t="str">
        <f t="shared" si="22"/>
        <v>08-Sep-2012</v>
      </c>
      <c r="E727">
        <v>11</v>
      </c>
      <c r="F727" s="13">
        <v>2618.1120000000001</v>
      </c>
      <c r="G727">
        <v>0.04</v>
      </c>
      <c r="H727" t="s">
        <v>24</v>
      </c>
      <c r="I727" s="13">
        <v>-139.27000000000001</v>
      </c>
      <c r="J727">
        <v>286.85000000000002</v>
      </c>
      <c r="K727">
        <v>61.76</v>
      </c>
      <c r="L727" t="s">
        <v>182</v>
      </c>
      <c r="M727" t="s">
        <v>161</v>
      </c>
      <c r="N727" s="5" t="s">
        <v>161</v>
      </c>
      <c r="O727" t="s">
        <v>28</v>
      </c>
      <c r="P727" t="s">
        <v>32</v>
      </c>
      <c r="Q727" t="s">
        <v>46</v>
      </c>
      <c r="R727">
        <v>0.78</v>
      </c>
      <c r="S727" s="1">
        <v>41162</v>
      </c>
      <c r="T727" t="str">
        <f t="shared" si="23"/>
        <v>10-Sep-2012</v>
      </c>
    </row>
    <row r="728" spans="1:20" x14ac:dyDescent="0.3">
      <c r="A728">
        <v>43875</v>
      </c>
      <c r="B728" s="1">
        <v>40884</v>
      </c>
      <c r="C728" t="s">
        <v>43</v>
      </c>
      <c r="D728" t="str">
        <f t="shared" si="22"/>
        <v>07-Dec-2011</v>
      </c>
      <c r="E728">
        <v>17</v>
      </c>
      <c r="F728" s="13">
        <v>2573.92</v>
      </c>
      <c r="G728">
        <v>7.0000000000000007E-2</v>
      </c>
      <c r="H728" t="s">
        <v>24</v>
      </c>
      <c r="I728" s="13">
        <v>117.23</v>
      </c>
      <c r="J728">
        <v>150.97999999999999</v>
      </c>
      <c r="K728">
        <v>143.71</v>
      </c>
      <c r="L728" t="s">
        <v>194</v>
      </c>
      <c r="M728" t="s">
        <v>161</v>
      </c>
      <c r="N728" s="5" t="s">
        <v>161</v>
      </c>
      <c r="O728" t="s">
        <v>28</v>
      </c>
      <c r="P728" t="s">
        <v>32</v>
      </c>
      <c r="Q728" t="s">
        <v>56</v>
      </c>
      <c r="R728">
        <v>0.55000000000000004</v>
      </c>
      <c r="S728" s="1">
        <v>40886</v>
      </c>
      <c r="T728" t="str">
        <f t="shared" si="23"/>
        <v>09-Dec-2011</v>
      </c>
    </row>
    <row r="729" spans="1:20" x14ac:dyDescent="0.3">
      <c r="A729">
        <v>10245</v>
      </c>
      <c r="B729" s="1">
        <v>40587</v>
      </c>
      <c r="C729" t="s">
        <v>38</v>
      </c>
      <c r="D729" t="str">
        <f t="shared" si="22"/>
        <v>13-Feb-2011</v>
      </c>
      <c r="E729">
        <v>20</v>
      </c>
      <c r="F729" s="13">
        <v>2573.29</v>
      </c>
      <c r="G729">
        <v>0.04</v>
      </c>
      <c r="H729" t="s">
        <v>24</v>
      </c>
      <c r="I729" s="13">
        <v>-896.94</v>
      </c>
      <c r="J729">
        <v>122.99</v>
      </c>
      <c r="K729">
        <v>70.2</v>
      </c>
      <c r="L729" t="s">
        <v>228</v>
      </c>
      <c r="M729" t="s">
        <v>161</v>
      </c>
      <c r="N729" s="5" t="s">
        <v>161</v>
      </c>
      <c r="O729" t="s">
        <v>28</v>
      </c>
      <c r="P729" t="s">
        <v>32</v>
      </c>
      <c r="Q729" t="s">
        <v>56</v>
      </c>
      <c r="R729">
        <v>0.74</v>
      </c>
      <c r="S729" s="1">
        <v>40588</v>
      </c>
      <c r="T729" t="str">
        <f t="shared" si="23"/>
        <v>14-Feb-2011</v>
      </c>
    </row>
    <row r="730" spans="1:20" x14ac:dyDescent="0.3">
      <c r="A730">
        <v>43875</v>
      </c>
      <c r="B730" s="1">
        <v>40884</v>
      </c>
      <c r="C730" t="s">
        <v>43</v>
      </c>
      <c r="D730" t="str">
        <f t="shared" si="22"/>
        <v>07-Dec-2011</v>
      </c>
      <c r="E730">
        <v>25</v>
      </c>
      <c r="F730" s="13">
        <v>2564.5774999999999</v>
      </c>
      <c r="G730">
        <v>7.0000000000000007E-2</v>
      </c>
      <c r="H730" t="s">
        <v>19</v>
      </c>
      <c r="I730" s="13">
        <v>331.29</v>
      </c>
      <c r="J730">
        <v>125.99</v>
      </c>
      <c r="K730">
        <v>7.69</v>
      </c>
      <c r="L730" t="s">
        <v>194</v>
      </c>
      <c r="M730" t="s">
        <v>161</v>
      </c>
      <c r="N730" s="5" t="s">
        <v>161</v>
      </c>
      <c r="O730" t="s">
        <v>28</v>
      </c>
      <c r="P730" t="s">
        <v>29</v>
      </c>
      <c r="Q730" t="s">
        <v>30</v>
      </c>
      <c r="R730">
        <v>0.57999999999999996</v>
      </c>
      <c r="S730" s="1">
        <v>40886</v>
      </c>
      <c r="T730" t="str">
        <f t="shared" si="23"/>
        <v>09-Dec-2011</v>
      </c>
    </row>
    <row r="731" spans="1:20" x14ac:dyDescent="0.3">
      <c r="A731">
        <v>41728</v>
      </c>
      <c r="B731" s="1">
        <v>40086</v>
      </c>
      <c r="C731" t="s">
        <v>23</v>
      </c>
      <c r="D731" t="str">
        <f t="shared" si="22"/>
        <v>30-Sep-2009</v>
      </c>
      <c r="E731">
        <v>10</v>
      </c>
      <c r="F731" s="13">
        <v>2549.58</v>
      </c>
      <c r="G731">
        <v>0.02</v>
      </c>
      <c r="H731" t="s">
        <v>24</v>
      </c>
      <c r="I731" s="13">
        <v>41.53</v>
      </c>
      <c r="J731">
        <v>243.98</v>
      </c>
      <c r="K731">
        <v>62.94</v>
      </c>
      <c r="L731" t="s">
        <v>290</v>
      </c>
      <c r="M731" t="s">
        <v>161</v>
      </c>
      <c r="N731" s="5" t="s">
        <v>161</v>
      </c>
      <c r="O731" t="s">
        <v>28</v>
      </c>
      <c r="P731" t="s">
        <v>32</v>
      </c>
      <c r="Q731" t="s">
        <v>56</v>
      </c>
      <c r="R731">
        <v>0.56999999999999995</v>
      </c>
      <c r="S731" s="1">
        <v>40087</v>
      </c>
      <c r="T731" t="str">
        <f t="shared" si="23"/>
        <v>01-Oct-2009</v>
      </c>
    </row>
    <row r="732" spans="1:20" x14ac:dyDescent="0.3">
      <c r="A732">
        <v>34082</v>
      </c>
      <c r="B732" s="1">
        <v>40844</v>
      </c>
      <c r="C732" t="s">
        <v>31</v>
      </c>
      <c r="D732" t="str">
        <f t="shared" si="22"/>
        <v>28-Oct-2011</v>
      </c>
      <c r="E732">
        <v>19</v>
      </c>
      <c r="F732" s="13">
        <v>2536.1799999999998</v>
      </c>
      <c r="G732">
        <v>0.1</v>
      </c>
      <c r="H732" t="s">
        <v>19</v>
      </c>
      <c r="I732" s="13">
        <v>350.62</v>
      </c>
      <c r="J732">
        <v>142.86000000000001</v>
      </c>
      <c r="K732">
        <v>19.989999999999998</v>
      </c>
      <c r="L732" t="s">
        <v>196</v>
      </c>
      <c r="M732" t="s">
        <v>161</v>
      </c>
      <c r="N732" s="5" t="s">
        <v>161</v>
      </c>
      <c r="O732" t="s">
        <v>28</v>
      </c>
      <c r="P732" t="s">
        <v>21</v>
      </c>
      <c r="Q732" t="s">
        <v>22</v>
      </c>
      <c r="R732">
        <v>0.56000000000000005</v>
      </c>
      <c r="S732" s="1">
        <v>40845</v>
      </c>
      <c r="T732" t="str">
        <f t="shared" si="23"/>
        <v>29-Oct-2011</v>
      </c>
    </row>
    <row r="733" spans="1:20" x14ac:dyDescent="0.3">
      <c r="A733">
        <v>55235</v>
      </c>
      <c r="B733" s="1">
        <v>40457</v>
      </c>
      <c r="C733" t="s">
        <v>18</v>
      </c>
      <c r="D733" t="str">
        <f t="shared" si="22"/>
        <v>06-Oct-2010</v>
      </c>
      <c r="E733">
        <v>33</v>
      </c>
      <c r="F733" s="13">
        <v>2532.6174999999998</v>
      </c>
      <c r="G733">
        <v>0</v>
      </c>
      <c r="H733" t="s">
        <v>19</v>
      </c>
      <c r="I733" s="13">
        <v>730.51</v>
      </c>
      <c r="J733">
        <v>85.99</v>
      </c>
      <c r="K733">
        <v>2.79</v>
      </c>
      <c r="L733" t="s">
        <v>291</v>
      </c>
      <c r="M733" t="s">
        <v>161</v>
      </c>
      <c r="N733" s="5" t="s">
        <v>161</v>
      </c>
      <c r="O733" t="s">
        <v>28</v>
      </c>
      <c r="P733" t="s">
        <v>29</v>
      </c>
      <c r="Q733" t="s">
        <v>30</v>
      </c>
      <c r="R733">
        <v>0.57999999999999996</v>
      </c>
      <c r="S733" s="1">
        <v>40459</v>
      </c>
      <c r="T733" t="str">
        <f t="shared" si="23"/>
        <v>08-Oct-2010</v>
      </c>
    </row>
    <row r="734" spans="1:20" x14ac:dyDescent="0.3">
      <c r="A734">
        <v>37152</v>
      </c>
      <c r="B734" s="1">
        <v>40685</v>
      </c>
      <c r="C734" t="s">
        <v>38</v>
      </c>
      <c r="D734" t="str">
        <f t="shared" si="22"/>
        <v>22-May-2011</v>
      </c>
      <c r="E734">
        <v>45</v>
      </c>
      <c r="F734" s="13">
        <v>2503.3265000000001</v>
      </c>
      <c r="G734">
        <v>0.04</v>
      </c>
      <c r="H734" t="s">
        <v>19</v>
      </c>
      <c r="I734" s="13">
        <v>447.12</v>
      </c>
      <c r="J734">
        <v>65.989999999999995</v>
      </c>
      <c r="K734">
        <v>8.8000000000000007</v>
      </c>
      <c r="L734" t="s">
        <v>212</v>
      </c>
      <c r="M734" t="s">
        <v>161</v>
      </c>
      <c r="N734" s="5" t="s">
        <v>161</v>
      </c>
      <c r="O734" t="s">
        <v>28</v>
      </c>
      <c r="P734" t="s">
        <v>29</v>
      </c>
      <c r="Q734" t="s">
        <v>30</v>
      </c>
      <c r="R734">
        <v>0.57999999999999996</v>
      </c>
      <c r="S734" s="1">
        <v>40687</v>
      </c>
      <c r="T734" t="str">
        <f t="shared" si="23"/>
        <v>24-May-2011</v>
      </c>
    </row>
    <row r="735" spans="1:20" x14ac:dyDescent="0.3">
      <c r="A735">
        <v>1345</v>
      </c>
      <c r="B735" s="1">
        <v>41209</v>
      </c>
      <c r="C735" t="s">
        <v>18</v>
      </c>
      <c r="D735" t="str">
        <f t="shared" si="22"/>
        <v>27-Oct-2012</v>
      </c>
      <c r="E735">
        <v>24</v>
      </c>
      <c r="F735" s="13">
        <v>2443.85</v>
      </c>
      <c r="G735">
        <v>0.08</v>
      </c>
      <c r="H735" t="s">
        <v>24</v>
      </c>
      <c r="I735" s="13">
        <v>-120.85</v>
      </c>
      <c r="J735">
        <v>100.98</v>
      </c>
      <c r="K735">
        <v>35.840000000000003</v>
      </c>
      <c r="L735" t="s">
        <v>175</v>
      </c>
      <c r="M735" t="s">
        <v>161</v>
      </c>
      <c r="N735" s="5" t="s">
        <v>161</v>
      </c>
      <c r="O735" t="s">
        <v>28</v>
      </c>
      <c r="P735" t="s">
        <v>32</v>
      </c>
      <c r="Q735" t="s">
        <v>45</v>
      </c>
      <c r="R735">
        <v>0.62</v>
      </c>
      <c r="S735" s="1">
        <v>41213</v>
      </c>
      <c r="T735" t="str">
        <f t="shared" si="23"/>
        <v>31-Oct-2012</v>
      </c>
    </row>
    <row r="736" spans="1:20" x14ac:dyDescent="0.3">
      <c r="A736">
        <v>6754</v>
      </c>
      <c r="B736" s="1">
        <v>40766</v>
      </c>
      <c r="C736" t="s">
        <v>23</v>
      </c>
      <c r="D736" t="str">
        <f t="shared" si="22"/>
        <v>11-Aug-2011</v>
      </c>
      <c r="E736">
        <v>13</v>
      </c>
      <c r="F736" s="13">
        <v>2388.636</v>
      </c>
      <c r="G736">
        <v>0.01</v>
      </c>
      <c r="H736" t="s">
        <v>19</v>
      </c>
      <c r="I736" s="13">
        <v>191</v>
      </c>
      <c r="J736">
        <v>205.99</v>
      </c>
      <c r="K736">
        <v>5.26</v>
      </c>
      <c r="L736" t="s">
        <v>294</v>
      </c>
      <c r="M736" t="s">
        <v>161</v>
      </c>
      <c r="N736" s="5" t="s">
        <v>161</v>
      </c>
      <c r="O736" t="s">
        <v>28</v>
      </c>
      <c r="P736" t="s">
        <v>29</v>
      </c>
      <c r="Q736" t="s">
        <v>30</v>
      </c>
      <c r="R736">
        <v>0.56000000000000005</v>
      </c>
      <c r="S736" s="1">
        <v>40768</v>
      </c>
      <c r="T736" t="str">
        <f t="shared" si="23"/>
        <v>13-Aug-2011</v>
      </c>
    </row>
    <row r="737" spans="1:20" x14ac:dyDescent="0.3">
      <c r="A737">
        <v>36484</v>
      </c>
      <c r="B737" s="1">
        <v>40936</v>
      </c>
      <c r="C737" t="s">
        <v>43</v>
      </c>
      <c r="D737" t="str">
        <f t="shared" si="22"/>
        <v>28-Jan-2012</v>
      </c>
      <c r="E737">
        <v>41</v>
      </c>
      <c r="F737" s="13">
        <v>2380.5695000000001</v>
      </c>
      <c r="G737">
        <v>0.01</v>
      </c>
      <c r="H737" t="s">
        <v>35</v>
      </c>
      <c r="I737" s="13">
        <v>740.48</v>
      </c>
      <c r="J737">
        <v>65.989999999999995</v>
      </c>
      <c r="K737">
        <v>3.9</v>
      </c>
      <c r="L737" t="s">
        <v>208</v>
      </c>
      <c r="M737" t="s">
        <v>161</v>
      </c>
      <c r="N737" s="5" t="s">
        <v>161</v>
      </c>
      <c r="O737" t="s">
        <v>28</v>
      </c>
      <c r="P737" t="s">
        <v>29</v>
      </c>
      <c r="Q737" t="s">
        <v>30</v>
      </c>
      <c r="R737">
        <v>0.55000000000000004</v>
      </c>
      <c r="S737" s="1">
        <v>40937</v>
      </c>
      <c r="T737" t="str">
        <f t="shared" si="23"/>
        <v>29-Jan-2012</v>
      </c>
    </row>
    <row r="738" spans="1:20" x14ac:dyDescent="0.3">
      <c r="A738">
        <v>55073</v>
      </c>
      <c r="B738" s="1">
        <v>40988</v>
      </c>
      <c r="C738" t="s">
        <v>18</v>
      </c>
      <c r="D738" t="str">
        <f t="shared" si="22"/>
        <v>20-Mar-2012</v>
      </c>
      <c r="E738">
        <v>40</v>
      </c>
      <c r="F738" s="13">
        <v>2376.7105000000001</v>
      </c>
      <c r="G738">
        <v>0.01</v>
      </c>
      <c r="H738" t="s">
        <v>19</v>
      </c>
      <c r="I738" s="13">
        <v>721.81</v>
      </c>
      <c r="J738">
        <v>65.989999999999995</v>
      </c>
      <c r="K738">
        <v>3.99</v>
      </c>
      <c r="L738" t="s">
        <v>184</v>
      </c>
      <c r="M738" t="s">
        <v>161</v>
      </c>
      <c r="N738" s="5" t="s">
        <v>161</v>
      </c>
      <c r="O738" t="s">
        <v>28</v>
      </c>
      <c r="P738" t="s">
        <v>29</v>
      </c>
      <c r="Q738" t="s">
        <v>30</v>
      </c>
      <c r="R738">
        <v>0.56999999999999995</v>
      </c>
      <c r="S738" s="1">
        <v>40988</v>
      </c>
      <c r="T738" t="str">
        <f t="shared" si="23"/>
        <v>20-Mar-2012</v>
      </c>
    </row>
    <row r="739" spans="1:20" x14ac:dyDescent="0.3">
      <c r="A739">
        <v>46052</v>
      </c>
      <c r="B739" s="1">
        <v>40140</v>
      </c>
      <c r="C739" t="s">
        <v>38</v>
      </c>
      <c r="D739" t="str">
        <f t="shared" si="22"/>
        <v>23-Nov-2009</v>
      </c>
      <c r="E739">
        <v>37</v>
      </c>
      <c r="F739" s="13">
        <v>2374.35</v>
      </c>
      <c r="G739">
        <v>0.05</v>
      </c>
      <c r="H739" t="s">
        <v>19</v>
      </c>
      <c r="I739" s="13">
        <v>878.21</v>
      </c>
      <c r="J739">
        <v>63.94</v>
      </c>
      <c r="K739">
        <v>14.48</v>
      </c>
      <c r="L739" t="s">
        <v>294</v>
      </c>
      <c r="M739" t="s">
        <v>161</v>
      </c>
      <c r="N739" s="5" t="s">
        <v>161</v>
      </c>
      <c r="O739" t="s">
        <v>28</v>
      </c>
      <c r="P739" t="s">
        <v>32</v>
      </c>
      <c r="Q739" t="s">
        <v>33</v>
      </c>
      <c r="R739">
        <v>0.46</v>
      </c>
      <c r="S739" s="1">
        <v>40142</v>
      </c>
      <c r="T739" t="str">
        <f t="shared" si="23"/>
        <v>25-Nov-2009</v>
      </c>
    </row>
    <row r="740" spans="1:20" x14ac:dyDescent="0.3">
      <c r="A740">
        <v>24643</v>
      </c>
      <c r="B740" s="1">
        <v>41028</v>
      </c>
      <c r="C740" t="s">
        <v>38</v>
      </c>
      <c r="D740" t="str">
        <f t="shared" si="22"/>
        <v>29-Apr-2012</v>
      </c>
      <c r="E740">
        <v>30</v>
      </c>
      <c r="F740" s="13">
        <v>2368.1680000000001</v>
      </c>
      <c r="G740">
        <v>0</v>
      </c>
      <c r="H740" t="s">
        <v>19</v>
      </c>
      <c r="I740" s="13">
        <v>1181.3</v>
      </c>
      <c r="J740">
        <v>85.99</v>
      </c>
      <c r="K740">
        <v>1.25</v>
      </c>
      <c r="L740" t="s">
        <v>299</v>
      </c>
      <c r="M740" t="s">
        <v>161</v>
      </c>
      <c r="N740" s="5" t="s">
        <v>161</v>
      </c>
      <c r="O740" t="s">
        <v>28</v>
      </c>
      <c r="P740" t="s">
        <v>29</v>
      </c>
      <c r="Q740" t="s">
        <v>30</v>
      </c>
      <c r="R740">
        <v>0.39</v>
      </c>
      <c r="S740" s="1">
        <v>41030</v>
      </c>
      <c r="T740" t="str">
        <f t="shared" si="23"/>
        <v>01-May-2012</v>
      </c>
    </row>
    <row r="741" spans="1:20" x14ac:dyDescent="0.3">
      <c r="A741">
        <v>11841</v>
      </c>
      <c r="B741" s="1">
        <v>40288</v>
      </c>
      <c r="C741" t="s">
        <v>38</v>
      </c>
      <c r="D741" t="str">
        <f t="shared" si="22"/>
        <v>20-Apr-2010</v>
      </c>
      <c r="E741">
        <v>44</v>
      </c>
      <c r="F741" s="13">
        <v>2339.52</v>
      </c>
      <c r="G741">
        <v>0.1</v>
      </c>
      <c r="H741" t="s">
        <v>19</v>
      </c>
      <c r="I741" s="13">
        <v>886.03</v>
      </c>
      <c r="J741">
        <v>54.96</v>
      </c>
      <c r="K741">
        <v>10.75</v>
      </c>
      <c r="L741" t="s">
        <v>194</v>
      </c>
      <c r="M741" t="s">
        <v>161</v>
      </c>
      <c r="N741" s="5" t="s">
        <v>161</v>
      </c>
      <c r="O741" t="s">
        <v>28</v>
      </c>
      <c r="P741" t="s">
        <v>21</v>
      </c>
      <c r="Q741" t="s">
        <v>37</v>
      </c>
      <c r="R741">
        <v>0.36</v>
      </c>
      <c r="S741" s="1">
        <v>40290</v>
      </c>
      <c r="T741" t="str">
        <f t="shared" si="23"/>
        <v>22-Apr-2010</v>
      </c>
    </row>
    <row r="742" spans="1:20" x14ac:dyDescent="0.3">
      <c r="A742">
        <v>42242</v>
      </c>
      <c r="B742" s="1">
        <v>39904</v>
      </c>
      <c r="C742" t="s">
        <v>31</v>
      </c>
      <c r="D742" t="str">
        <f t="shared" si="22"/>
        <v>01-Apr-2009</v>
      </c>
      <c r="E742">
        <v>23</v>
      </c>
      <c r="F742" s="13">
        <v>2287.1</v>
      </c>
      <c r="G742">
        <v>7.0000000000000007E-2</v>
      </c>
      <c r="H742" t="s">
        <v>19</v>
      </c>
      <c r="I742" s="13">
        <v>231.49</v>
      </c>
      <c r="J742">
        <v>99.99</v>
      </c>
      <c r="K742">
        <v>19.989999999999998</v>
      </c>
      <c r="L742" t="s">
        <v>212</v>
      </c>
      <c r="M742" t="s">
        <v>161</v>
      </c>
      <c r="N742" s="5" t="s">
        <v>161</v>
      </c>
      <c r="O742" t="s">
        <v>28</v>
      </c>
      <c r="P742" t="s">
        <v>29</v>
      </c>
      <c r="Q742" t="s">
        <v>74</v>
      </c>
      <c r="R742">
        <v>0.52</v>
      </c>
      <c r="S742" s="1">
        <v>39905</v>
      </c>
      <c r="T742" t="str">
        <f t="shared" si="23"/>
        <v>02-Apr-2009</v>
      </c>
    </row>
    <row r="743" spans="1:20" x14ac:dyDescent="0.3">
      <c r="A743">
        <v>33573</v>
      </c>
      <c r="B743" s="1">
        <v>40455</v>
      </c>
      <c r="C743" t="s">
        <v>43</v>
      </c>
      <c r="D743" t="str">
        <f t="shared" si="22"/>
        <v>04-Oct-2010</v>
      </c>
      <c r="E743">
        <v>15</v>
      </c>
      <c r="F743" s="13">
        <v>2272.56</v>
      </c>
      <c r="G743">
        <v>0.06</v>
      </c>
      <c r="H743" t="s">
        <v>24</v>
      </c>
      <c r="I743" s="13">
        <v>111.05</v>
      </c>
      <c r="J743">
        <v>150.97999999999999</v>
      </c>
      <c r="K743">
        <v>16.010000000000002</v>
      </c>
      <c r="L743" t="s">
        <v>298</v>
      </c>
      <c r="M743" t="s">
        <v>161</v>
      </c>
      <c r="N743" s="5" t="s">
        <v>161</v>
      </c>
      <c r="O743" t="s">
        <v>28</v>
      </c>
      <c r="P743" t="s">
        <v>32</v>
      </c>
      <c r="Q743" t="s">
        <v>46</v>
      </c>
      <c r="R743">
        <v>0.7</v>
      </c>
      <c r="S743" s="1">
        <v>40455</v>
      </c>
      <c r="T743" t="str">
        <f t="shared" si="23"/>
        <v>04-Oct-2010</v>
      </c>
    </row>
    <row r="744" spans="1:20" x14ac:dyDescent="0.3">
      <c r="A744">
        <v>53024</v>
      </c>
      <c r="B744" s="1">
        <v>41041</v>
      </c>
      <c r="C744" t="s">
        <v>31</v>
      </c>
      <c r="D744" t="str">
        <f t="shared" si="22"/>
        <v>12-May-2012</v>
      </c>
      <c r="E744">
        <v>46</v>
      </c>
      <c r="F744" s="13">
        <v>2255.1945000000001</v>
      </c>
      <c r="G744">
        <v>0.03</v>
      </c>
      <c r="H744" t="s">
        <v>19</v>
      </c>
      <c r="I744" s="13">
        <v>74.510000000000005</v>
      </c>
      <c r="J744">
        <v>55.99</v>
      </c>
      <c r="K744">
        <v>5</v>
      </c>
      <c r="L744" t="s">
        <v>175</v>
      </c>
      <c r="M744" t="s">
        <v>161</v>
      </c>
      <c r="N744" s="5" t="s">
        <v>161</v>
      </c>
      <c r="O744" t="s">
        <v>28</v>
      </c>
      <c r="P744" t="s">
        <v>29</v>
      </c>
      <c r="Q744" t="s">
        <v>30</v>
      </c>
      <c r="R744">
        <v>0.8</v>
      </c>
      <c r="S744" s="1">
        <v>41042</v>
      </c>
      <c r="T744" t="str">
        <f t="shared" si="23"/>
        <v>13-May-2012</v>
      </c>
    </row>
    <row r="745" spans="1:20" x14ac:dyDescent="0.3">
      <c r="A745">
        <v>38756</v>
      </c>
      <c r="B745" s="1">
        <v>39940</v>
      </c>
      <c r="C745" t="s">
        <v>43</v>
      </c>
      <c r="D745" t="str">
        <f t="shared" si="22"/>
        <v>07-May-2009</v>
      </c>
      <c r="E745">
        <v>43</v>
      </c>
      <c r="F745" s="13">
        <v>2251.4969999999998</v>
      </c>
      <c r="G745">
        <v>0.09</v>
      </c>
      <c r="H745" t="s">
        <v>35</v>
      </c>
      <c r="I745" s="13">
        <v>308.93</v>
      </c>
      <c r="J745">
        <v>65.989999999999995</v>
      </c>
      <c r="K745">
        <v>8.99</v>
      </c>
      <c r="L745" t="s">
        <v>306</v>
      </c>
      <c r="M745" t="s">
        <v>161</v>
      </c>
      <c r="N745" s="5" t="s">
        <v>161</v>
      </c>
      <c r="O745" t="s">
        <v>28</v>
      </c>
      <c r="P745" t="s">
        <v>29</v>
      </c>
      <c r="Q745" t="s">
        <v>30</v>
      </c>
      <c r="R745">
        <v>0.56000000000000005</v>
      </c>
      <c r="S745" s="1">
        <v>39942</v>
      </c>
      <c r="T745" t="str">
        <f t="shared" si="23"/>
        <v>09-May-2009</v>
      </c>
    </row>
    <row r="746" spans="1:20" x14ac:dyDescent="0.3">
      <c r="A746">
        <v>12261</v>
      </c>
      <c r="B746" s="1">
        <v>40474</v>
      </c>
      <c r="C746" t="s">
        <v>18</v>
      </c>
      <c r="D746" t="str">
        <f t="shared" si="22"/>
        <v>23-Oct-2010</v>
      </c>
      <c r="E746">
        <v>12</v>
      </c>
      <c r="F746" s="13">
        <v>2237.7600000000002</v>
      </c>
      <c r="G746">
        <v>0.1</v>
      </c>
      <c r="H746" t="s">
        <v>24</v>
      </c>
      <c r="I746" s="13">
        <v>151.86000000000001</v>
      </c>
      <c r="J746">
        <v>200.98</v>
      </c>
      <c r="K746">
        <v>23.76</v>
      </c>
      <c r="L746" t="s">
        <v>175</v>
      </c>
      <c r="M746" t="s">
        <v>161</v>
      </c>
      <c r="N746" s="5" t="s">
        <v>161</v>
      </c>
      <c r="O746" t="s">
        <v>28</v>
      </c>
      <c r="P746" t="s">
        <v>32</v>
      </c>
      <c r="Q746" t="s">
        <v>56</v>
      </c>
      <c r="R746">
        <v>0.57999999999999996</v>
      </c>
      <c r="S746" s="1">
        <v>40479</v>
      </c>
      <c r="T746" t="str">
        <f t="shared" si="23"/>
        <v>28-Oct-2010</v>
      </c>
    </row>
    <row r="747" spans="1:20" x14ac:dyDescent="0.3">
      <c r="A747">
        <v>34918</v>
      </c>
      <c r="B747" s="1">
        <v>40109</v>
      </c>
      <c r="C747" t="s">
        <v>38</v>
      </c>
      <c r="D747" t="str">
        <f t="shared" si="22"/>
        <v>23-Oct-2009</v>
      </c>
      <c r="E747">
        <v>12</v>
      </c>
      <c r="F747" s="13">
        <v>2230.9699999999998</v>
      </c>
      <c r="G747">
        <v>0.06</v>
      </c>
      <c r="H747" t="s">
        <v>24</v>
      </c>
      <c r="I747" s="13">
        <v>273.27</v>
      </c>
      <c r="J747">
        <v>180.98</v>
      </c>
      <c r="K747">
        <v>26.2</v>
      </c>
      <c r="L747" t="s">
        <v>207</v>
      </c>
      <c r="M747" t="s">
        <v>161</v>
      </c>
      <c r="N747" s="5" t="s">
        <v>161</v>
      </c>
      <c r="O747" t="s">
        <v>28</v>
      </c>
      <c r="P747" t="s">
        <v>32</v>
      </c>
      <c r="Q747" t="s">
        <v>56</v>
      </c>
      <c r="R747">
        <v>0.59</v>
      </c>
      <c r="S747" s="1">
        <v>40110</v>
      </c>
      <c r="T747" t="str">
        <f t="shared" si="23"/>
        <v>24-Oct-2009</v>
      </c>
    </row>
    <row r="748" spans="1:20" x14ac:dyDescent="0.3">
      <c r="A748">
        <v>17668</v>
      </c>
      <c r="B748" s="1">
        <v>40142</v>
      </c>
      <c r="C748" t="s">
        <v>38</v>
      </c>
      <c r="D748" t="str">
        <f t="shared" si="22"/>
        <v>25-Nov-2009</v>
      </c>
      <c r="E748">
        <v>13</v>
      </c>
      <c r="F748" s="13">
        <v>2219.7325000000001</v>
      </c>
      <c r="G748">
        <v>0.04</v>
      </c>
      <c r="H748" t="s">
        <v>35</v>
      </c>
      <c r="I748" s="13">
        <v>-69.78</v>
      </c>
      <c r="J748">
        <v>205.99</v>
      </c>
      <c r="K748">
        <v>5</v>
      </c>
      <c r="L748" t="s">
        <v>182</v>
      </c>
      <c r="M748" t="s">
        <v>161</v>
      </c>
      <c r="N748" s="5" t="s">
        <v>161</v>
      </c>
      <c r="O748" t="s">
        <v>28</v>
      </c>
      <c r="P748" t="s">
        <v>29</v>
      </c>
      <c r="Q748" t="s">
        <v>30</v>
      </c>
      <c r="R748">
        <v>0.59</v>
      </c>
      <c r="S748" s="1">
        <v>40143</v>
      </c>
      <c r="T748" t="str">
        <f t="shared" si="23"/>
        <v>26-Nov-2009</v>
      </c>
    </row>
    <row r="749" spans="1:20" x14ac:dyDescent="0.3">
      <c r="A749">
        <v>54339</v>
      </c>
      <c r="B749" s="1">
        <v>41031</v>
      </c>
      <c r="C749" t="s">
        <v>18</v>
      </c>
      <c r="D749" t="str">
        <f t="shared" si="22"/>
        <v>02-May-2012</v>
      </c>
      <c r="E749">
        <v>41</v>
      </c>
      <c r="F749" s="13">
        <v>2209.5155</v>
      </c>
      <c r="G749">
        <v>0.06</v>
      </c>
      <c r="H749" t="s">
        <v>19</v>
      </c>
      <c r="I749" s="13">
        <v>458.62</v>
      </c>
      <c r="J749">
        <v>65.989999999999995</v>
      </c>
      <c r="K749">
        <v>5.31</v>
      </c>
      <c r="L749" t="s">
        <v>187</v>
      </c>
      <c r="M749" t="s">
        <v>161</v>
      </c>
      <c r="N749" s="5" t="s">
        <v>161</v>
      </c>
      <c r="O749" t="s">
        <v>28</v>
      </c>
      <c r="P749" t="s">
        <v>29</v>
      </c>
      <c r="Q749" t="s">
        <v>30</v>
      </c>
      <c r="R749">
        <v>0.56999999999999995</v>
      </c>
      <c r="S749" s="1">
        <v>41036</v>
      </c>
      <c r="T749" t="str">
        <f t="shared" si="23"/>
        <v>07-May-2012</v>
      </c>
    </row>
    <row r="750" spans="1:20" x14ac:dyDescent="0.3">
      <c r="A750">
        <v>57699</v>
      </c>
      <c r="B750" s="1">
        <v>41223</v>
      </c>
      <c r="C750" t="s">
        <v>18</v>
      </c>
      <c r="D750" t="str">
        <f t="shared" si="22"/>
        <v>10-Nov-2012</v>
      </c>
      <c r="E750">
        <v>36</v>
      </c>
      <c r="F750" s="13">
        <v>2160.83</v>
      </c>
      <c r="G750">
        <v>0.08</v>
      </c>
      <c r="H750" t="s">
        <v>19</v>
      </c>
      <c r="I750" s="13">
        <v>485.02</v>
      </c>
      <c r="J750">
        <v>60.98</v>
      </c>
      <c r="K750">
        <v>19.989999999999998</v>
      </c>
      <c r="L750" t="s">
        <v>262</v>
      </c>
      <c r="M750" t="s">
        <v>161</v>
      </c>
      <c r="N750" s="5" t="s">
        <v>161</v>
      </c>
      <c r="O750" t="s">
        <v>28</v>
      </c>
      <c r="P750" t="s">
        <v>21</v>
      </c>
      <c r="Q750" t="s">
        <v>42</v>
      </c>
      <c r="R750">
        <v>0.38</v>
      </c>
      <c r="S750" s="1">
        <v>41227</v>
      </c>
      <c r="T750" t="str">
        <f t="shared" si="23"/>
        <v>14-Nov-2012</v>
      </c>
    </row>
    <row r="751" spans="1:20" x14ac:dyDescent="0.3">
      <c r="A751">
        <v>39078</v>
      </c>
      <c r="B751" s="1">
        <v>39987</v>
      </c>
      <c r="C751" t="s">
        <v>18</v>
      </c>
      <c r="D751" t="str">
        <f t="shared" si="22"/>
        <v>23-Jun-2009</v>
      </c>
      <c r="E751">
        <v>8</v>
      </c>
      <c r="F751" s="13">
        <v>2155.84</v>
      </c>
      <c r="G751">
        <v>0.02</v>
      </c>
      <c r="H751" t="s">
        <v>19</v>
      </c>
      <c r="I751" s="13">
        <v>-267.63</v>
      </c>
      <c r="J751">
        <v>256.99</v>
      </c>
      <c r="K751">
        <v>11.25</v>
      </c>
      <c r="L751" t="s">
        <v>297</v>
      </c>
      <c r="M751" t="s">
        <v>161</v>
      </c>
      <c r="N751" s="5" t="s">
        <v>161</v>
      </c>
      <c r="O751" t="s">
        <v>28</v>
      </c>
      <c r="P751" t="s">
        <v>29</v>
      </c>
      <c r="Q751" t="s">
        <v>41</v>
      </c>
      <c r="R751">
        <v>0.51</v>
      </c>
      <c r="S751" s="1">
        <v>39994</v>
      </c>
      <c r="T751" t="str">
        <f t="shared" si="23"/>
        <v>30-Jun-2009</v>
      </c>
    </row>
    <row r="752" spans="1:20" x14ac:dyDescent="0.3">
      <c r="A752">
        <v>42693</v>
      </c>
      <c r="B752" s="1">
        <v>39907</v>
      </c>
      <c r="C752" t="s">
        <v>23</v>
      </c>
      <c r="D752" t="str">
        <f t="shared" si="22"/>
        <v>04-Apr-2009</v>
      </c>
      <c r="E752">
        <v>33</v>
      </c>
      <c r="F752" s="13">
        <v>2118.2600000000002</v>
      </c>
      <c r="G752">
        <v>0.01</v>
      </c>
      <c r="H752" t="s">
        <v>19</v>
      </c>
      <c r="I752" s="13">
        <v>554.22</v>
      </c>
      <c r="J752">
        <v>59.76</v>
      </c>
      <c r="K752">
        <v>9.7100000000000009</v>
      </c>
      <c r="L752" t="s">
        <v>313</v>
      </c>
      <c r="M752" t="s">
        <v>161</v>
      </c>
      <c r="N752" s="5" t="s">
        <v>161</v>
      </c>
      <c r="O752" t="s">
        <v>28</v>
      </c>
      <c r="P752" t="s">
        <v>21</v>
      </c>
      <c r="Q752" t="s">
        <v>22</v>
      </c>
      <c r="R752">
        <v>0.56999999999999995</v>
      </c>
      <c r="S752" s="1">
        <v>39909</v>
      </c>
      <c r="T752" t="str">
        <f t="shared" si="23"/>
        <v>06-Apr-2009</v>
      </c>
    </row>
    <row r="753" spans="1:20" x14ac:dyDescent="0.3">
      <c r="A753">
        <v>12452</v>
      </c>
      <c r="B753" s="1">
        <v>40519</v>
      </c>
      <c r="C753" t="s">
        <v>38</v>
      </c>
      <c r="D753" t="str">
        <f t="shared" si="22"/>
        <v>07-Dec-2010</v>
      </c>
      <c r="E753">
        <v>38</v>
      </c>
      <c r="F753" s="13">
        <v>2063.42</v>
      </c>
      <c r="G753">
        <v>0.03</v>
      </c>
      <c r="H753" t="s">
        <v>19</v>
      </c>
      <c r="I753" s="13">
        <v>989.95</v>
      </c>
      <c r="J753">
        <v>55.98</v>
      </c>
      <c r="K753">
        <v>5.15</v>
      </c>
      <c r="L753" t="s">
        <v>169</v>
      </c>
      <c r="M753" t="s">
        <v>161</v>
      </c>
      <c r="N753" s="5" t="s">
        <v>161</v>
      </c>
      <c r="O753" t="s">
        <v>28</v>
      </c>
      <c r="P753" t="s">
        <v>21</v>
      </c>
      <c r="Q753" t="s">
        <v>37</v>
      </c>
      <c r="R753">
        <v>0.36</v>
      </c>
      <c r="S753" s="1">
        <v>40521</v>
      </c>
      <c r="T753" t="str">
        <f t="shared" si="23"/>
        <v>09-Dec-2010</v>
      </c>
    </row>
    <row r="754" spans="1:20" x14ac:dyDescent="0.3">
      <c r="A754">
        <v>22688</v>
      </c>
      <c r="B754" s="1">
        <v>41016</v>
      </c>
      <c r="C754" t="s">
        <v>38</v>
      </c>
      <c r="D754" t="str">
        <f t="shared" si="22"/>
        <v>17-Apr-2012</v>
      </c>
      <c r="E754">
        <v>40</v>
      </c>
      <c r="F754" s="13">
        <v>2044.2755</v>
      </c>
      <c r="G754">
        <v>0.1</v>
      </c>
      <c r="H754" t="s">
        <v>19</v>
      </c>
      <c r="I754" s="13">
        <v>334.53</v>
      </c>
      <c r="J754">
        <v>65.989999999999995</v>
      </c>
      <c r="K754">
        <v>5.63</v>
      </c>
      <c r="L754" t="s">
        <v>303</v>
      </c>
      <c r="M754" t="s">
        <v>161</v>
      </c>
      <c r="N754" s="5" t="s">
        <v>161</v>
      </c>
      <c r="O754" t="s">
        <v>28</v>
      </c>
      <c r="P754" t="s">
        <v>29</v>
      </c>
      <c r="Q754" t="s">
        <v>30</v>
      </c>
      <c r="R754">
        <v>0.56000000000000005</v>
      </c>
      <c r="S754" s="1">
        <v>41017</v>
      </c>
      <c r="T754" t="str">
        <f t="shared" si="23"/>
        <v>18-Apr-2012</v>
      </c>
    </row>
    <row r="755" spans="1:20" x14ac:dyDescent="0.3">
      <c r="A755">
        <v>230</v>
      </c>
      <c r="B755" s="1">
        <v>40477</v>
      </c>
      <c r="C755" t="s">
        <v>43</v>
      </c>
      <c r="D755" t="str">
        <f t="shared" si="22"/>
        <v>26-Oct-2010</v>
      </c>
      <c r="E755">
        <v>47</v>
      </c>
      <c r="F755" s="13">
        <v>2029.75</v>
      </c>
      <c r="G755">
        <v>0.06</v>
      </c>
      <c r="H755" t="s">
        <v>19</v>
      </c>
      <c r="I755" s="13">
        <v>320.37</v>
      </c>
      <c r="J755">
        <v>43.98</v>
      </c>
      <c r="K755">
        <v>8.99</v>
      </c>
      <c r="L755" t="s">
        <v>182</v>
      </c>
      <c r="M755" t="s">
        <v>161</v>
      </c>
      <c r="N755" s="5" t="s">
        <v>161</v>
      </c>
      <c r="O755" t="s">
        <v>28</v>
      </c>
      <c r="P755" t="s">
        <v>21</v>
      </c>
      <c r="Q755" t="s">
        <v>50</v>
      </c>
      <c r="R755">
        <v>0.57999999999999996</v>
      </c>
      <c r="S755" s="1">
        <v>40479</v>
      </c>
      <c r="T755" t="str">
        <f t="shared" si="23"/>
        <v>28-Oct-2010</v>
      </c>
    </row>
    <row r="756" spans="1:20" x14ac:dyDescent="0.3">
      <c r="A756">
        <v>58851</v>
      </c>
      <c r="B756" s="1">
        <v>40336</v>
      </c>
      <c r="C756" t="s">
        <v>18</v>
      </c>
      <c r="D756" t="str">
        <f t="shared" si="22"/>
        <v>07-Jun-2010</v>
      </c>
      <c r="E756">
        <v>14</v>
      </c>
      <c r="F756" s="13">
        <v>2027.55</v>
      </c>
      <c r="G756">
        <v>0.04</v>
      </c>
      <c r="H756" t="s">
        <v>19</v>
      </c>
      <c r="I756" s="13">
        <v>537.4</v>
      </c>
      <c r="J756">
        <v>140.99</v>
      </c>
      <c r="K756">
        <v>13.99</v>
      </c>
      <c r="L756" t="s">
        <v>187</v>
      </c>
      <c r="M756" t="s">
        <v>161</v>
      </c>
      <c r="N756" s="5" t="s">
        <v>161</v>
      </c>
      <c r="O756" t="s">
        <v>28</v>
      </c>
      <c r="P756" t="s">
        <v>29</v>
      </c>
      <c r="Q756" t="s">
        <v>74</v>
      </c>
      <c r="R756">
        <v>0.37</v>
      </c>
      <c r="S756" s="1">
        <v>40343</v>
      </c>
      <c r="T756" t="str">
        <f t="shared" si="23"/>
        <v>14-Jun-2010</v>
      </c>
    </row>
    <row r="757" spans="1:20" x14ac:dyDescent="0.3">
      <c r="A757">
        <v>45635</v>
      </c>
      <c r="B757" s="1">
        <v>41006</v>
      </c>
      <c r="C757" t="s">
        <v>18</v>
      </c>
      <c r="D757" t="str">
        <f t="shared" si="22"/>
        <v>07-Apr-2012</v>
      </c>
      <c r="E757">
        <v>50</v>
      </c>
      <c r="F757" s="13">
        <v>2018.68</v>
      </c>
      <c r="G757">
        <v>0.1</v>
      </c>
      <c r="H757" t="s">
        <v>19</v>
      </c>
      <c r="I757" s="13">
        <v>731.72</v>
      </c>
      <c r="J757">
        <v>43.98</v>
      </c>
      <c r="K757">
        <v>1.99</v>
      </c>
      <c r="L757" t="s">
        <v>307</v>
      </c>
      <c r="M757" t="s">
        <v>161</v>
      </c>
      <c r="N757" s="5" t="s">
        <v>161</v>
      </c>
      <c r="O757" t="s">
        <v>28</v>
      </c>
      <c r="P757" t="s">
        <v>29</v>
      </c>
      <c r="Q757" t="s">
        <v>41</v>
      </c>
      <c r="R757">
        <v>0.44</v>
      </c>
      <c r="S757" s="1">
        <v>41015</v>
      </c>
      <c r="T757" t="str">
        <f t="shared" si="23"/>
        <v>16-Apr-2012</v>
      </c>
    </row>
    <row r="758" spans="1:20" x14ac:dyDescent="0.3">
      <c r="A758">
        <v>23489</v>
      </c>
      <c r="B758" s="1">
        <v>41149</v>
      </c>
      <c r="C758" t="s">
        <v>23</v>
      </c>
      <c r="D758" t="str">
        <f t="shared" si="22"/>
        <v>28-Aug-2012</v>
      </c>
      <c r="E758">
        <v>42</v>
      </c>
      <c r="F758" s="13">
        <v>2004.6</v>
      </c>
      <c r="G758">
        <v>0.02</v>
      </c>
      <c r="H758" t="s">
        <v>35</v>
      </c>
      <c r="I758" s="13">
        <v>230.3</v>
      </c>
      <c r="J758">
        <v>47.98</v>
      </c>
      <c r="K758">
        <v>3.61</v>
      </c>
      <c r="L758" t="s">
        <v>175</v>
      </c>
      <c r="M758" t="s">
        <v>161</v>
      </c>
      <c r="N758" s="5" t="s">
        <v>161</v>
      </c>
      <c r="O758" t="s">
        <v>28</v>
      </c>
      <c r="P758" t="s">
        <v>29</v>
      </c>
      <c r="Q758" t="s">
        <v>41</v>
      </c>
      <c r="R758">
        <v>0.71</v>
      </c>
      <c r="S758" s="1">
        <v>41149</v>
      </c>
      <c r="T758" t="str">
        <f t="shared" si="23"/>
        <v>28-Aug-2012</v>
      </c>
    </row>
    <row r="759" spans="1:20" x14ac:dyDescent="0.3">
      <c r="A759">
        <v>14695</v>
      </c>
      <c r="B759" s="1">
        <v>41157</v>
      </c>
      <c r="C759" t="s">
        <v>23</v>
      </c>
      <c r="D759" t="str">
        <f t="shared" si="22"/>
        <v>05-Sep-2012</v>
      </c>
      <c r="E759">
        <v>40</v>
      </c>
      <c r="F759" s="13">
        <v>1992.45</v>
      </c>
      <c r="G759">
        <v>0.05</v>
      </c>
      <c r="H759" t="s">
        <v>24</v>
      </c>
      <c r="I759" s="13">
        <v>-1609.92</v>
      </c>
      <c r="J759">
        <v>48.58</v>
      </c>
      <c r="K759">
        <v>54.11</v>
      </c>
      <c r="L759" t="s">
        <v>185</v>
      </c>
      <c r="M759" t="s">
        <v>161</v>
      </c>
      <c r="N759" s="5" t="s">
        <v>161</v>
      </c>
      <c r="O759" t="s">
        <v>28</v>
      </c>
      <c r="P759" t="s">
        <v>32</v>
      </c>
      <c r="Q759" t="s">
        <v>45</v>
      </c>
      <c r="R759">
        <v>0.69</v>
      </c>
      <c r="S759" s="1">
        <v>41158</v>
      </c>
      <c r="T759" t="str">
        <f t="shared" si="23"/>
        <v>06-Sep-2012</v>
      </c>
    </row>
    <row r="760" spans="1:20" x14ac:dyDescent="0.3">
      <c r="A760">
        <v>40647</v>
      </c>
      <c r="B760" s="1">
        <v>40042</v>
      </c>
      <c r="C760" t="s">
        <v>23</v>
      </c>
      <c r="D760" t="str">
        <f t="shared" si="22"/>
        <v>17-Aug-2009</v>
      </c>
      <c r="E760">
        <v>47</v>
      </c>
      <c r="F760" s="13">
        <v>1982.16</v>
      </c>
      <c r="G760">
        <v>0.03</v>
      </c>
      <c r="H760" t="s">
        <v>19</v>
      </c>
      <c r="I760" s="13">
        <v>267.10000000000002</v>
      </c>
      <c r="J760">
        <v>40.99</v>
      </c>
      <c r="K760">
        <v>19.989999999999998</v>
      </c>
      <c r="L760" t="s">
        <v>200</v>
      </c>
      <c r="M760" t="s">
        <v>161</v>
      </c>
      <c r="N760" s="5" t="s">
        <v>161</v>
      </c>
      <c r="O760" t="s">
        <v>28</v>
      </c>
      <c r="P760" t="s">
        <v>21</v>
      </c>
      <c r="Q760" t="s">
        <v>37</v>
      </c>
      <c r="R760">
        <v>0.36</v>
      </c>
      <c r="S760" s="1">
        <v>40043</v>
      </c>
      <c r="T760" t="str">
        <f t="shared" si="23"/>
        <v>18-Aug-2009</v>
      </c>
    </row>
    <row r="761" spans="1:20" x14ac:dyDescent="0.3">
      <c r="A761">
        <v>24707</v>
      </c>
      <c r="B761" s="1">
        <v>40978</v>
      </c>
      <c r="C761" t="s">
        <v>38</v>
      </c>
      <c r="D761" t="str">
        <f t="shared" si="22"/>
        <v>10-Mar-2012</v>
      </c>
      <c r="E761">
        <v>14</v>
      </c>
      <c r="F761" s="13">
        <v>1961.39</v>
      </c>
      <c r="G761">
        <v>0</v>
      </c>
      <c r="H761" t="s">
        <v>19</v>
      </c>
      <c r="I761" s="13">
        <v>761.04</v>
      </c>
      <c r="J761">
        <v>136.97999999999999</v>
      </c>
      <c r="K761">
        <v>24.49</v>
      </c>
      <c r="L761" t="s">
        <v>304</v>
      </c>
      <c r="M761" t="s">
        <v>161</v>
      </c>
      <c r="N761" s="5" t="s">
        <v>161</v>
      </c>
      <c r="O761" t="s">
        <v>28</v>
      </c>
      <c r="P761" t="s">
        <v>32</v>
      </c>
      <c r="Q761" t="s">
        <v>33</v>
      </c>
      <c r="R761">
        <v>0.59</v>
      </c>
      <c r="S761" s="1">
        <v>40979</v>
      </c>
      <c r="T761" t="str">
        <f t="shared" si="23"/>
        <v>11-Mar-2012</v>
      </c>
    </row>
    <row r="762" spans="1:20" x14ac:dyDescent="0.3">
      <c r="A762">
        <v>17956</v>
      </c>
      <c r="B762" s="1">
        <v>40395</v>
      </c>
      <c r="C762" t="s">
        <v>43</v>
      </c>
      <c r="D762" t="str">
        <f t="shared" si="22"/>
        <v>05-Aug-2010</v>
      </c>
      <c r="E762">
        <v>17</v>
      </c>
      <c r="F762" s="13">
        <v>1914.65</v>
      </c>
      <c r="G762">
        <v>0.01</v>
      </c>
      <c r="H762" t="s">
        <v>19</v>
      </c>
      <c r="I762" s="13">
        <v>73.45</v>
      </c>
      <c r="J762">
        <v>111.03</v>
      </c>
      <c r="K762">
        <v>8.64</v>
      </c>
      <c r="L762" t="s">
        <v>184</v>
      </c>
      <c r="M762" t="s">
        <v>161</v>
      </c>
      <c r="N762" s="5" t="s">
        <v>161</v>
      </c>
      <c r="O762" t="s">
        <v>28</v>
      </c>
      <c r="P762" t="s">
        <v>21</v>
      </c>
      <c r="Q762" t="s">
        <v>22</v>
      </c>
      <c r="R762">
        <v>0.78</v>
      </c>
      <c r="S762" s="1">
        <v>40396</v>
      </c>
      <c r="T762" t="str">
        <f t="shared" si="23"/>
        <v>06-Aug-2010</v>
      </c>
    </row>
    <row r="763" spans="1:20" x14ac:dyDescent="0.3">
      <c r="A763">
        <v>52930</v>
      </c>
      <c r="B763" s="1">
        <v>40855</v>
      </c>
      <c r="C763" t="s">
        <v>18</v>
      </c>
      <c r="D763" t="str">
        <f t="shared" si="22"/>
        <v>08-Nov-2011</v>
      </c>
      <c r="E763">
        <v>40</v>
      </c>
      <c r="F763" s="13">
        <v>1865.5885000000001</v>
      </c>
      <c r="G763">
        <v>0.02</v>
      </c>
      <c r="H763" t="s">
        <v>19</v>
      </c>
      <c r="I763" s="13">
        <v>972.9</v>
      </c>
      <c r="J763">
        <v>55.99</v>
      </c>
      <c r="K763">
        <v>1.25</v>
      </c>
      <c r="L763" t="s">
        <v>118</v>
      </c>
      <c r="M763" t="s">
        <v>161</v>
      </c>
      <c r="N763" s="5" t="s">
        <v>161</v>
      </c>
      <c r="O763" t="s">
        <v>28</v>
      </c>
      <c r="P763" t="s">
        <v>29</v>
      </c>
      <c r="Q763" t="s">
        <v>30</v>
      </c>
      <c r="R763">
        <v>0.35</v>
      </c>
      <c r="S763" s="1">
        <v>40855</v>
      </c>
      <c r="T763" t="str">
        <f t="shared" si="23"/>
        <v>08-Nov-2011</v>
      </c>
    </row>
    <row r="764" spans="1:20" x14ac:dyDescent="0.3">
      <c r="A764">
        <v>15718</v>
      </c>
      <c r="B764" s="1">
        <v>39840</v>
      </c>
      <c r="C764" t="s">
        <v>43</v>
      </c>
      <c r="D764" t="str">
        <f t="shared" si="22"/>
        <v>27-Jan-2009</v>
      </c>
      <c r="E764">
        <v>41</v>
      </c>
      <c r="F764" s="13">
        <v>1863.02</v>
      </c>
      <c r="G764">
        <v>0.03</v>
      </c>
      <c r="H764" t="s">
        <v>19</v>
      </c>
      <c r="I764" s="13">
        <v>360.63</v>
      </c>
      <c r="J764">
        <v>43.98</v>
      </c>
      <c r="K764">
        <v>8.99</v>
      </c>
      <c r="L764" t="s">
        <v>171</v>
      </c>
      <c r="M764" t="s">
        <v>161</v>
      </c>
      <c r="N764" s="5" t="s">
        <v>161</v>
      </c>
      <c r="O764" t="s">
        <v>28</v>
      </c>
      <c r="P764" t="s">
        <v>21</v>
      </c>
      <c r="Q764" t="s">
        <v>50</v>
      </c>
      <c r="R764">
        <v>0.57999999999999996</v>
      </c>
      <c r="S764" s="1">
        <v>39842</v>
      </c>
      <c r="T764" t="str">
        <f t="shared" si="23"/>
        <v>29-Jan-2009</v>
      </c>
    </row>
    <row r="765" spans="1:20" x14ac:dyDescent="0.3">
      <c r="A765">
        <v>57699</v>
      </c>
      <c r="B765" s="1">
        <v>41223</v>
      </c>
      <c r="C765" t="s">
        <v>18</v>
      </c>
      <c r="D765" t="str">
        <f t="shared" si="22"/>
        <v>10-Nov-2012</v>
      </c>
      <c r="E765">
        <v>47</v>
      </c>
      <c r="F765" s="13">
        <v>1857.88</v>
      </c>
      <c r="G765">
        <v>0.09</v>
      </c>
      <c r="H765" t="s">
        <v>19</v>
      </c>
      <c r="I765" s="13">
        <v>752.96</v>
      </c>
      <c r="J765">
        <v>40.98</v>
      </c>
      <c r="K765">
        <v>1.99</v>
      </c>
      <c r="L765" t="s">
        <v>262</v>
      </c>
      <c r="M765" t="s">
        <v>161</v>
      </c>
      <c r="N765" s="5" t="s">
        <v>161</v>
      </c>
      <c r="O765" t="s">
        <v>28</v>
      </c>
      <c r="P765" t="s">
        <v>29</v>
      </c>
      <c r="Q765" t="s">
        <v>41</v>
      </c>
      <c r="R765">
        <v>0.44</v>
      </c>
      <c r="S765" s="1">
        <v>41228</v>
      </c>
      <c r="T765" t="str">
        <f t="shared" si="23"/>
        <v>15-Nov-2012</v>
      </c>
    </row>
    <row r="766" spans="1:20" x14ac:dyDescent="0.3">
      <c r="A766">
        <v>40965</v>
      </c>
      <c r="B766" s="1">
        <v>40137</v>
      </c>
      <c r="C766" t="s">
        <v>38</v>
      </c>
      <c r="D766" t="str">
        <f t="shared" si="22"/>
        <v>20-Nov-2009</v>
      </c>
      <c r="E766">
        <v>39</v>
      </c>
      <c r="F766" s="13">
        <v>1836.1869999999999</v>
      </c>
      <c r="G766">
        <v>0.06</v>
      </c>
      <c r="H766" t="s">
        <v>19</v>
      </c>
      <c r="I766" s="13">
        <v>-139.84</v>
      </c>
      <c r="J766">
        <v>55.99</v>
      </c>
      <c r="K766">
        <v>5</v>
      </c>
      <c r="L766" t="s">
        <v>129</v>
      </c>
      <c r="M766" t="s">
        <v>161</v>
      </c>
      <c r="N766" s="5" t="s">
        <v>161</v>
      </c>
      <c r="O766" t="s">
        <v>28</v>
      </c>
      <c r="P766" t="s">
        <v>29</v>
      </c>
      <c r="Q766" t="s">
        <v>30</v>
      </c>
      <c r="R766">
        <v>0.83</v>
      </c>
      <c r="S766" s="1">
        <v>40139</v>
      </c>
      <c r="T766" t="str">
        <f t="shared" si="23"/>
        <v>22-Nov-2009</v>
      </c>
    </row>
    <row r="767" spans="1:20" x14ac:dyDescent="0.3">
      <c r="A767">
        <v>57570</v>
      </c>
      <c r="B767" s="1">
        <v>41180</v>
      </c>
      <c r="C767" t="s">
        <v>23</v>
      </c>
      <c r="D767" t="str">
        <f t="shared" si="22"/>
        <v>28-Sep-2012</v>
      </c>
      <c r="E767">
        <v>27</v>
      </c>
      <c r="F767" s="13">
        <v>1823.04</v>
      </c>
      <c r="G767">
        <v>0.09</v>
      </c>
      <c r="H767" t="s">
        <v>24</v>
      </c>
      <c r="I767" s="13">
        <v>-190.78</v>
      </c>
      <c r="J767">
        <v>70.98</v>
      </c>
      <c r="K767">
        <v>26.74</v>
      </c>
      <c r="L767" t="s">
        <v>177</v>
      </c>
      <c r="M767" t="s">
        <v>161</v>
      </c>
      <c r="N767" s="5" t="s">
        <v>161</v>
      </c>
      <c r="O767" t="s">
        <v>28</v>
      </c>
      <c r="P767" t="s">
        <v>32</v>
      </c>
      <c r="Q767" t="s">
        <v>45</v>
      </c>
      <c r="R767">
        <v>0.6</v>
      </c>
      <c r="S767" s="1">
        <v>41182</v>
      </c>
      <c r="T767" t="str">
        <f t="shared" si="23"/>
        <v>30-Sep-2012</v>
      </c>
    </row>
    <row r="768" spans="1:20" x14ac:dyDescent="0.3">
      <c r="A768">
        <v>20451</v>
      </c>
      <c r="B768" s="1">
        <v>41054</v>
      </c>
      <c r="C768" t="s">
        <v>43</v>
      </c>
      <c r="D768" t="str">
        <f t="shared" si="22"/>
        <v>25-May-2012</v>
      </c>
      <c r="E768">
        <v>33</v>
      </c>
      <c r="F768" s="13">
        <v>1809.21</v>
      </c>
      <c r="G768">
        <v>0.04</v>
      </c>
      <c r="H768" t="s">
        <v>19</v>
      </c>
      <c r="I768" s="13">
        <v>454.49</v>
      </c>
      <c r="J768">
        <v>55.29</v>
      </c>
      <c r="K768">
        <v>5.08</v>
      </c>
      <c r="L768" t="s">
        <v>294</v>
      </c>
      <c r="M768" t="s">
        <v>161</v>
      </c>
      <c r="N768" s="5" t="s">
        <v>161</v>
      </c>
      <c r="O768" t="s">
        <v>28</v>
      </c>
      <c r="P768" t="s">
        <v>21</v>
      </c>
      <c r="Q768" t="s">
        <v>22</v>
      </c>
      <c r="R768">
        <v>0.59</v>
      </c>
      <c r="S768" s="1">
        <v>41056</v>
      </c>
      <c r="T768" t="str">
        <f t="shared" si="23"/>
        <v>27-May-2012</v>
      </c>
    </row>
    <row r="769" spans="1:20" x14ac:dyDescent="0.3">
      <c r="A769">
        <v>26661</v>
      </c>
      <c r="B769" s="1">
        <v>41262</v>
      </c>
      <c r="C769" t="s">
        <v>38</v>
      </c>
      <c r="D769" t="str">
        <f t="shared" si="22"/>
        <v>19-Dec-2012</v>
      </c>
      <c r="E769">
        <v>31</v>
      </c>
      <c r="F769" s="13">
        <v>1772.2245</v>
      </c>
      <c r="G769">
        <v>0.02</v>
      </c>
      <c r="H769" t="s">
        <v>19</v>
      </c>
      <c r="I769" s="13">
        <v>390.86</v>
      </c>
      <c r="J769">
        <v>65.989999999999995</v>
      </c>
      <c r="K769">
        <v>4.99</v>
      </c>
      <c r="L769" t="s">
        <v>201</v>
      </c>
      <c r="M769" t="s">
        <v>161</v>
      </c>
      <c r="N769" s="5" t="s">
        <v>161</v>
      </c>
      <c r="O769" t="s">
        <v>28</v>
      </c>
      <c r="P769" t="s">
        <v>29</v>
      </c>
      <c r="Q769" t="s">
        <v>30</v>
      </c>
      <c r="R769">
        <v>0.56999999999999995</v>
      </c>
      <c r="S769" s="1">
        <v>41263</v>
      </c>
      <c r="T769" t="str">
        <f t="shared" si="23"/>
        <v>20-Dec-2012</v>
      </c>
    </row>
    <row r="770" spans="1:20" x14ac:dyDescent="0.3">
      <c r="A770">
        <v>35012</v>
      </c>
      <c r="B770" s="1">
        <v>41068</v>
      </c>
      <c r="C770" t="s">
        <v>38</v>
      </c>
      <c r="D770" t="str">
        <f t="shared" ref="D770:D833" si="24">TEXT(B770, "dd-mmm-yyyy" )</f>
        <v>08-Jun-2012</v>
      </c>
      <c r="E770">
        <v>11</v>
      </c>
      <c r="F770" s="13">
        <v>1770.2014999999999</v>
      </c>
      <c r="G770">
        <v>0.08</v>
      </c>
      <c r="H770" t="s">
        <v>19</v>
      </c>
      <c r="I770" s="13">
        <v>-165.95</v>
      </c>
      <c r="J770">
        <v>195.99</v>
      </c>
      <c r="K770">
        <v>4.2</v>
      </c>
      <c r="L770" t="s">
        <v>212</v>
      </c>
      <c r="M770" t="s">
        <v>161</v>
      </c>
      <c r="N770" s="5" t="s">
        <v>161</v>
      </c>
      <c r="O770" t="s">
        <v>28</v>
      </c>
      <c r="P770" t="s">
        <v>29</v>
      </c>
      <c r="Q770" t="s">
        <v>30</v>
      </c>
      <c r="R770">
        <v>0.56000000000000005</v>
      </c>
      <c r="S770" s="1">
        <v>41069</v>
      </c>
      <c r="T770" t="str">
        <f t="shared" ref="T770:T833" si="25">TEXT(S770, "dd-mmm-yyyy")</f>
        <v>09-Jun-2012</v>
      </c>
    </row>
    <row r="771" spans="1:20" x14ac:dyDescent="0.3">
      <c r="A771">
        <v>10470</v>
      </c>
      <c r="B771" s="1">
        <v>41033</v>
      </c>
      <c r="C771" t="s">
        <v>18</v>
      </c>
      <c r="D771" t="str">
        <f t="shared" si="24"/>
        <v>04-May-2012</v>
      </c>
      <c r="E771">
        <v>40</v>
      </c>
      <c r="F771" s="13">
        <v>1757.43</v>
      </c>
      <c r="G771">
        <v>0.02</v>
      </c>
      <c r="H771" t="s">
        <v>35</v>
      </c>
      <c r="I771" s="13">
        <v>490.77</v>
      </c>
      <c r="J771">
        <v>44.01</v>
      </c>
      <c r="K771">
        <v>3.5</v>
      </c>
      <c r="L771" t="s">
        <v>296</v>
      </c>
      <c r="M771" t="s">
        <v>161</v>
      </c>
      <c r="N771" s="5" t="s">
        <v>161</v>
      </c>
      <c r="O771" t="s">
        <v>28</v>
      </c>
      <c r="P771" t="s">
        <v>21</v>
      </c>
      <c r="Q771" t="s">
        <v>25</v>
      </c>
      <c r="R771">
        <v>0.59</v>
      </c>
      <c r="S771" s="1">
        <v>41035</v>
      </c>
      <c r="T771" t="str">
        <f t="shared" si="25"/>
        <v>06-May-2012</v>
      </c>
    </row>
    <row r="772" spans="1:20" x14ac:dyDescent="0.3">
      <c r="A772">
        <v>22950</v>
      </c>
      <c r="B772" s="1">
        <v>40898</v>
      </c>
      <c r="C772" t="s">
        <v>18</v>
      </c>
      <c r="D772" t="str">
        <f t="shared" si="24"/>
        <v>21-Dec-2011</v>
      </c>
      <c r="E772">
        <v>29</v>
      </c>
      <c r="F772" s="13">
        <v>1756.11</v>
      </c>
      <c r="G772">
        <v>0.1</v>
      </c>
      <c r="H772" t="s">
        <v>19</v>
      </c>
      <c r="I772" s="13">
        <v>-888.07</v>
      </c>
      <c r="J772">
        <v>64.650000000000006</v>
      </c>
      <c r="K772">
        <v>35</v>
      </c>
      <c r="L772" t="s">
        <v>204</v>
      </c>
      <c r="M772" t="s">
        <v>161</v>
      </c>
      <c r="N772" s="5" t="s">
        <v>161</v>
      </c>
      <c r="O772" t="s">
        <v>28</v>
      </c>
      <c r="P772" t="s">
        <v>21</v>
      </c>
      <c r="Q772" t="s">
        <v>22</v>
      </c>
      <c r="R772">
        <v>0.8</v>
      </c>
      <c r="S772" s="1">
        <v>40905</v>
      </c>
      <c r="T772" t="str">
        <f t="shared" si="25"/>
        <v>28-Dec-2011</v>
      </c>
    </row>
    <row r="773" spans="1:20" x14ac:dyDescent="0.3">
      <c r="A773">
        <v>16771</v>
      </c>
      <c r="B773" s="1">
        <v>40084</v>
      </c>
      <c r="C773" t="s">
        <v>23</v>
      </c>
      <c r="D773" t="str">
        <f t="shared" si="24"/>
        <v>28-Sep-2009</v>
      </c>
      <c r="E773">
        <v>42</v>
      </c>
      <c r="F773" s="13">
        <v>1737.06</v>
      </c>
      <c r="G773">
        <v>0.02</v>
      </c>
      <c r="H773" t="s">
        <v>19</v>
      </c>
      <c r="I773" s="13">
        <v>339.17</v>
      </c>
      <c r="J773">
        <v>39.979999999999997</v>
      </c>
      <c r="K773">
        <v>9.1999999999999993</v>
      </c>
      <c r="L773" t="s">
        <v>196</v>
      </c>
      <c r="M773" t="s">
        <v>161</v>
      </c>
      <c r="N773" s="5" t="s">
        <v>161</v>
      </c>
      <c r="O773" t="s">
        <v>28</v>
      </c>
      <c r="P773" t="s">
        <v>32</v>
      </c>
      <c r="Q773" t="s">
        <v>33</v>
      </c>
      <c r="R773">
        <v>0.65</v>
      </c>
      <c r="S773" s="1">
        <v>40086</v>
      </c>
      <c r="T773" t="str">
        <f t="shared" si="25"/>
        <v>30-Sep-2009</v>
      </c>
    </row>
    <row r="774" spans="1:20" x14ac:dyDescent="0.3">
      <c r="A774">
        <v>33319</v>
      </c>
      <c r="B774" s="1">
        <v>39899</v>
      </c>
      <c r="C774" t="s">
        <v>31</v>
      </c>
      <c r="D774" t="str">
        <f t="shared" si="24"/>
        <v>27-Mar-2009</v>
      </c>
      <c r="E774">
        <v>11</v>
      </c>
      <c r="F774" s="13">
        <v>1736.26</v>
      </c>
      <c r="G774">
        <v>0.01</v>
      </c>
      <c r="H774" t="s">
        <v>24</v>
      </c>
      <c r="I774" s="13">
        <v>-505.76</v>
      </c>
      <c r="J774">
        <v>150.88999999999999</v>
      </c>
      <c r="K774">
        <v>60.2</v>
      </c>
      <c r="L774" t="s">
        <v>304</v>
      </c>
      <c r="M774" t="s">
        <v>161</v>
      </c>
      <c r="N774" s="5" t="s">
        <v>161</v>
      </c>
      <c r="O774" t="s">
        <v>28</v>
      </c>
      <c r="P774" t="s">
        <v>32</v>
      </c>
      <c r="Q774" t="s">
        <v>56</v>
      </c>
      <c r="R774">
        <v>0.77</v>
      </c>
      <c r="S774" s="1">
        <v>39902</v>
      </c>
      <c r="T774" t="str">
        <f t="shared" si="25"/>
        <v>30-Mar-2009</v>
      </c>
    </row>
    <row r="775" spans="1:20" x14ac:dyDescent="0.3">
      <c r="A775">
        <v>9350</v>
      </c>
      <c r="B775" s="1">
        <v>41213</v>
      </c>
      <c r="C775" t="s">
        <v>43</v>
      </c>
      <c r="D775" t="str">
        <f t="shared" si="24"/>
        <v>31-Oct-2012</v>
      </c>
      <c r="E775">
        <v>13</v>
      </c>
      <c r="F775" s="13">
        <v>1735.94</v>
      </c>
      <c r="G775">
        <v>0.1</v>
      </c>
      <c r="H775" t="s">
        <v>24</v>
      </c>
      <c r="I775" s="13">
        <v>-432.54</v>
      </c>
      <c r="J775">
        <v>140.97999999999999</v>
      </c>
      <c r="K775">
        <v>53.48</v>
      </c>
      <c r="L775" t="s">
        <v>192</v>
      </c>
      <c r="M775" t="s">
        <v>161</v>
      </c>
      <c r="N775" s="5" t="s">
        <v>161</v>
      </c>
      <c r="O775" t="s">
        <v>28</v>
      </c>
      <c r="P775" t="s">
        <v>32</v>
      </c>
      <c r="Q775" t="s">
        <v>45</v>
      </c>
      <c r="R775">
        <v>0.65</v>
      </c>
      <c r="S775" s="1">
        <v>41214</v>
      </c>
      <c r="T775" t="str">
        <f t="shared" si="25"/>
        <v>01-Nov-2012</v>
      </c>
    </row>
    <row r="776" spans="1:20" x14ac:dyDescent="0.3">
      <c r="A776">
        <v>50307</v>
      </c>
      <c r="B776" s="1">
        <v>40466</v>
      </c>
      <c r="C776" t="s">
        <v>18</v>
      </c>
      <c r="D776" t="str">
        <f t="shared" si="24"/>
        <v>15-Oct-2010</v>
      </c>
      <c r="E776">
        <v>32</v>
      </c>
      <c r="F776" s="13">
        <v>1734.31</v>
      </c>
      <c r="G776">
        <v>0.06</v>
      </c>
      <c r="H776" t="s">
        <v>35</v>
      </c>
      <c r="I776" s="13">
        <v>647.25</v>
      </c>
      <c r="J776">
        <v>54.96</v>
      </c>
      <c r="K776">
        <v>10.75</v>
      </c>
      <c r="L776" t="s">
        <v>294</v>
      </c>
      <c r="M776" t="s">
        <v>161</v>
      </c>
      <c r="N776" s="5" t="s">
        <v>161</v>
      </c>
      <c r="O776" t="s">
        <v>28</v>
      </c>
      <c r="P776" t="s">
        <v>21</v>
      </c>
      <c r="Q776" t="s">
        <v>37</v>
      </c>
      <c r="R776">
        <v>0.36</v>
      </c>
      <c r="S776" s="1">
        <v>40468</v>
      </c>
      <c r="T776" t="str">
        <f t="shared" si="25"/>
        <v>17-Oct-2010</v>
      </c>
    </row>
    <row r="777" spans="1:20" x14ac:dyDescent="0.3">
      <c r="A777">
        <v>35588</v>
      </c>
      <c r="B777" s="1">
        <v>40342</v>
      </c>
      <c r="C777" t="s">
        <v>18</v>
      </c>
      <c r="D777" t="str">
        <f t="shared" si="24"/>
        <v>13-Jun-2010</v>
      </c>
      <c r="E777">
        <v>32</v>
      </c>
      <c r="F777" s="13">
        <v>1727.79</v>
      </c>
      <c r="G777">
        <v>0.1</v>
      </c>
      <c r="H777" t="s">
        <v>24</v>
      </c>
      <c r="I777" s="13">
        <v>-694.9</v>
      </c>
      <c r="J777">
        <v>58.14</v>
      </c>
      <c r="K777">
        <v>36.61</v>
      </c>
      <c r="L777" t="s">
        <v>302</v>
      </c>
      <c r="M777" t="s">
        <v>161</v>
      </c>
      <c r="N777" s="5" t="s">
        <v>161</v>
      </c>
      <c r="O777" t="s">
        <v>28</v>
      </c>
      <c r="P777" t="s">
        <v>32</v>
      </c>
      <c r="Q777" t="s">
        <v>45</v>
      </c>
      <c r="R777">
        <v>0.61</v>
      </c>
      <c r="S777" s="1">
        <v>40344</v>
      </c>
      <c r="T777" t="str">
        <f t="shared" si="25"/>
        <v>15-Jun-2010</v>
      </c>
    </row>
    <row r="778" spans="1:20" x14ac:dyDescent="0.3">
      <c r="A778">
        <v>44992</v>
      </c>
      <c r="B778" s="1">
        <v>41267</v>
      </c>
      <c r="C778" t="s">
        <v>43</v>
      </c>
      <c r="D778" t="str">
        <f t="shared" si="24"/>
        <v>24-Dec-2012</v>
      </c>
      <c r="E778">
        <v>32</v>
      </c>
      <c r="F778" s="13">
        <v>1673.53</v>
      </c>
      <c r="G778">
        <v>0</v>
      </c>
      <c r="H778" t="s">
        <v>19</v>
      </c>
      <c r="I778" s="13">
        <v>524.73</v>
      </c>
      <c r="J778">
        <v>51.98</v>
      </c>
      <c r="K778">
        <v>10.17</v>
      </c>
      <c r="L778" t="s">
        <v>185</v>
      </c>
      <c r="M778" t="s">
        <v>161</v>
      </c>
      <c r="N778" s="5" t="s">
        <v>161</v>
      </c>
      <c r="O778" t="s">
        <v>28</v>
      </c>
      <c r="P778" t="s">
        <v>29</v>
      </c>
      <c r="Q778" t="s">
        <v>74</v>
      </c>
      <c r="R778">
        <v>0.37</v>
      </c>
      <c r="S778" s="1">
        <v>41269</v>
      </c>
      <c r="T778" t="str">
        <f t="shared" si="25"/>
        <v>26-Dec-2012</v>
      </c>
    </row>
    <row r="779" spans="1:20" x14ac:dyDescent="0.3">
      <c r="A779">
        <v>32998</v>
      </c>
      <c r="B779" s="1">
        <v>40450</v>
      </c>
      <c r="C779" t="s">
        <v>31</v>
      </c>
      <c r="D779" t="str">
        <f t="shared" si="24"/>
        <v>29-Sep-2010</v>
      </c>
      <c r="E779">
        <v>13</v>
      </c>
      <c r="F779" s="13">
        <v>1663.83</v>
      </c>
      <c r="G779">
        <v>0.1</v>
      </c>
      <c r="H779" t="s">
        <v>24</v>
      </c>
      <c r="I779" s="13">
        <v>-484.64</v>
      </c>
      <c r="J779">
        <v>130.97999999999999</v>
      </c>
      <c r="K779">
        <v>54.74</v>
      </c>
      <c r="L779" t="s">
        <v>157</v>
      </c>
      <c r="M779" t="s">
        <v>161</v>
      </c>
      <c r="N779" s="5" t="s">
        <v>161</v>
      </c>
      <c r="O779" t="s">
        <v>28</v>
      </c>
      <c r="P779" t="s">
        <v>32</v>
      </c>
      <c r="Q779" t="s">
        <v>45</v>
      </c>
      <c r="R779">
        <v>0.69</v>
      </c>
      <c r="S779" s="1">
        <v>40451</v>
      </c>
      <c r="T779" t="str">
        <f t="shared" si="25"/>
        <v>30-Sep-2010</v>
      </c>
    </row>
    <row r="780" spans="1:20" x14ac:dyDescent="0.3">
      <c r="A780">
        <v>24903</v>
      </c>
      <c r="B780" s="1">
        <v>40470</v>
      </c>
      <c r="C780" t="s">
        <v>18</v>
      </c>
      <c r="D780" t="str">
        <f t="shared" si="24"/>
        <v>19-Oct-2010</v>
      </c>
      <c r="E780">
        <v>33</v>
      </c>
      <c r="F780" s="13">
        <v>1646.47</v>
      </c>
      <c r="G780">
        <v>0.05</v>
      </c>
      <c r="H780" t="s">
        <v>19</v>
      </c>
      <c r="I780" s="13">
        <v>743.59</v>
      </c>
      <c r="J780">
        <v>48.91</v>
      </c>
      <c r="K780">
        <v>5.81</v>
      </c>
      <c r="L780" t="s">
        <v>180</v>
      </c>
      <c r="M780" t="s">
        <v>161</v>
      </c>
      <c r="N780" s="5" t="s">
        <v>161</v>
      </c>
      <c r="O780" t="s">
        <v>28</v>
      </c>
      <c r="P780" t="s">
        <v>21</v>
      </c>
      <c r="Q780" t="s">
        <v>37</v>
      </c>
      <c r="R780">
        <v>0.38</v>
      </c>
      <c r="S780" s="1">
        <v>40477</v>
      </c>
      <c r="T780" t="str">
        <f t="shared" si="25"/>
        <v>26-Oct-2010</v>
      </c>
    </row>
    <row r="781" spans="1:20" x14ac:dyDescent="0.3">
      <c r="A781">
        <v>19204</v>
      </c>
      <c r="B781" s="1">
        <v>40074</v>
      </c>
      <c r="C781" t="s">
        <v>38</v>
      </c>
      <c r="D781" t="str">
        <f t="shared" si="24"/>
        <v>18-Sep-2009</v>
      </c>
      <c r="E781">
        <v>28</v>
      </c>
      <c r="F781" s="13">
        <v>1642.05</v>
      </c>
      <c r="G781">
        <v>0.03</v>
      </c>
      <c r="H781" t="s">
        <v>19</v>
      </c>
      <c r="I781" s="13">
        <v>829.73</v>
      </c>
      <c r="J781">
        <v>55.98</v>
      </c>
      <c r="K781">
        <v>4.8600000000000003</v>
      </c>
      <c r="L781" t="s">
        <v>202</v>
      </c>
      <c r="M781" t="s">
        <v>161</v>
      </c>
      <c r="N781" s="5" t="s">
        <v>161</v>
      </c>
      <c r="O781" t="s">
        <v>28</v>
      </c>
      <c r="P781" t="s">
        <v>21</v>
      </c>
      <c r="Q781" t="s">
        <v>37</v>
      </c>
      <c r="R781">
        <v>0.36</v>
      </c>
      <c r="S781" s="1">
        <v>40076</v>
      </c>
      <c r="T781" t="str">
        <f t="shared" si="25"/>
        <v>20-Sep-2009</v>
      </c>
    </row>
    <row r="782" spans="1:20" x14ac:dyDescent="0.3">
      <c r="A782">
        <v>56418</v>
      </c>
      <c r="B782" s="1">
        <v>41011</v>
      </c>
      <c r="C782" t="s">
        <v>43</v>
      </c>
      <c r="D782" t="str">
        <f t="shared" si="24"/>
        <v>12-Apr-2012</v>
      </c>
      <c r="E782">
        <v>47</v>
      </c>
      <c r="F782" s="13">
        <v>1613.84</v>
      </c>
      <c r="G782">
        <v>0.09</v>
      </c>
      <c r="H782" t="s">
        <v>19</v>
      </c>
      <c r="I782" s="13">
        <v>226.76</v>
      </c>
      <c r="J782">
        <v>34.76</v>
      </c>
      <c r="K782">
        <v>8.2200000000000006</v>
      </c>
      <c r="L782" t="s">
        <v>289</v>
      </c>
      <c r="M782" t="s">
        <v>161</v>
      </c>
      <c r="N782" s="5" t="s">
        <v>161</v>
      </c>
      <c r="O782" t="s">
        <v>28</v>
      </c>
      <c r="P782" t="s">
        <v>21</v>
      </c>
      <c r="Q782" t="s">
        <v>22</v>
      </c>
      <c r="R782">
        <v>0.56999999999999995</v>
      </c>
      <c r="S782" s="1">
        <v>41012</v>
      </c>
      <c r="T782" t="str">
        <f t="shared" si="25"/>
        <v>13-Apr-2012</v>
      </c>
    </row>
    <row r="783" spans="1:20" x14ac:dyDescent="0.3">
      <c r="A783">
        <v>37862</v>
      </c>
      <c r="B783" s="1">
        <v>39825</v>
      </c>
      <c r="C783" t="s">
        <v>31</v>
      </c>
      <c r="D783" t="str">
        <f t="shared" si="24"/>
        <v>12-Jan-2009</v>
      </c>
      <c r="E783">
        <v>27</v>
      </c>
      <c r="F783" s="13">
        <v>1603.27</v>
      </c>
      <c r="G783">
        <v>0.01</v>
      </c>
      <c r="H783" t="s">
        <v>19</v>
      </c>
      <c r="I783" s="13">
        <v>452.49</v>
      </c>
      <c r="J783">
        <v>59.98</v>
      </c>
      <c r="K783">
        <v>3.99</v>
      </c>
      <c r="L783" t="s">
        <v>157</v>
      </c>
      <c r="M783" t="s">
        <v>161</v>
      </c>
      <c r="N783" s="5" t="s">
        <v>161</v>
      </c>
      <c r="O783" t="s">
        <v>28</v>
      </c>
      <c r="P783" t="s">
        <v>21</v>
      </c>
      <c r="Q783" t="s">
        <v>25</v>
      </c>
      <c r="R783">
        <v>0.56999999999999995</v>
      </c>
      <c r="S783" s="1">
        <v>39828</v>
      </c>
      <c r="T783" t="str">
        <f t="shared" si="25"/>
        <v>15-Jan-2009</v>
      </c>
    </row>
    <row r="784" spans="1:20" x14ac:dyDescent="0.3">
      <c r="A784">
        <v>28642</v>
      </c>
      <c r="B784" s="1">
        <v>40561</v>
      </c>
      <c r="C784" t="s">
        <v>23</v>
      </c>
      <c r="D784" t="str">
        <f t="shared" si="24"/>
        <v>18-Jan-2011</v>
      </c>
      <c r="E784">
        <v>27</v>
      </c>
      <c r="F784" s="13">
        <v>1592.0415</v>
      </c>
      <c r="G784">
        <v>0</v>
      </c>
      <c r="H784" t="s">
        <v>19</v>
      </c>
      <c r="I784" s="13">
        <v>-52.7</v>
      </c>
      <c r="J784">
        <v>65.989999999999995</v>
      </c>
      <c r="K784">
        <v>19.989999999999998</v>
      </c>
      <c r="L784" t="s">
        <v>174</v>
      </c>
      <c r="M784" t="s">
        <v>161</v>
      </c>
      <c r="N784" s="5" t="s">
        <v>161</v>
      </c>
      <c r="O784" t="s">
        <v>28</v>
      </c>
      <c r="P784" t="s">
        <v>29</v>
      </c>
      <c r="Q784" t="s">
        <v>30</v>
      </c>
      <c r="R784">
        <v>0.59</v>
      </c>
      <c r="S784" s="1">
        <v>40563</v>
      </c>
      <c r="T784" t="str">
        <f t="shared" si="25"/>
        <v>20-Jan-2011</v>
      </c>
    </row>
    <row r="785" spans="1:20" x14ac:dyDescent="0.3">
      <c r="A785">
        <v>17956</v>
      </c>
      <c r="B785" s="1">
        <v>40395</v>
      </c>
      <c r="C785" t="s">
        <v>43</v>
      </c>
      <c r="D785" t="str">
        <f t="shared" si="24"/>
        <v>05-Aug-2010</v>
      </c>
      <c r="E785">
        <v>40</v>
      </c>
      <c r="F785" s="13">
        <v>1567.51</v>
      </c>
      <c r="G785">
        <v>0.01</v>
      </c>
      <c r="H785" t="s">
        <v>35</v>
      </c>
      <c r="I785" s="13">
        <v>711.74</v>
      </c>
      <c r="J785">
        <v>37.94</v>
      </c>
      <c r="K785">
        <v>5.08</v>
      </c>
      <c r="L785" t="s">
        <v>184</v>
      </c>
      <c r="M785" t="s">
        <v>161</v>
      </c>
      <c r="N785" s="5" t="s">
        <v>161</v>
      </c>
      <c r="O785" t="s">
        <v>28</v>
      </c>
      <c r="P785" t="s">
        <v>21</v>
      </c>
      <c r="Q785" t="s">
        <v>37</v>
      </c>
      <c r="R785">
        <v>0.38</v>
      </c>
      <c r="S785" s="1">
        <v>40398</v>
      </c>
      <c r="T785" t="str">
        <f t="shared" si="25"/>
        <v>08-Aug-2010</v>
      </c>
    </row>
    <row r="786" spans="1:20" x14ac:dyDescent="0.3">
      <c r="A786">
        <v>12768</v>
      </c>
      <c r="B786" s="1">
        <v>39911</v>
      </c>
      <c r="C786" t="s">
        <v>43</v>
      </c>
      <c r="D786" t="str">
        <f t="shared" si="24"/>
        <v>08-Apr-2009</v>
      </c>
      <c r="E786">
        <v>34</v>
      </c>
      <c r="F786" s="13">
        <v>1562.97</v>
      </c>
      <c r="G786">
        <v>0.01</v>
      </c>
      <c r="H786" t="s">
        <v>35</v>
      </c>
      <c r="I786" s="13">
        <v>501.59</v>
      </c>
      <c r="J786">
        <v>42.98</v>
      </c>
      <c r="K786">
        <v>4.62</v>
      </c>
      <c r="L786" t="s">
        <v>184</v>
      </c>
      <c r="M786" t="s">
        <v>161</v>
      </c>
      <c r="N786" s="5" t="s">
        <v>161</v>
      </c>
      <c r="O786" t="s">
        <v>28</v>
      </c>
      <c r="P786" t="s">
        <v>21</v>
      </c>
      <c r="Q786" t="s">
        <v>25</v>
      </c>
      <c r="R786">
        <v>0.56000000000000005</v>
      </c>
      <c r="S786" s="1">
        <v>39913</v>
      </c>
      <c r="T786" t="str">
        <f t="shared" si="25"/>
        <v>10-Apr-2009</v>
      </c>
    </row>
    <row r="787" spans="1:20" x14ac:dyDescent="0.3">
      <c r="A787">
        <v>40962</v>
      </c>
      <c r="B787" s="1">
        <v>40594</v>
      </c>
      <c r="C787" t="s">
        <v>43</v>
      </c>
      <c r="D787" t="str">
        <f t="shared" si="24"/>
        <v>20-Feb-2011</v>
      </c>
      <c r="E787">
        <v>28</v>
      </c>
      <c r="F787" s="13">
        <v>1553.66</v>
      </c>
      <c r="G787">
        <v>0.03</v>
      </c>
      <c r="H787" t="s">
        <v>19</v>
      </c>
      <c r="I787" s="13">
        <v>547.48</v>
      </c>
      <c r="J787">
        <v>54.48</v>
      </c>
      <c r="K787">
        <v>0.99</v>
      </c>
      <c r="L787" t="s">
        <v>158</v>
      </c>
      <c r="M787" t="s">
        <v>161</v>
      </c>
      <c r="N787" s="5" t="s">
        <v>161</v>
      </c>
      <c r="O787" t="s">
        <v>28</v>
      </c>
      <c r="P787" t="s">
        <v>21</v>
      </c>
      <c r="Q787" t="s">
        <v>25</v>
      </c>
      <c r="R787">
        <v>0.56999999999999995</v>
      </c>
      <c r="S787" s="1">
        <v>40595</v>
      </c>
      <c r="T787" t="str">
        <f t="shared" si="25"/>
        <v>21-Feb-2011</v>
      </c>
    </row>
    <row r="788" spans="1:20" x14ac:dyDescent="0.3">
      <c r="A788">
        <v>39492</v>
      </c>
      <c r="B788" s="1">
        <v>40650</v>
      </c>
      <c r="C788" t="s">
        <v>31</v>
      </c>
      <c r="D788" t="str">
        <f t="shared" si="24"/>
        <v>17-Apr-2011</v>
      </c>
      <c r="E788">
        <v>38</v>
      </c>
      <c r="F788" s="13">
        <v>1541.92</v>
      </c>
      <c r="G788">
        <v>0.03</v>
      </c>
      <c r="H788" t="s">
        <v>19</v>
      </c>
      <c r="I788" s="13">
        <v>-564.05999999999995</v>
      </c>
      <c r="J788">
        <v>40.479999999999997</v>
      </c>
      <c r="K788">
        <v>19.989999999999998</v>
      </c>
      <c r="L788" t="s">
        <v>312</v>
      </c>
      <c r="M788" t="s">
        <v>161</v>
      </c>
      <c r="N788" s="5" t="s">
        <v>161</v>
      </c>
      <c r="O788" t="s">
        <v>28</v>
      </c>
      <c r="P788" t="s">
        <v>29</v>
      </c>
      <c r="Q788" t="s">
        <v>41</v>
      </c>
      <c r="R788">
        <v>0.77</v>
      </c>
      <c r="S788" s="1">
        <v>40652</v>
      </c>
      <c r="T788" t="str">
        <f t="shared" si="25"/>
        <v>19-Apr-2011</v>
      </c>
    </row>
    <row r="789" spans="1:20" x14ac:dyDescent="0.3">
      <c r="A789">
        <v>16326</v>
      </c>
      <c r="B789" s="1">
        <v>40308</v>
      </c>
      <c r="C789" t="s">
        <v>23</v>
      </c>
      <c r="D789" t="str">
        <f t="shared" si="24"/>
        <v>10-May-2010</v>
      </c>
      <c r="E789">
        <v>39</v>
      </c>
      <c r="F789" s="13">
        <v>1538.33</v>
      </c>
      <c r="G789">
        <v>0.03</v>
      </c>
      <c r="H789" t="s">
        <v>19</v>
      </c>
      <c r="I789" s="13">
        <v>471.35</v>
      </c>
      <c r="J789">
        <v>39.479999999999997</v>
      </c>
      <c r="K789">
        <v>1.99</v>
      </c>
      <c r="L789" t="s">
        <v>169</v>
      </c>
      <c r="M789" t="s">
        <v>161</v>
      </c>
      <c r="N789" s="5" t="s">
        <v>161</v>
      </c>
      <c r="O789" t="s">
        <v>28</v>
      </c>
      <c r="P789" t="s">
        <v>29</v>
      </c>
      <c r="Q789" t="s">
        <v>41</v>
      </c>
      <c r="R789">
        <v>0.54</v>
      </c>
      <c r="S789" s="1">
        <v>40310</v>
      </c>
      <c r="T789" t="str">
        <f t="shared" si="25"/>
        <v>12-May-2010</v>
      </c>
    </row>
    <row r="790" spans="1:20" x14ac:dyDescent="0.3">
      <c r="A790">
        <v>13633</v>
      </c>
      <c r="B790" s="1">
        <v>41002</v>
      </c>
      <c r="C790" t="s">
        <v>31</v>
      </c>
      <c r="D790" t="str">
        <f t="shared" si="24"/>
        <v>03-Apr-2012</v>
      </c>
      <c r="E790">
        <v>39</v>
      </c>
      <c r="F790" s="13">
        <v>1538.17</v>
      </c>
      <c r="G790">
        <v>0.02</v>
      </c>
      <c r="H790" t="s">
        <v>19</v>
      </c>
      <c r="I790" s="13">
        <v>-1119.6400000000001</v>
      </c>
      <c r="J790">
        <v>38.94</v>
      </c>
      <c r="K790">
        <v>35</v>
      </c>
      <c r="L790" t="s">
        <v>187</v>
      </c>
      <c r="M790" t="s">
        <v>161</v>
      </c>
      <c r="N790" s="5" t="s">
        <v>161</v>
      </c>
      <c r="O790" t="s">
        <v>28</v>
      </c>
      <c r="P790" t="s">
        <v>21</v>
      </c>
      <c r="Q790" t="s">
        <v>22</v>
      </c>
      <c r="R790">
        <v>0.8</v>
      </c>
      <c r="S790" s="1">
        <v>41003</v>
      </c>
      <c r="T790" t="str">
        <f t="shared" si="25"/>
        <v>04-Apr-2012</v>
      </c>
    </row>
    <row r="791" spans="1:20" x14ac:dyDescent="0.3">
      <c r="A791">
        <v>32642</v>
      </c>
      <c r="B791" s="1">
        <v>40997</v>
      </c>
      <c r="C791" t="s">
        <v>38</v>
      </c>
      <c r="D791" t="str">
        <f t="shared" si="24"/>
        <v>29-Mar-2012</v>
      </c>
      <c r="E791">
        <v>50</v>
      </c>
      <c r="F791" s="13">
        <v>1507.16</v>
      </c>
      <c r="G791">
        <v>0.02</v>
      </c>
      <c r="H791" t="s">
        <v>19</v>
      </c>
      <c r="I791" s="13">
        <v>724.14</v>
      </c>
      <c r="J791">
        <v>28.48</v>
      </c>
      <c r="K791">
        <v>1.99</v>
      </c>
      <c r="L791" t="s">
        <v>192</v>
      </c>
      <c r="M791" t="s">
        <v>161</v>
      </c>
      <c r="N791" s="5" t="s">
        <v>161</v>
      </c>
      <c r="O791" t="s">
        <v>28</v>
      </c>
      <c r="P791" t="s">
        <v>29</v>
      </c>
      <c r="Q791" t="s">
        <v>41</v>
      </c>
      <c r="R791">
        <v>0.4</v>
      </c>
      <c r="S791" s="1">
        <v>40999</v>
      </c>
      <c r="T791" t="str">
        <f t="shared" si="25"/>
        <v>31-Mar-2012</v>
      </c>
    </row>
    <row r="792" spans="1:20" x14ac:dyDescent="0.3">
      <c r="A792">
        <v>4321</v>
      </c>
      <c r="B792" s="1">
        <v>40011</v>
      </c>
      <c r="C792" t="s">
        <v>38</v>
      </c>
      <c r="D792" t="str">
        <f t="shared" si="24"/>
        <v>17-Jul-2009</v>
      </c>
      <c r="E792">
        <v>47</v>
      </c>
      <c r="F792" s="13">
        <v>1505.57</v>
      </c>
      <c r="G792">
        <v>0.02</v>
      </c>
      <c r="H792" t="s">
        <v>35</v>
      </c>
      <c r="I792" s="13">
        <v>-54.63</v>
      </c>
      <c r="J792">
        <v>30.53</v>
      </c>
      <c r="K792">
        <v>19.989999999999998</v>
      </c>
      <c r="L792" t="s">
        <v>174</v>
      </c>
      <c r="M792" t="s">
        <v>161</v>
      </c>
      <c r="N792" s="5" t="s">
        <v>161</v>
      </c>
      <c r="O792" t="s">
        <v>28</v>
      </c>
      <c r="P792" t="s">
        <v>21</v>
      </c>
      <c r="Q792" t="s">
        <v>48</v>
      </c>
      <c r="R792">
        <v>0.39</v>
      </c>
      <c r="S792" s="1">
        <v>40013</v>
      </c>
      <c r="T792" t="str">
        <f t="shared" si="25"/>
        <v>19-Jul-2009</v>
      </c>
    </row>
    <row r="793" spans="1:20" x14ac:dyDescent="0.3">
      <c r="A793">
        <v>53728</v>
      </c>
      <c r="B793" s="1">
        <v>40838</v>
      </c>
      <c r="C793" t="s">
        <v>23</v>
      </c>
      <c r="D793" t="str">
        <f t="shared" si="24"/>
        <v>22-Oct-2011</v>
      </c>
      <c r="E793">
        <v>27</v>
      </c>
      <c r="F793" s="13">
        <v>1502.66</v>
      </c>
      <c r="G793">
        <v>7.0000000000000007E-2</v>
      </c>
      <c r="H793" t="s">
        <v>19</v>
      </c>
      <c r="I793" s="13">
        <v>637.6</v>
      </c>
      <c r="J793">
        <v>58.1</v>
      </c>
      <c r="K793">
        <v>1.49</v>
      </c>
      <c r="L793" t="s">
        <v>137</v>
      </c>
      <c r="M793" t="s">
        <v>161</v>
      </c>
      <c r="N793" s="5" t="s">
        <v>161</v>
      </c>
      <c r="O793" t="s">
        <v>28</v>
      </c>
      <c r="P793" t="s">
        <v>21</v>
      </c>
      <c r="Q793" t="s">
        <v>26</v>
      </c>
      <c r="R793">
        <v>0.38</v>
      </c>
      <c r="S793" s="1">
        <v>40839</v>
      </c>
      <c r="T793" t="str">
        <f t="shared" si="25"/>
        <v>23-Oct-2011</v>
      </c>
    </row>
    <row r="794" spans="1:20" x14ac:dyDescent="0.3">
      <c r="A794">
        <v>56002</v>
      </c>
      <c r="B794" s="1">
        <v>39998</v>
      </c>
      <c r="C794" t="s">
        <v>18</v>
      </c>
      <c r="D794" t="str">
        <f t="shared" si="24"/>
        <v>04-Jul-2009</v>
      </c>
      <c r="E794">
        <v>9</v>
      </c>
      <c r="F794" s="13">
        <v>1497.93</v>
      </c>
      <c r="G794">
        <v>0.05</v>
      </c>
      <c r="H794" t="s">
        <v>19</v>
      </c>
      <c r="I794" s="13">
        <v>35.31</v>
      </c>
      <c r="J794">
        <v>161.55000000000001</v>
      </c>
      <c r="K794">
        <v>19.989999999999998</v>
      </c>
      <c r="L794" t="s">
        <v>197</v>
      </c>
      <c r="M794" t="s">
        <v>161</v>
      </c>
      <c r="N794" s="5" t="s">
        <v>161</v>
      </c>
      <c r="O794" t="s">
        <v>28</v>
      </c>
      <c r="P794" t="s">
        <v>21</v>
      </c>
      <c r="Q794" t="s">
        <v>22</v>
      </c>
      <c r="R794">
        <v>0.66</v>
      </c>
      <c r="S794" s="1">
        <v>40005</v>
      </c>
      <c r="T794" t="str">
        <f t="shared" si="25"/>
        <v>11-Jul-2009</v>
      </c>
    </row>
    <row r="795" spans="1:20" x14ac:dyDescent="0.3">
      <c r="A795">
        <v>36679</v>
      </c>
      <c r="B795" s="1">
        <v>40785</v>
      </c>
      <c r="C795" t="s">
        <v>43</v>
      </c>
      <c r="D795" t="str">
        <f t="shared" si="24"/>
        <v>30-Aug-2011</v>
      </c>
      <c r="E795">
        <v>28</v>
      </c>
      <c r="F795" s="13">
        <v>1491.8264999999999</v>
      </c>
      <c r="G795">
        <v>0.1</v>
      </c>
      <c r="H795" t="s">
        <v>19</v>
      </c>
      <c r="I795" s="13">
        <v>124.83</v>
      </c>
      <c r="J795">
        <v>65.989999999999995</v>
      </c>
      <c r="K795">
        <v>8.99</v>
      </c>
      <c r="L795" t="s">
        <v>191</v>
      </c>
      <c r="M795" t="s">
        <v>161</v>
      </c>
      <c r="N795" s="5" t="s">
        <v>161</v>
      </c>
      <c r="O795" t="s">
        <v>28</v>
      </c>
      <c r="P795" t="s">
        <v>29</v>
      </c>
      <c r="Q795" t="s">
        <v>30</v>
      </c>
      <c r="R795">
        <v>0.56000000000000005</v>
      </c>
      <c r="S795" s="1">
        <v>40788</v>
      </c>
      <c r="T795" t="str">
        <f t="shared" si="25"/>
        <v>02-Sep-2011</v>
      </c>
    </row>
    <row r="796" spans="1:20" x14ac:dyDescent="0.3">
      <c r="A796">
        <v>29957</v>
      </c>
      <c r="B796" s="1">
        <v>40250</v>
      </c>
      <c r="C796" t="s">
        <v>43</v>
      </c>
      <c r="D796" t="str">
        <f t="shared" si="24"/>
        <v>13-Mar-2010</v>
      </c>
      <c r="E796">
        <v>31</v>
      </c>
      <c r="F796" s="13">
        <v>1447.62</v>
      </c>
      <c r="G796">
        <v>7.0000000000000007E-2</v>
      </c>
      <c r="H796" t="s">
        <v>19</v>
      </c>
      <c r="I796" s="13">
        <v>576.39</v>
      </c>
      <c r="J796">
        <v>48.04</v>
      </c>
      <c r="K796">
        <v>7.23</v>
      </c>
      <c r="L796" t="s">
        <v>313</v>
      </c>
      <c r="M796" t="s">
        <v>161</v>
      </c>
      <c r="N796" s="5" t="s">
        <v>161</v>
      </c>
      <c r="O796" t="s">
        <v>28</v>
      </c>
      <c r="P796" t="s">
        <v>21</v>
      </c>
      <c r="Q796" t="s">
        <v>37</v>
      </c>
      <c r="R796">
        <v>0.37</v>
      </c>
      <c r="S796" s="1">
        <v>40251</v>
      </c>
      <c r="T796" t="str">
        <f t="shared" si="25"/>
        <v>14-Mar-2010</v>
      </c>
    </row>
    <row r="797" spans="1:20" x14ac:dyDescent="0.3">
      <c r="A797">
        <v>42242</v>
      </c>
      <c r="B797" s="1">
        <v>39904</v>
      </c>
      <c r="C797" t="s">
        <v>31</v>
      </c>
      <c r="D797" t="str">
        <f t="shared" si="24"/>
        <v>01-Apr-2009</v>
      </c>
      <c r="E797">
        <v>15</v>
      </c>
      <c r="F797" s="13">
        <v>1444.88</v>
      </c>
      <c r="G797">
        <v>0.1</v>
      </c>
      <c r="H797" t="s">
        <v>19</v>
      </c>
      <c r="I797" s="13">
        <v>236.61</v>
      </c>
      <c r="J797">
        <v>100.97</v>
      </c>
      <c r="K797">
        <v>7.18</v>
      </c>
      <c r="L797" t="s">
        <v>212</v>
      </c>
      <c r="M797" t="s">
        <v>161</v>
      </c>
      <c r="N797" s="5" t="s">
        <v>161</v>
      </c>
      <c r="O797" t="s">
        <v>28</v>
      </c>
      <c r="P797" t="s">
        <v>29</v>
      </c>
      <c r="Q797" t="s">
        <v>41</v>
      </c>
      <c r="R797">
        <v>0.46</v>
      </c>
      <c r="S797" s="1">
        <v>39905</v>
      </c>
      <c r="T797" t="str">
        <f t="shared" si="25"/>
        <v>02-Apr-2009</v>
      </c>
    </row>
    <row r="798" spans="1:20" x14ac:dyDescent="0.3">
      <c r="A798">
        <v>4006</v>
      </c>
      <c r="B798" s="1">
        <v>40546</v>
      </c>
      <c r="C798" t="s">
        <v>38</v>
      </c>
      <c r="D798" t="str">
        <f t="shared" si="24"/>
        <v>03-Jan-2011</v>
      </c>
      <c r="E798">
        <v>38</v>
      </c>
      <c r="F798" s="13">
        <v>1441.61</v>
      </c>
      <c r="G798">
        <v>0.06</v>
      </c>
      <c r="H798" t="s">
        <v>19</v>
      </c>
      <c r="I798" s="13">
        <v>624.84</v>
      </c>
      <c r="J798">
        <v>37.94</v>
      </c>
      <c r="K798">
        <v>5.08</v>
      </c>
      <c r="L798" t="s">
        <v>179</v>
      </c>
      <c r="M798" t="s">
        <v>161</v>
      </c>
      <c r="N798" s="5" t="s">
        <v>161</v>
      </c>
      <c r="O798" t="s">
        <v>28</v>
      </c>
      <c r="P798" t="s">
        <v>21</v>
      </c>
      <c r="Q798" t="s">
        <v>37</v>
      </c>
      <c r="R798">
        <v>0.38</v>
      </c>
      <c r="S798" s="1">
        <v>40547</v>
      </c>
      <c r="T798" t="str">
        <f t="shared" si="25"/>
        <v>04-Jan-2011</v>
      </c>
    </row>
    <row r="799" spans="1:20" x14ac:dyDescent="0.3">
      <c r="A799">
        <v>35110</v>
      </c>
      <c r="B799" s="1">
        <v>40834</v>
      </c>
      <c r="C799" t="s">
        <v>23</v>
      </c>
      <c r="D799" t="str">
        <f t="shared" si="24"/>
        <v>18-Oct-2011</v>
      </c>
      <c r="E799">
        <v>49</v>
      </c>
      <c r="F799" s="13">
        <v>1435.32</v>
      </c>
      <c r="G799">
        <v>0.02</v>
      </c>
      <c r="H799" t="s">
        <v>19</v>
      </c>
      <c r="I799" s="13">
        <v>485.95</v>
      </c>
      <c r="J799">
        <v>29.89</v>
      </c>
      <c r="K799">
        <v>1.99</v>
      </c>
      <c r="L799" t="s">
        <v>204</v>
      </c>
      <c r="M799" t="s">
        <v>161</v>
      </c>
      <c r="N799" s="5" t="s">
        <v>161</v>
      </c>
      <c r="O799" t="s">
        <v>28</v>
      </c>
      <c r="P799" t="s">
        <v>29</v>
      </c>
      <c r="Q799" t="s">
        <v>41</v>
      </c>
      <c r="R799">
        <v>0.5</v>
      </c>
      <c r="S799" s="1">
        <v>40836</v>
      </c>
      <c r="T799" t="str">
        <f t="shared" si="25"/>
        <v>20-Oct-2011</v>
      </c>
    </row>
    <row r="800" spans="1:20" x14ac:dyDescent="0.3">
      <c r="A800">
        <v>47303</v>
      </c>
      <c r="B800" s="1">
        <v>40882</v>
      </c>
      <c r="C800" t="s">
        <v>38</v>
      </c>
      <c r="D800" t="str">
        <f t="shared" si="24"/>
        <v>05-Dec-2011</v>
      </c>
      <c r="E800">
        <v>47</v>
      </c>
      <c r="F800" s="13">
        <v>1413.82</v>
      </c>
      <c r="G800">
        <v>0.1</v>
      </c>
      <c r="H800" t="s">
        <v>19</v>
      </c>
      <c r="I800" s="13">
        <v>226.53</v>
      </c>
      <c r="J800">
        <v>30.98</v>
      </c>
      <c r="K800">
        <v>11.63</v>
      </c>
      <c r="L800" t="s">
        <v>293</v>
      </c>
      <c r="M800" t="s">
        <v>161</v>
      </c>
      <c r="N800" s="5" t="s">
        <v>161</v>
      </c>
      <c r="O800" t="s">
        <v>28</v>
      </c>
      <c r="P800" t="s">
        <v>21</v>
      </c>
      <c r="Q800" t="s">
        <v>26</v>
      </c>
      <c r="R800">
        <v>0.37</v>
      </c>
      <c r="S800" s="1">
        <v>40883</v>
      </c>
      <c r="T800" t="str">
        <f t="shared" si="25"/>
        <v>06-Dec-2011</v>
      </c>
    </row>
    <row r="801" spans="1:20" x14ac:dyDescent="0.3">
      <c r="A801">
        <v>17024</v>
      </c>
      <c r="B801" s="1">
        <v>40099</v>
      </c>
      <c r="C801" t="s">
        <v>38</v>
      </c>
      <c r="D801" t="str">
        <f t="shared" si="24"/>
        <v>13-Oct-2009</v>
      </c>
      <c r="E801">
        <v>31</v>
      </c>
      <c r="F801" s="13">
        <v>1401.75</v>
      </c>
      <c r="G801">
        <v>0.02</v>
      </c>
      <c r="H801" t="s">
        <v>19</v>
      </c>
      <c r="I801" s="13">
        <v>426.44</v>
      </c>
      <c r="J801">
        <v>42.98</v>
      </c>
      <c r="K801">
        <v>4.62</v>
      </c>
      <c r="L801" t="s">
        <v>181</v>
      </c>
      <c r="M801" t="s">
        <v>161</v>
      </c>
      <c r="N801" s="5" t="s">
        <v>161</v>
      </c>
      <c r="O801" t="s">
        <v>28</v>
      </c>
      <c r="P801" t="s">
        <v>21</v>
      </c>
      <c r="Q801" t="s">
        <v>25</v>
      </c>
      <c r="R801">
        <v>0.56000000000000005</v>
      </c>
      <c r="S801" s="1">
        <v>40101</v>
      </c>
      <c r="T801" t="str">
        <f t="shared" si="25"/>
        <v>15-Oct-2009</v>
      </c>
    </row>
    <row r="802" spans="1:20" x14ac:dyDescent="0.3">
      <c r="A802">
        <v>51813</v>
      </c>
      <c r="B802" s="1">
        <v>41264</v>
      </c>
      <c r="C802" t="s">
        <v>31</v>
      </c>
      <c r="D802" t="str">
        <f t="shared" si="24"/>
        <v>21-Dec-2012</v>
      </c>
      <c r="E802">
        <v>13</v>
      </c>
      <c r="F802" s="13">
        <v>1390.17</v>
      </c>
      <c r="G802">
        <v>7.0000000000000007E-2</v>
      </c>
      <c r="H802" t="s">
        <v>19</v>
      </c>
      <c r="I802" s="13">
        <v>-469.84</v>
      </c>
      <c r="J802">
        <v>110.98</v>
      </c>
      <c r="K802">
        <v>35</v>
      </c>
      <c r="L802" t="s">
        <v>210</v>
      </c>
      <c r="M802" t="s">
        <v>161</v>
      </c>
      <c r="N802" s="5" t="s">
        <v>161</v>
      </c>
      <c r="O802" t="s">
        <v>28</v>
      </c>
      <c r="P802" t="s">
        <v>21</v>
      </c>
      <c r="Q802" t="s">
        <v>22</v>
      </c>
      <c r="R802">
        <v>0.82</v>
      </c>
      <c r="S802" s="1">
        <v>41266</v>
      </c>
      <c r="T802" t="str">
        <f t="shared" si="25"/>
        <v>23-Dec-2012</v>
      </c>
    </row>
    <row r="803" spans="1:20" x14ac:dyDescent="0.3">
      <c r="A803">
        <v>28130</v>
      </c>
      <c r="B803" s="1">
        <v>40024</v>
      </c>
      <c r="C803" t="s">
        <v>18</v>
      </c>
      <c r="D803" t="str">
        <f t="shared" si="24"/>
        <v>30-Jul-2009</v>
      </c>
      <c r="E803">
        <v>32</v>
      </c>
      <c r="F803" s="13">
        <v>1381.88</v>
      </c>
      <c r="G803">
        <v>0.09</v>
      </c>
      <c r="H803" t="s">
        <v>35</v>
      </c>
      <c r="I803" s="13">
        <v>598.20000000000005</v>
      </c>
      <c r="J803">
        <v>46.94</v>
      </c>
      <c r="K803">
        <v>6.77</v>
      </c>
      <c r="L803" t="s">
        <v>157</v>
      </c>
      <c r="M803" t="s">
        <v>161</v>
      </c>
      <c r="N803" s="5" t="s">
        <v>161</v>
      </c>
      <c r="O803" t="s">
        <v>28</v>
      </c>
      <c r="P803" t="s">
        <v>32</v>
      </c>
      <c r="Q803" t="s">
        <v>33</v>
      </c>
      <c r="R803">
        <v>0.44</v>
      </c>
      <c r="S803" s="1">
        <v>40024</v>
      </c>
      <c r="T803" t="str">
        <f t="shared" si="25"/>
        <v>30-Jul-2009</v>
      </c>
    </row>
    <row r="804" spans="1:20" x14ac:dyDescent="0.3">
      <c r="A804">
        <v>32608</v>
      </c>
      <c r="B804" s="1">
        <v>41051</v>
      </c>
      <c r="C804" t="s">
        <v>23</v>
      </c>
      <c r="D804" t="str">
        <f t="shared" si="24"/>
        <v>22-May-2012</v>
      </c>
      <c r="E804">
        <v>20</v>
      </c>
      <c r="F804" s="13">
        <v>1361.91</v>
      </c>
      <c r="G804">
        <v>0.05</v>
      </c>
      <c r="H804" t="s">
        <v>19</v>
      </c>
      <c r="I804" s="13">
        <v>312.52</v>
      </c>
      <c r="J804">
        <v>70.97</v>
      </c>
      <c r="K804">
        <v>3.5</v>
      </c>
      <c r="L804" t="s">
        <v>293</v>
      </c>
      <c r="M804" t="s">
        <v>161</v>
      </c>
      <c r="N804" s="5" t="s">
        <v>161</v>
      </c>
      <c r="O804" t="s">
        <v>28</v>
      </c>
      <c r="P804" t="s">
        <v>21</v>
      </c>
      <c r="Q804" t="s">
        <v>25</v>
      </c>
      <c r="R804">
        <v>0.59</v>
      </c>
      <c r="S804" s="1">
        <v>41053</v>
      </c>
      <c r="T804" t="str">
        <f t="shared" si="25"/>
        <v>24-May-2012</v>
      </c>
    </row>
    <row r="805" spans="1:20" x14ac:dyDescent="0.3">
      <c r="A805">
        <v>57185</v>
      </c>
      <c r="B805" s="1">
        <v>40686</v>
      </c>
      <c r="C805" t="s">
        <v>38</v>
      </c>
      <c r="D805" t="str">
        <f t="shared" si="24"/>
        <v>23-May-2011</v>
      </c>
      <c r="E805">
        <v>28</v>
      </c>
      <c r="F805" s="13">
        <v>1360.82</v>
      </c>
      <c r="G805">
        <v>0.06</v>
      </c>
      <c r="H805" t="s">
        <v>19</v>
      </c>
      <c r="I805" s="13">
        <v>385.03</v>
      </c>
      <c r="J805">
        <v>49.34</v>
      </c>
      <c r="K805">
        <v>10.25</v>
      </c>
      <c r="L805" t="s">
        <v>297</v>
      </c>
      <c r="M805" t="s">
        <v>161</v>
      </c>
      <c r="N805" s="5" t="s">
        <v>161</v>
      </c>
      <c r="O805" t="s">
        <v>28</v>
      </c>
      <c r="P805" t="s">
        <v>32</v>
      </c>
      <c r="Q805" t="s">
        <v>33</v>
      </c>
      <c r="R805">
        <v>0.56999999999999995</v>
      </c>
      <c r="S805" s="1">
        <v>40688</v>
      </c>
      <c r="T805" t="str">
        <f t="shared" si="25"/>
        <v>25-May-2011</v>
      </c>
    </row>
    <row r="806" spans="1:20" x14ac:dyDescent="0.3">
      <c r="A806">
        <v>49255</v>
      </c>
      <c r="B806" s="1">
        <v>41082</v>
      </c>
      <c r="C806" t="s">
        <v>23</v>
      </c>
      <c r="D806" t="str">
        <f t="shared" si="24"/>
        <v>22-Jun-2012</v>
      </c>
      <c r="E806">
        <v>20</v>
      </c>
      <c r="F806" s="13">
        <v>1357.44</v>
      </c>
      <c r="G806">
        <v>0.09</v>
      </c>
      <c r="H806" t="s">
        <v>24</v>
      </c>
      <c r="I806" s="13">
        <v>-102.3</v>
      </c>
      <c r="J806">
        <v>70.98</v>
      </c>
      <c r="K806">
        <v>26.85</v>
      </c>
      <c r="L806" t="s">
        <v>129</v>
      </c>
      <c r="M806" t="s">
        <v>161</v>
      </c>
      <c r="N806" s="5" t="s">
        <v>161</v>
      </c>
      <c r="O806" t="s">
        <v>28</v>
      </c>
      <c r="P806" t="s">
        <v>32</v>
      </c>
      <c r="Q806" t="s">
        <v>45</v>
      </c>
      <c r="S806" s="1">
        <v>41083</v>
      </c>
      <c r="T806" t="str">
        <f t="shared" si="25"/>
        <v>23-Jun-2012</v>
      </c>
    </row>
    <row r="807" spans="1:20" x14ac:dyDescent="0.3">
      <c r="A807">
        <v>35713</v>
      </c>
      <c r="B807" s="1">
        <v>41199</v>
      </c>
      <c r="C807" t="s">
        <v>38</v>
      </c>
      <c r="D807" t="str">
        <f t="shared" si="24"/>
        <v>17-Oct-2012</v>
      </c>
      <c r="E807">
        <v>49</v>
      </c>
      <c r="F807" s="13">
        <v>1355.47</v>
      </c>
      <c r="G807">
        <v>0.04</v>
      </c>
      <c r="H807" t="s">
        <v>19</v>
      </c>
      <c r="I807" s="13">
        <v>590.04</v>
      </c>
      <c r="J807">
        <v>28.53</v>
      </c>
      <c r="K807">
        <v>1.49</v>
      </c>
      <c r="L807" t="s">
        <v>213</v>
      </c>
      <c r="M807" t="s">
        <v>161</v>
      </c>
      <c r="N807" s="5" t="s">
        <v>161</v>
      </c>
      <c r="O807" t="s">
        <v>28</v>
      </c>
      <c r="P807" t="s">
        <v>21</v>
      </c>
      <c r="Q807" t="s">
        <v>26</v>
      </c>
      <c r="R807">
        <v>0.38</v>
      </c>
      <c r="S807" s="1">
        <v>41199</v>
      </c>
      <c r="T807" t="str">
        <f t="shared" si="25"/>
        <v>17-Oct-2012</v>
      </c>
    </row>
    <row r="808" spans="1:20" x14ac:dyDescent="0.3">
      <c r="A808">
        <v>41543</v>
      </c>
      <c r="B808" s="1">
        <v>39850</v>
      </c>
      <c r="C808" t="s">
        <v>18</v>
      </c>
      <c r="D808" t="str">
        <f t="shared" si="24"/>
        <v>06-Feb-2009</v>
      </c>
      <c r="E808">
        <v>24</v>
      </c>
      <c r="F808" s="13">
        <v>1318.8685</v>
      </c>
      <c r="G808">
        <v>0.03</v>
      </c>
      <c r="H808" t="s">
        <v>19</v>
      </c>
      <c r="I808" s="13">
        <v>172.33</v>
      </c>
      <c r="J808">
        <v>65.989999999999995</v>
      </c>
      <c r="K808">
        <v>3.99</v>
      </c>
      <c r="L808" t="s">
        <v>169</v>
      </c>
      <c r="M808" t="s">
        <v>161</v>
      </c>
      <c r="N808" s="5" t="s">
        <v>161</v>
      </c>
      <c r="O808" t="s">
        <v>28</v>
      </c>
      <c r="P808" t="s">
        <v>29</v>
      </c>
      <c r="Q808" t="s">
        <v>30</v>
      </c>
      <c r="R808">
        <v>0.59</v>
      </c>
      <c r="S808" s="1">
        <v>39854</v>
      </c>
      <c r="T808" t="str">
        <f t="shared" si="25"/>
        <v>10-Feb-2009</v>
      </c>
    </row>
    <row r="809" spans="1:20" x14ac:dyDescent="0.3">
      <c r="A809">
        <v>59392</v>
      </c>
      <c r="B809" s="1">
        <v>40355</v>
      </c>
      <c r="C809" t="s">
        <v>38</v>
      </c>
      <c r="D809" t="str">
        <f t="shared" si="24"/>
        <v>26-Jun-2010</v>
      </c>
      <c r="E809">
        <v>45</v>
      </c>
      <c r="F809" s="13">
        <v>1305.31</v>
      </c>
      <c r="G809">
        <v>0.03</v>
      </c>
      <c r="H809" t="s">
        <v>19</v>
      </c>
      <c r="I809" s="13">
        <v>589.20000000000005</v>
      </c>
      <c r="J809">
        <v>28.48</v>
      </c>
      <c r="K809">
        <v>1.99</v>
      </c>
      <c r="L809" t="s">
        <v>174</v>
      </c>
      <c r="M809" t="s">
        <v>161</v>
      </c>
      <c r="N809" s="5" t="s">
        <v>161</v>
      </c>
      <c r="O809" t="s">
        <v>28</v>
      </c>
      <c r="P809" t="s">
        <v>29</v>
      </c>
      <c r="Q809" t="s">
        <v>41</v>
      </c>
      <c r="R809">
        <v>0.4</v>
      </c>
      <c r="S809" s="1">
        <v>40357</v>
      </c>
      <c r="T809" t="str">
        <f t="shared" si="25"/>
        <v>28-Jun-2010</v>
      </c>
    </row>
    <row r="810" spans="1:20" x14ac:dyDescent="0.3">
      <c r="A810">
        <v>22951</v>
      </c>
      <c r="B810" s="1">
        <v>41032</v>
      </c>
      <c r="C810" t="s">
        <v>38</v>
      </c>
      <c r="D810" t="str">
        <f t="shared" si="24"/>
        <v>03-May-2012</v>
      </c>
      <c r="E810">
        <v>24</v>
      </c>
      <c r="F810" s="13">
        <v>1304.0274999999999</v>
      </c>
      <c r="G810">
        <v>0.1</v>
      </c>
      <c r="H810" t="s">
        <v>19</v>
      </c>
      <c r="I810" s="13">
        <v>34.36</v>
      </c>
      <c r="J810">
        <v>65.989999999999995</v>
      </c>
      <c r="K810">
        <v>8.99</v>
      </c>
      <c r="L810" t="s">
        <v>210</v>
      </c>
      <c r="M810" t="s">
        <v>161</v>
      </c>
      <c r="N810" s="5" t="s">
        <v>161</v>
      </c>
      <c r="O810" t="s">
        <v>28</v>
      </c>
      <c r="P810" t="s">
        <v>29</v>
      </c>
      <c r="Q810" t="s">
        <v>30</v>
      </c>
      <c r="R810">
        <v>0.6</v>
      </c>
      <c r="S810" s="1">
        <v>41032</v>
      </c>
      <c r="T810" t="str">
        <f t="shared" si="25"/>
        <v>03-May-2012</v>
      </c>
    </row>
    <row r="811" spans="1:20" x14ac:dyDescent="0.3">
      <c r="A811">
        <v>6311</v>
      </c>
      <c r="B811" s="1">
        <v>40219</v>
      </c>
      <c r="C811" t="s">
        <v>38</v>
      </c>
      <c r="D811" t="str">
        <f t="shared" si="24"/>
        <v>10-Feb-2010</v>
      </c>
      <c r="E811">
        <v>18</v>
      </c>
      <c r="F811" s="13">
        <v>1297.4485</v>
      </c>
      <c r="G811">
        <v>0.04</v>
      </c>
      <c r="H811" t="s">
        <v>19</v>
      </c>
      <c r="I811" s="13">
        <v>4.21</v>
      </c>
      <c r="J811">
        <v>85.99</v>
      </c>
      <c r="K811">
        <v>10.78</v>
      </c>
      <c r="L811" t="s">
        <v>176</v>
      </c>
      <c r="M811" t="s">
        <v>161</v>
      </c>
      <c r="N811" s="5" t="s">
        <v>161</v>
      </c>
      <c r="O811" t="s">
        <v>28</v>
      </c>
      <c r="P811" t="s">
        <v>29</v>
      </c>
      <c r="Q811" t="s">
        <v>30</v>
      </c>
      <c r="R811">
        <v>0.57999999999999996</v>
      </c>
      <c r="S811" s="1">
        <v>40222</v>
      </c>
      <c r="T811" t="str">
        <f t="shared" si="25"/>
        <v>13-Feb-2010</v>
      </c>
    </row>
    <row r="812" spans="1:20" x14ac:dyDescent="0.3">
      <c r="A812">
        <v>1538</v>
      </c>
      <c r="B812" s="1">
        <v>40711</v>
      </c>
      <c r="C812" t="s">
        <v>31</v>
      </c>
      <c r="D812" t="str">
        <f t="shared" si="24"/>
        <v>17-Jun-2011</v>
      </c>
      <c r="E812">
        <v>15</v>
      </c>
      <c r="F812" s="13">
        <v>1297.3040000000001</v>
      </c>
      <c r="G812">
        <v>0</v>
      </c>
      <c r="H812" t="s">
        <v>19</v>
      </c>
      <c r="I812" s="13">
        <v>149.82</v>
      </c>
      <c r="J812">
        <v>95.99</v>
      </c>
      <c r="K812">
        <v>4.9000000000000004</v>
      </c>
      <c r="L812" t="s">
        <v>186</v>
      </c>
      <c r="M812" t="s">
        <v>161</v>
      </c>
      <c r="N812" s="5" t="s">
        <v>161</v>
      </c>
      <c r="O812" t="s">
        <v>28</v>
      </c>
      <c r="P812" t="s">
        <v>29</v>
      </c>
      <c r="Q812" t="s">
        <v>30</v>
      </c>
      <c r="R812">
        <v>0.56000000000000005</v>
      </c>
      <c r="S812" s="1">
        <v>40712</v>
      </c>
      <c r="T812" t="str">
        <f t="shared" si="25"/>
        <v>18-Jun-2011</v>
      </c>
    </row>
    <row r="813" spans="1:20" x14ac:dyDescent="0.3">
      <c r="A813">
        <v>57542</v>
      </c>
      <c r="B813" s="1">
        <v>40047</v>
      </c>
      <c r="C813" t="s">
        <v>23</v>
      </c>
      <c r="D813" t="str">
        <f t="shared" si="24"/>
        <v>22-Aug-2009</v>
      </c>
      <c r="E813">
        <v>23</v>
      </c>
      <c r="F813" s="13">
        <v>1256.29</v>
      </c>
      <c r="G813">
        <v>0.04</v>
      </c>
      <c r="H813" t="s">
        <v>19</v>
      </c>
      <c r="I813" s="13">
        <v>517.03</v>
      </c>
      <c r="J813">
        <v>55.48</v>
      </c>
      <c r="K813">
        <v>6.79</v>
      </c>
      <c r="L813" t="s">
        <v>289</v>
      </c>
      <c r="M813" t="s">
        <v>161</v>
      </c>
      <c r="N813" s="5" t="s">
        <v>161</v>
      </c>
      <c r="O813" t="s">
        <v>28</v>
      </c>
      <c r="P813" t="s">
        <v>21</v>
      </c>
      <c r="Q813" t="s">
        <v>37</v>
      </c>
      <c r="R813">
        <v>0.37</v>
      </c>
      <c r="S813" s="1">
        <v>40049</v>
      </c>
      <c r="T813" t="str">
        <f t="shared" si="25"/>
        <v>24-Aug-2009</v>
      </c>
    </row>
    <row r="814" spans="1:20" x14ac:dyDescent="0.3">
      <c r="A814">
        <v>52256</v>
      </c>
      <c r="B814" s="1">
        <v>40486</v>
      </c>
      <c r="C814" t="s">
        <v>31</v>
      </c>
      <c r="D814" t="str">
        <f t="shared" si="24"/>
        <v>04-Nov-2010</v>
      </c>
      <c r="E814">
        <v>23</v>
      </c>
      <c r="F814" s="13">
        <v>1236.954</v>
      </c>
      <c r="G814">
        <v>0.06</v>
      </c>
      <c r="H814" t="s">
        <v>19</v>
      </c>
      <c r="I814" s="13">
        <v>119.89</v>
      </c>
      <c r="J814">
        <v>65.989999999999995</v>
      </c>
      <c r="K814">
        <v>4.2</v>
      </c>
      <c r="L814" t="s">
        <v>208</v>
      </c>
      <c r="M814" t="s">
        <v>161</v>
      </c>
      <c r="N814" s="5" t="s">
        <v>161</v>
      </c>
      <c r="O814" t="s">
        <v>28</v>
      </c>
      <c r="P814" t="s">
        <v>29</v>
      </c>
      <c r="Q814" t="s">
        <v>30</v>
      </c>
      <c r="R814">
        <v>0.59</v>
      </c>
      <c r="S814" s="1">
        <v>40488</v>
      </c>
      <c r="T814" t="str">
        <f t="shared" si="25"/>
        <v>06-Nov-2010</v>
      </c>
    </row>
    <row r="815" spans="1:20" x14ac:dyDescent="0.3">
      <c r="A815">
        <v>45543</v>
      </c>
      <c r="B815" s="1">
        <v>40576</v>
      </c>
      <c r="C815" t="s">
        <v>18</v>
      </c>
      <c r="D815" t="str">
        <f t="shared" si="24"/>
        <v>02-Feb-2011</v>
      </c>
      <c r="E815">
        <v>16</v>
      </c>
      <c r="F815" s="13">
        <v>1223.43</v>
      </c>
      <c r="G815">
        <v>0.01</v>
      </c>
      <c r="H815" t="s">
        <v>24</v>
      </c>
      <c r="I815" s="13">
        <v>-1615.59</v>
      </c>
      <c r="J815">
        <v>70.89</v>
      </c>
      <c r="K815">
        <v>89.3</v>
      </c>
      <c r="L815" t="s">
        <v>307</v>
      </c>
      <c r="M815" t="s">
        <v>161</v>
      </c>
      <c r="N815" s="5" t="s">
        <v>161</v>
      </c>
      <c r="O815" t="s">
        <v>28</v>
      </c>
      <c r="P815" t="s">
        <v>32</v>
      </c>
      <c r="Q815" t="s">
        <v>46</v>
      </c>
      <c r="R815">
        <v>0.69</v>
      </c>
      <c r="S815" s="1">
        <v>40580</v>
      </c>
      <c r="T815" t="str">
        <f t="shared" si="25"/>
        <v>06-Feb-2011</v>
      </c>
    </row>
    <row r="816" spans="1:20" x14ac:dyDescent="0.3">
      <c r="A816">
        <v>13121</v>
      </c>
      <c r="B816" s="1">
        <v>40244</v>
      </c>
      <c r="C816" t="s">
        <v>23</v>
      </c>
      <c r="D816" t="str">
        <f t="shared" si="24"/>
        <v>07-Mar-2010</v>
      </c>
      <c r="E816">
        <v>36</v>
      </c>
      <c r="F816" s="13">
        <v>1211</v>
      </c>
      <c r="G816">
        <v>0</v>
      </c>
      <c r="H816" t="s">
        <v>19</v>
      </c>
      <c r="I816" s="13">
        <v>-27.99</v>
      </c>
      <c r="J816">
        <v>30.98</v>
      </c>
      <c r="K816">
        <v>6.5</v>
      </c>
      <c r="L816" t="s">
        <v>293</v>
      </c>
      <c r="M816" t="s">
        <v>161</v>
      </c>
      <c r="N816" s="5" t="s">
        <v>161</v>
      </c>
      <c r="O816" t="s">
        <v>28</v>
      </c>
      <c r="P816" t="s">
        <v>29</v>
      </c>
      <c r="Q816" t="s">
        <v>41</v>
      </c>
      <c r="R816">
        <v>0.79</v>
      </c>
      <c r="S816" s="1">
        <v>40245</v>
      </c>
      <c r="T816" t="str">
        <f t="shared" si="25"/>
        <v>08-Mar-2010</v>
      </c>
    </row>
    <row r="817" spans="1:20" x14ac:dyDescent="0.3">
      <c r="A817">
        <v>10183</v>
      </c>
      <c r="B817" s="1">
        <v>40141</v>
      </c>
      <c r="C817" t="s">
        <v>43</v>
      </c>
      <c r="D817" t="str">
        <f t="shared" si="24"/>
        <v>24-Nov-2009</v>
      </c>
      <c r="E817">
        <v>48</v>
      </c>
      <c r="F817" s="13">
        <v>1210.02</v>
      </c>
      <c r="G817">
        <v>0.06</v>
      </c>
      <c r="H817" t="s">
        <v>24</v>
      </c>
      <c r="I817" s="13">
        <v>-279.44</v>
      </c>
      <c r="J817">
        <v>25.98</v>
      </c>
      <c r="K817">
        <v>14.36</v>
      </c>
      <c r="L817" t="s">
        <v>192</v>
      </c>
      <c r="M817" t="s">
        <v>161</v>
      </c>
      <c r="N817" s="5" t="s">
        <v>161</v>
      </c>
      <c r="O817" t="s">
        <v>28</v>
      </c>
      <c r="P817" t="s">
        <v>32</v>
      </c>
      <c r="Q817" t="s">
        <v>56</v>
      </c>
      <c r="R817">
        <v>0.6</v>
      </c>
      <c r="S817" s="1">
        <v>40142</v>
      </c>
      <c r="T817" t="str">
        <f t="shared" si="25"/>
        <v>25-Nov-2009</v>
      </c>
    </row>
    <row r="818" spans="1:20" x14ac:dyDescent="0.3">
      <c r="A818">
        <v>18661</v>
      </c>
      <c r="B818" s="1">
        <v>41160</v>
      </c>
      <c r="C818" t="s">
        <v>18</v>
      </c>
      <c r="D818" t="str">
        <f t="shared" si="24"/>
        <v>08-Sep-2012</v>
      </c>
      <c r="E818">
        <v>12</v>
      </c>
      <c r="F818" s="13">
        <v>1207.08</v>
      </c>
      <c r="G818">
        <v>0.05</v>
      </c>
      <c r="H818" t="s">
        <v>24</v>
      </c>
      <c r="I818" s="13">
        <v>-351.3</v>
      </c>
      <c r="J818">
        <v>95.98</v>
      </c>
      <c r="K818">
        <v>58.2</v>
      </c>
      <c r="L818" t="s">
        <v>182</v>
      </c>
      <c r="M818" t="s">
        <v>161</v>
      </c>
      <c r="N818" s="5" t="s">
        <v>161</v>
      </c>
      <c r="O818" t="s">
        <v>28</v>
      </c>
      <c r="P818" t="s">
        <v>32</v>
      </c>
      <c r="Q818" t="s">
        <v>56</v>
      </c>
      <c r="R818">
        <v>0.57999999999999996</v>
      </c>
      <c r="S818" s="1">
        <v>41164</v>
      </c>
      <c r="T818" t="str">
        <f t="shared" si="25"/>
        <v>12-Sep-2012</v>
      </c>
    </row>
    <row r="819" spans="1:20" x14ac:dyDescent="0.3">
      <c r="A819">
        <v>28999</v>
      </c>
      <c r="B819" s="1">
        <v>39823</v>
      </c>
      <c r="C819" t="s">
        <v>23</v>
      </c>
      <c r="D819" t="str">
        <f t="shared" si="24"/>
        <v>10-Jan-2009</v>
      </c>
      <c r="E819">
        <v>34</v>
      </c>
      <c r="F819" s="13">
        <v>1177.5</v>
      </c>
      <c r="G819">
        <v>0.02</v>
      </c>
      <c r="H819" t="s">
        <v>19</v>
      </c>
      <c r="I819" s="13">
        <v>420.05</v>
      </c>
      <c r="J819">
        <v>33.979999999999997</v>
      </c>
      <c r="K819">
        <v>1.99</v>
      </c>
      <c r="L819" t="s">
        <v>229</v>
      </c>
      <c r="M819" t="s">
        <v>161</v>
      </c>
      <c r="N819" s="5" t="s">
        <v>161</v>
      </c>
      <c r="O819" t="s">
        <v>28</v>
      </c>
      <c r="P819" t="s">
        <v>29</v>
      </c>
      <c r="Q819" t="s">
        <v>41</v>
      </c>
      <c r="R819">
        <v>0.45</v>
      </c>
      <c r="S819" s="1">
        <v>39824</v>
      </c>
      <c r="T819" t="str">
        <f t="shared" si="25"/>
        <v>11-Jan-2009</v>
      </c>
    </row>
    <row r="820" spans="1:20" x14ac:dyDescent="0.3">
      <c r="A820">
        <v>28225</v>
      </c>
      <c r="B820" s="1">
        <v>39835</v>
      </c>
      <c r="C820" t="s">
        <v>43</v>
      </c>
      <c r="D820" t="str">
        <f t="shared" si="24"/>
        <v>22-Jan-2009</v>
      </c>
      <c r="E820">
        <v>13</v>
      </c>
      <c r="F820" s="13">
        <v>1160.5899999999999</v>
      </c>
      <c r="G820">
        <v>0.01</v>
      </c>
      <c r="H820" t="s">
        <v>19</v>
      </c>
      <c r="I820" s="13">
        <v>-330.14</v>
      </c>
      <c r="J820">
        <v>80.98</v>
      </c>
      <c r="K820">
        <v>35</v>
      </c>
      <c r="L820" t="s">
        <v>296</v>
      </c>
      <c r="M820" t="s">
        <v>161</v>
      </c>
      <c r="N820" s="5" t="s">
        <v>161</v>
      </c>
      <c r="O820" t="s">
        <v>28</v>
      </c>
      <c r="P820" t="s">
        <v>21</v>
      </c>
      <c r="Q820" t="s">
        <v>22</v>
      </c>
      <c r="R820">
        <v>0.83</v>
      </c>
      <c r="S820" s="1">
        <v>39837</v>
      </c>
      <c r="T820" t="str">
        <f t="shared" si="25"/>
        <v>24-Jan-2009</v>
      </c>
    </row>
    <row r="821" spans="1:20" x14ac:dyDescent="0.3">
      <c r="A821">
        <v>6948</v>
      </c>
      <c r="B821" s="1">
        <v>40521</v>
      </c>
      <c r="C821" t="s">
        <v>31</v>
      </c>
      <c r="D821" t="str">
        <f t="shared" si="24"/>
        <v>09-Dec-2010</v>
      </c>
      <c r="E821">
        <v>15</v>
      </c>
      <c r="F821" s="13">
        <v>1143.8800000000001</v>
      </c>
      <c r="G821">
        <v>0.04</v>
      </c>
      <c r="H821" t="s">
        <v>19</v>
      </c>
      <c r="I821" s="13">
        <v>-88.7</v>
      </c>
      <c r="J821">
        <v>73.98</v>
      </c>
      <c r="K821">
        <v>4</v>
      </c>
      <c r="L821" t="s">
        <v>213</v>
      </c>
      <c r="M821" t="s">
        <v>161</v>
      </c>
      <c r="N821" s="5" t="s">
        <v>161</v>
      </c>
      <c r="O821" t="s">
        <v>28</v>
      </c>
      <c r="P821" t="s">
        <v>29</v>
      </c>
      <c r="Q821" t="s">
        <v>41</v>
      </c>
      <c r="R821">
        <v>0.79</v>
      </c>
      <c r="S821" s="1">
        <v>40522</v>
      </c>
      <c r="T821" t="str">
        <f t="shared" si="25"/>
        <v>10-Dec-2010</v>
      </c>
    </row>
    <row r="822" spans="1:20" x14ac:dyDescent="0.3">
      <c r="A822">
        <v>230</v>
      </c>
      <c r="B822" s="1">
        <v>40477</v>
      </c>
      <c r="C822" t="s">
        <v>43</v>
      </c>
      <c r="D822" t="str">
        <f t="shared" si="24"/>
        <v>26-Oct-2010</v>
      </c>
      <c r="E822">
        <v>11</v>
      </c>
      <c r="F822" s="13">
        <v>1118.396</v>
      </c>
      <c r="G822">
        <v>0.06</v>
      </c>
      <c r="H822" t="s">
        <v>19</v>
      </c>
      <c r="I822" s="13">
        <v>-212.33</v>
      </c>
      <c r="J822">
        <v>125.99</v>
      </c>
      <c r="K822">
        <v>8.08</v>
      </c>
      <c r="L822" t="s">
        <v>182</v>
      </c>
      <c r="M822" t="s">
        <v>161</v>
      </c>
      <c r="N822" s="5" t="s">
        <v>161</v>
      </c>
      <c r="O822" t="s">
        <v>28</v>
      </c>
      <c r="P822" t="s">
        <v>29</v>
      </c>
      <c r="Q822" t="s">
        <v>30</v>
      </c>
      <c r="R822">
        <v>0.56999999999999995</v>
      </c>
      <c r="S822" s="1">
        <v>40479</v>
      </c>
      <c r="T822" t="str">
        <f t="shared" si="25"/>
        <v>28-Oct-2010</v>
      </c>
    </row>
    <row r="823" spans="1:20" x14ac:dyDescent="0.3">
      <c r="A823">
        <v>39555</v>
      </c>
      <c r="B823" s="1">
        <v>41156</v>
      </c>
      <c r="C823" t="s">
        <v>18</v>
      </c>
      <c r="D823" t="str">
        <f t="shared" si="24"/>
        <v>04-Sep-2012</v>
      </c>
      <c r="E823">
        <v>38</v>
      </c>
      <c r="F823" s="13">
        <v>1112.54</v>
      </c>
      <c r="G823">
        <v>0.01</v>
      </c>
      <c r="H823" t="s">
        <v>19</v>
      </c>
      <c r="I823" s="13">
        <v>352.96</v>
      </c>
      <c r="J823">
        <v>27.18</v>
      </c>
      <c r="K823">
        <v>8.23</v>
      </c>
      <c r="L823" t="s">
        <v>200</v>
      </c>
      <c r="M823" t="s">
        <v>161</v>
      </c>
      <c r="N823" s="5" t="s">
        <v>161</v>
      </c>
      <c r="O823" t="s">
        <v>28</v>
      </c>
      <c r="P823" t="s">
        <v>21</v>
      </c>
      <c r="Q823" t="s">
        <v>42</v>
      </c>
      <c r="R823">
        <v>0.38</v>
      </c>
      <c r="S823" s="1">
        <v>41161</v>
      </c>
      <c r="T823" t="str">
        <f t="shared" si="25"/>
        <v>09-Sep-2012</v>
      </c>
    </row>
    <row r="824" spans="1:20" x14ac:dyDescent="0.3">
      <c r="A824">
        <v>52930</v>
      </c>
      <c r="B824" s="1">
        <v>40855</v>
      </c>
      <c r="C824" t="s">
        <v>18</v>
      </c>
      <c r="D824" t="str">
        <f t="shared" si="24"/>
        <v>08-Nov-2011</v>
      </c>
      <c r="E824">
        <v>24</v>
      </c>
      <c r="F824" s="13">
        <v>1112.1569999999999</v>
      </c>
      <c r="G824">
        <v>0.09</v>
      </c>
      <c r="H824" t="s">
        <v>19</v>
      </c>
      <c r="I824" s="13">
        <v>140.81</v>
      </c>
      <c r="J824">
        <v>55.99</v>
      </c>
      <c r="K824">
        <v>3.3</v>
      </c>
      <c r="L824" t="s">
        <v>118</v>
      </c>
      <c r="M824" t="s">
        <v>161</v>
      </c>
      <c r="N824" s="5" t="s">
        <v>161</v>
      </c>
      <c r="O824" t="s">
        <v>28</v>
      </c>
      <c r="P824" t="s">
        <v>29</v>
      </c>
      <c r="Q824" t="s">
        <v>30</v>
      </c>
      <c r="R824">
        <v>0.59</v>
      </c>
      <c r="S824" s="1">
        <v>40855</v>
      </c>
      <c r="T824" t="str">
        <f t="shared" si="25"/>
        <v>08-Nov-2011</v>
      </c>
    </row>
    <row r="825" spans="1:20" x14ac:dyDescent="0.3">
      <c r="A825">
        <v>18213</v>
      </c>
      <c r="B825" s="1">
        <v>40431</v>
      </c>
      <c r="C825" t="s">
        <v>38</v>
      </c>
      <c r="D825" t="str">
        <f t="shared" si="24"/>
        <v>10-Sep-2010</v>
      </c>
      <c r="E825">
        <v>29</v>
      </c>
      <c r="F825" s="13">
        <v>1111.23</v>
      </c>
      <c r="G825">
        <v>0.1</v>
      </c>
      <c r="H825" t="s">
        <v>19</v>
      </c>
      <c r="I825" s="13">
        <v>21.6</v>
      </c>
      <c r="J825">
        <v>40.99</v>
      </c>
      <c r="K825">
        <v>19.989999999999998</v>
      </c>
      <c r="L825" t="s">
        <v>296</v>
      </c>
      <c r="M825" t="s">
        <v>161</v>
      </c>
      <c r="N825" s="5" t="s">
        <v>161</v>
      </c>
      <c r="O825" t="s">
        <v>28</v>
      </c>
      <c r="P825" t="s">
        <v>21</v>
      </c>
      <c r="Q825" t="s">
        <v>37</v>
      </c>
      <c r="R825">
        <v>0.36</v>
      </c>
      <c r="S825" s="1">
        <v>40433</v>
      </c>
      <c r="T825" t="str">
        <f t="shared" si="25"/>
        <v>12-Sep-2010</v>
      </c>
    </row>
    <row r="826" spans="1:20" x14ac:dyDescent="0.3">
      <c r="A826">
        <v>11040</v>
      </c>
      <c r="B826" s="1">
        <v>40839</v>
      </c>
      <c r="C826" t="s">
        <v>31</v>
      </c>
      <c r="D826" t="str">
        <f t="shared" si="24"/>
        <v>23-Oct-2011</v>
      </c>
      <c r="E826">
        <v>44</v>
      </c>
      <c r="F826" s="13">
        <v>1102.28</v>
      </c>
      <c r="G826">
        <v>0.03</v>
      </c>
      <c r="H826" t="s">
        <v>19</v>
      </c>
      <c r="I826" s="13">
        <v>389.61</v>
      </c>
      <c r="J826">
        <v>23.99</v>
      </c>
      <c r="K826">
        <v>6.71</v>
      </c>
      <c r="L826" t="s">
        <v>214</v>
      </c>
      <c r="M826" t="s">
        <v>161</v>
      </c>
      <c r="N826" s="5" t="s">
        <v>161</v>
      </c>
      <c r="O826" t="s">
        <v>28</v>
      </c>
      <c r="P826" t="s">
        <v>21</v>
      </c>
      <c r="Q826" t="s">
        <v>42</v>
      </c>
      <c r="R826">
        <v>0.35</v>
      </c>
      <c r="S826" s="1">
        <v>40839</v>
      </c>
      <c r="T826" t="str">
        <f t="shared" si="25"/>
        <v>23-Oct-2011</v>
      </c>
    </row>
    <row r="827" spans="1:20" x14ac:dyDescent="0.3">
      <c r="A827">
        <v>27461</v>
      </c>
      <c r="B827" s="1">
        <v>40235</v>
      </c>
      <c r="C827" t="s">
        <v>43</v>
      </c>
      <c r="D827" t="str">
        <f t="shared" si="24"/>
        <v>26-Feb-2010</v>
      </c>
      <c r="E827">
        <v>26</v>
      </c>
      <c r="F827" s="13">
        <v>1096.17</v>
      </c>
      <c r="G827">
        <v>0.01</v>
      </c>
      <c r="H827" t="s">
        <v>19</v>
      </c>
      <c r="I827" s="13">
        <v>110.78</v>
      </c>
      <c r="J827">
        <v>40.99</v>
      </c>
      <c r="K827">
        <v>19.989999999999998</v>
      </c>
      <c r="L827" t="s">
        <v>183</v>
      </c>
      <c r="M827" t="s">
        <v>161</v>
      </c>
      <c r="N827" s="5" t="s">
        <v>161</v>
      </c>
      <c r="O827" t="s">
        <v>28</v>
      </c>
      <c r="P827" t="s">
        <v>21</v>
      </c>
      <c r="Q827" t="s">
        <v>37</v>
      </c>
      <c r="R827">
        <v>0.36</v>
      </c>
      <c r="S827" s="1">
        <v>40235</v>
      </c>
      <c r="T827" t="str">
        <f t="shared" si="25"/>
        <v>26-Feb-2010</v>
      </c>
    </row>
    <row r="828" spans="1:20" x14ac:dyDescent="0.3">
      <c r="A828">
        <v>29411</v>
      </c>
      <c r="B828" s="1">
        <v>41005</v>
      </c>
      <c r="C828" t="s">
        <v>23</v>
      </c>
      <c r="D828" t="str">
        <f t="shared" si="24"/>
        <v>06-Apr-2012</v>
      </c>
      <c r="E828">
        <v>45</v>
      </c>
      <c r="F828" s="13">
        <v>1084.1199999999999</v>
      </c>
      <c r="G828">
        <v>0.04</v>
      </c>
      <c r="H828" t="s">
        <v>19</v>
      </c>
      <c r="I828" s="13">
        <v>294.43</v>
      </c>
      <c r="J828">
        <v>23.99</v>
      </c>
      <c r="K828">
        <v>6.3</v>
      </c>
      <c r="L828" t="s">
        <v>200</v>
      </c>
      <c r="M828" t="s">
        <v>161</v>
      </c>
      <c r="N828" s="5" t="s">
        <v>161</v>
      </c>
      <c r="O828" t="s">
        <v>28</v>
      </c>
      <c r="P828" t="s">
        <v>29</v>
      </c>
      <c r="Q828" t="s">
        <v>74</v>
      </c>
      <c r="R828">
        <v>0.38</v>
      </c>
      <c r="S828" s="1">
        <v>41005</v>
      </c>
      <c r="T828" t="str">
        <f t="shared" si="25"/>
        <v>06-Apr-2012</v>
      </c>
    </row>
    <row r="829" spans="1:20" x14ac:dyDescent="0.3">
      <c r="A829">
        <v>21729</v>
      </c>
      <c r="B829" s="1">
        <v>41249</v>
      </c>
      <c r="C829" t="s">
        <v>18</v>
      </c>
      <c r="D829" t="str">
        <f t="shared" si="24"/>
        <v>06-Dec-2012</v>
      </c>
      <c r="E829">
        <v>14</v>
      </c>
      <c r="F829" s="13">
        <v>1082.6600000000001</v>
      </c>
      <c r="G829">
        <v>0.08</v>
      </c>
      <c r="H829" t="s">
        <v>19</v>
      </c>
      <c r="I829" s="13">
        <v>-256.93</v>
      </c>
      <c r="J829">
        <v>79.52</v>
      </c>
      <c r="K829">
        <v>48.2</v>
      </c>
      <c r="L829" t="s">
        <v>293</v>
      </c>
      <c r="M829" t="s">
        <v>161</v>
      </c>
      <c r="N829" s="5" t="s">
        <v>161</v>
      </c>
      <c r="O829" t="s">
        <v>28</v>
      </c>
      <c r="P829" t="s">
        <v>32</v>
      </c>
      <c r="Q829" t="s">
        <v>33</v>
      </c>
      <c r="R829">
        <v>0.74</v>
      </c>
      <c r="S829" s="1">
        <v>41256</v>
      </c>
      <c r="T829" t="str">
        <f t="shared" si="25"/>
        <v>13-Dec-2012</v>
      </c>
    </row>
    <row r="830" spans="1:20" x14ac:dyDescent="0.3">
      <c r="A830">
        <v>10624</v>
      </c>
      <c r="B830" s="1">
        <v>40167</v>
      </c>
      <c r="C830" t="s">
        <v>43</v>
      </c>
      <c r="D830" t="str">
        <f t="shared" si="24"/>
        <v>20-Dec-2009</v>
      </c>
      <c r="E830">
        <v>23</v>
      </c>
      <c r="F830" s="13">
        <v>1082.43</v>
      </c>
      <c r="G830">
        <v>0.06</v>
      </c>
      <c r="H830" t="s">
        <v>19</v>
      </c>
      <c r="I830" s="13">
        <v>23.97</v>
      </c>
      <c r="J830">
        <v>47.98</v>
      </c>
      <c r="K830">
        <v>3.61</v>
      </c>
      <c r="L830" t="s">
        <v>195</v>
      </c>
      <c r="M830" t="s">
        <v>161</v>
      </c>
      <c r="N830" s="5" t="s">
        <v>161</v>
      </c>
      <c r="O830" t="s">
        <v>28</v>
      </c>
      <c r="P830" t="s">
        <v>29</v>
      </c>
      <c r="Q830" t="s">
        <v>41</v>
      </c>
      <c r="R830">
        <v>0.71</v>
      </c>
      <c r="S830" s="1">
        <v>40169</v>
      </c>
      <c r="T830" t="str">
        <f t="shared" si="25"/>
        <v>22-Dec-2009</v>
      </c>
    </row>
    <row r="831" spans="1:20" x14ac:dyDescent="0.3">
      <c r="A831">
        <v>52391</v>
      </c>
      <c r="B831" s="1">
        <v>40159</v>
      </c>
      <c r="C831" t="s">
        <v>23</v>
      </c>
      <c r="D831" t="str">
        <f t="shared" si="24"/>
        <v>12-Dec-2009</v>
      </c>
      <c r="E831">
        <v>36</v>
      </c>
      <c r="F831" s="13">
        <v>1072.3599999999999</v>
      </c>
      <c r="G831">
        <v>0.04</v>
      </c>
      <c r="H831" t="s">
        <v>19</v>
      </c>
      <c r="I831" s="13">
        <v>440.48</v>
      </c>
      <c r="J831">
        <v>29.14</v>
      </c>
      <c r="K831">
        <v>4.8600000000000003</v>
      </c>
      <c r="L831" t="s">
        <v>187</v>
      </c>
      <c r="M831" t="s">
        <v>161</v>
      </c>
      <c r="N831" s="5" t="s">
        <v>161</v>
      </c>
      <c r="O831" t="s">
        <v>28</v>
      </c>
      <c r="P831" t="s">
        <v>21</v>
      </c>
      <c r="Q831" t="s">
        <v>37</v>
      </c>
      <c r="R831">
        <v>0.38</v>
      </c>
      <c r="S831" s="1">
        <v>40161</v>
      </c>
      <c r="T831" t="str">
        <f t="shared" si="25"/>
        <v>14-Dec-2009</v>
      </c>
    </row>
    <row r="832" spans="1:20" x14ac:dyDescent="0.3">
      <c r="A832">
        <v>23429</v>
      </c>
      <c r="B832" s="1">
        <v>39891</v>
      </c>
      <c r="C832" t="s">
        <v>43</v>
      </c>
      <c r="D832" t="str">
        <f t="shared" si="24"/>
        <v>19-Mar-2009</v>
      </c>
      <c r="E832">
        <v>19</v>
      </c>
      <c r="F832" s="13">
        <v>1063.3499999999999</v>
      </c>
      <c r="G832">
        <v>7.0000000000000007E-2</v>
      </c>
      <c r="H832" t="s">
        <v>35</v>
      </c>
      <c r="I832" s="13">
        <v>107.08</v>
      </c>
      <c r="J832">
        <v>65.989999999999995</v>
      </c>
      <c r="K832">
        <v>5.26</v>
      </c>
      <c r="L832" t="s">
        <v>62</v>
      </c>
      <c r="M832" t="s">
        <v>161</v>
      </c>
      <c r="N832" s="5" t="s">
        <v>161</v>
      </c>
      <c r="O832" t="s">
        <v>28</v>
      </c>
      <c r="P832" t="s">
        <v>29</v>
      </c>
      <c r="Q832" t="s">
        <v>30</v>
      </c>
      <c r="R832">
        <v>0.56000000000000005</v>
      </c>
      <c r="S832" s="1">
        <v>39893</v>
      </c>
      <c r="T832" t="str">
        <f t="shared" si="25"/>
        <v>21-Mar-2009</v>
      </c>
    </row>
    <row r="833" spans="1:20" x14ac:dyDescent="0.3">
      <c r="A833">
        <v>20480</v>
      </c>
      <c r="B833" s="1">
        <v>39842</v>
      </c>
      <c r="C833" t="s">
        <v>38</v>
      </c>
      <c r="D833" t="str">
        <f t="shared" si="24"/>
        <v>29-Jan-2009</v>
      </c>
      <c r="E833">
        <v>4</v>
      </c>
      <c r="F833" s="13">
        <v>1042.6300000000001</v>
      </c>
      <c r="G833">
        <v>0.02</v>
      </c>
      <c r="H833" t="s">
        <v>24</v>
      </c>
      <c r="I833" s="13">
        <v>-219.93</v>
      </c>
      <c r="J833">
        <v>240.98</v>
      </c>
      <c r="K833">
        <v>60.2</v>
      </c>
      <c r="L833" t="s">
        <v>167</v>
      </c>
      <c r="M833" t="s">
        <v>161</v>
      </c>
      <c r="N833" s="5" t="s">
        <v>161</v>
      </c>
      <c r="O833" t="s">
        <v>28</v>
      </c>
      <c r="P833" t="s">
        <v>32</v>
      </c>
      <c r="Q833" t="s">
        <v>45</v>
      </c>
      <c r="R833">
        <v>0.56000000000000005</v>
      </c>
      <c r="S833" s="1">
        <v>39844</v>
      </c>
      <c r="T833" t="str">
        <f t="shared" si="25"/>
        <v>31-Jan-2009</v>
      </c>
    </row>
    <row r="834" spans="1:20" x14ac:dyDescent="0.3">
      <c r="A834">
        <v>34209</v>
      </c>
      <c r="B834" s="1">
        <v>40414</v>
      </c>
      <c r="C834" t="s">
        <v>23</v>
      </c>
      <c r="D834" t="str">
        <f t="shared" ref="D834:D897" si="26">TEXT(B834, "dd-mmm-yyyy" )</f>
        <v>24-Aug-2010</v>
      </c>
      <c r="E834">
        <v>29</v>
      </c>
      <c r="F834" s="13">
        <v>1041.72</v>
      </c>
      <c r="G834">
        <v>0.03</v>
      </c>
      <c r="H834" t="s">
        <v>19</v>
      </c>
      <c r="I834" s="13">
        <v>437.61</v>
      </c>
      <c r="J834">
        <v>35.44</v>
      </c>
      <c r="K834">
        <v>4.92</v>
      </c>
      <c r="L834" t="s">
        <v>175</v>
      </c>
      <c r="M834" t="s">
        <v>161</v>
      </c>
      <c r="N834" s="5" t="s">
        <v>161</v>
      </c>
      <c r="O834" t="s">
        <v>28</v>
      </c>
      <c r="P834" t="s">
        <v>21</v>
      </c>
      <c r="Q834" t="s">
        <v>37</v>
      </c>
      <c r="R834">
        <v>0.38</v>
      </c>
      <c r="S834" s="1">
        <v>40416</v>
      </c>
      <c r="T834" t="str">
        <f t="shared" ref="T834:T897" si="27">TEXT(S834, "dd-mmm-yyyy")</f>
        <v>26-Aug-2010</v>
      </c>
    </row>
    <row r="835" spans="1:20" x14ac:dyDescent="0.3">
      <c r="A835">
        <v>41664</v>
      </c>
      <c r="B835" s="1">
        <v>40881</v>
      </c>
      <c r="C835" t="s">
        <v>43</v>
      </c>
      <c r="D835" t="str">
        <f t="shared" si="26"/>
        <v>04-Dec-2011</v>
      </c>
      <c r="E835">
        <v>40</v>
      </c>
      <c r="F835" s="13">
        <v>1038.19</v>
      </c>
      <c r="G835">
        <v>7.0000000000000007E-2</v>
      </c>
      <c r="H835" t="s">
        <v>19</v>
      </c>
      <c r="I835" s="13">
        <v>230.69</v>
      </c>
      <c r="J835">
        <v>25.98</v>
      </c>
      <c r="K835">
        <v>4.08</v>
      </c>
      <c r="L835" t="s">
        <v>165</v>
      </c>
      <c r="M835" t="s">
        <v>161</v>
      </c>
      <c r="N835" s="5" t="s">
        <v>161</v>
      </c>
      <c r="O835" t="s">
        <v>28</v>
      </c>
      <c r="P835" t="s">
        <v>21</v>
      </c>
      <c r="Q835" t="s">
        <v>50</v>
      </c>
      <c r="R835">
        <v>0.56999999999999995</v>
      </c>
      <c r="S835" s="1">
        <v>40883</v>
      </c>
      <c r="T835" t="str">
        <f t="shared" si="27"/>
        <v>06-Dec-2011</v>
      </c>
    </row>
    <row r="836" spans="1:20" x14ac:dyDescent="0.3">
      <c r="A836">
        <v>33090</v>
      </c>
      <c r="B836" s="1">
        <v>40030</v>
      </c>
      <c r="C836" t="s">
        <v>38</v>
      </c>
      <c r="D836" t="str">
        <f t="shared" si="26"/>
        <v>05-Aug-2009</v>
      </c>
      <c r="E836">
        <v>26</v>
      </c>
      <c r="F836" s="13">
        <v>1033.93</v>
      </c>
      <c r="G836">
        <v>0</v>
      </c>
      <c r="H836" t="s">
        <v>19</v>
      </c>
      <c r="I836" s="13">
        <v>63.41</v>
      </c>
      <c r="J836">
        <v>37.76</v>
      </c>
      <c r="K836">
        <v>12.9</v>
      </c>
      <c r="L836" t="s">
        <v>245</v>
      </c>
      <c r="M836" t="s">
        <v>161</v>
      </c>
      <c r="N836" s="5" t="s">
        <v>161</v>
      </c>
      <c r="O836" t="s">
        <v>28</v>
      </c>
      <c r="P836" t="s">
        <v>21</v>
      </c>
      <c r="Q836" t="s">
        <v>22</v>
      </c>
      <c r="R836">
        <v>0.56999999999999995</v>
      </c>
      <c r="S836" s="1">
        <v>40031</v>
      </c>
      <c r="T836" t="str">
        <f t="shared" si="27"/>
        <v>06-Aug-2009</v>
      </c>
    </row>
    <row r="837" spans="1:20" x14ac:dyDescent="0.3">
      <c r="A837">
        <v>36643</v>
      </c>
      <c r="B837" s="1">
        <v>39867</v>
      </c>
      <c r="C837" t="s">
        <v>43</v>
      </c>
      <c r="D837" t="str">
        <f t="shared" si="26"/>
        <v>23-Feb-2009</v>
      </c>
      <c r="E837">
        <v>30</v>
      </c>
      <c r="F837" s="13">
        <v>1025.02</v>
      </c>
      <c r="G837">
        <v>0.04</v>
      </c>
      <c r="H837" t="s">
        <v>19</v>
      </c>
      <c r="I837" s="13">
        <v>87.03</v>
      </c>
      <c r="J837">
        <v>33.29</v>
      </c>
      <c r="K837">
        <v>8.74</v>
      </c>
      <c r="L837" t="s">
        <v>201</v>
      </c>
      <c r="M837" t="s">
        <v>161</v>
      </c>
      <c r="N837" s="5" t="s">
        <v>161</v>
      </c>
      <c r="O837" t="s">
        <v>28</v>
      </c>
      <c r="P837" t="s">
        <v>21</v>
      </c>
      <c r="Q837" t="s">
        <v>22</v>
      </c>
      <c r="R837">
        <v>0.61</v>
      </c>
      <c r="S837" s="1">
        <v>39868</v>
      </c>
      <c r="T837" t="str">
        <f t="shared" si="27"/>
        <v>24-Feb-2009</v>
      </c>
    </row>
    <row r="838" spans="1:20" x14ac:dyDescent="0.3">
      <c r="A838">
        <v>48195</v>
      </c>
      <c r="B838" s="1">
        <v>40509</v>
      </c>
      <c r="C838" t="s">
        <v>31</v>
      </c>
      <c r="D838" t="str">
        <f t="shared" si="26"/>
        <v>27-Nov-2010</v>
      </c>
      <c r="E838">
        <v>35</v>
      </c>
      <c r="F838" s="13">
        <v>1018.402</v>
      </c>
      <c r="G838">
        <v>0.09</v>
      </c>
      <c r="H838" t="s">
        <v>19</v>
      </c>
      <c r="I838" s="13">
        <v>296.87</v>
      </c>
      <c r="J838">
        <v>35.99</v>
      </c>
      <c r="K838">
        <v>5.99</v>
      </c>
      <c r="L838" t="s">
        <v>201</v>
      </c>
      <c r="M838" t="s">
        <v>161</v>
      </c>
      <c r="N838" s="5" t="s">
        <v>161</v>
      </c>
      <c r="O838" t="s">
        <v>28</v>
      </c>
      <c r="P838" t="s">
        <v>29</v>
      </c>
      <c r="Q838" t="s">
        <v>30</v>
      </c>
      <c r="R838">
        <v>0.38</v>
      </c>
      <c r="S838" s="1">
        <v>40509</v>
      </c>
      <c r="T838" t="str">
        <f t="shared" si="27"/>
        <v>27-Nov-2010</v>
      </c>
    </row>
    <row r="839" spans="1:20" x14ac:dyDescent="0.3">
      <c r="A839">
        <v>36896</v>
      </c>
      <c r="B839" s="1">
        <v>40120</v>
      </c>
      <c r="C839" t="s">
        <v>43</v>
      </c>
      <c r="D839" t="str">
        <f t="shared" si="26"/>
        <v>03-Nov-2009</v>
      </c>
      <c r="E839">
        <v>41</v>
      </c>
      <c r="F839" s="13">
        <v>1008.95</v>
      </c>
      <c r="G839">
        <v>0.04</v>
      </c>
      <c r="H839" t="s">
        <v>35</v>
      </c>
      <c r="I839" s="13">
        <v>69.31</v>
      </c>
      <c r="J839">
        <v>25.38</v>
      </c>
      <c r="K839">
        <v>8.99</v>
      </c>
      <c r="L839" t="s">
        <v>293</v>
      </c>
      <c r="M839" t="s">
        <v>161</v>
      </c>
      <c r="N839" s="5" t="s">
        <v>161</v>
      </c>
      <c r="O839" t="s">
        <v>28</v>
      </c>
      <c r="P839" t="s">
        <v>32</v>
      </c>
      <c r="Q839" t="s">
        <v>33</v>
      </c>
      <c r="R839">
        <v>0.5</v>
      </c>
      <c r="S839" s="1">
        <v>40123</v>
      </c>
      <c r="T839" t="str">
        <f t="shared" si="27"/>
        <v>06-Nov-2009</v>
      </c>
    </row>
    <row r="840" spans="1:20" x14ac:dyDescent="0.3">
      <c r="A840">
        <v>3109</v>
      </c>
      <c r="B840" s="1">
        <v>40382</v>
      </c>
      <c r="C840" t="s">
        <v>18</v>
      </c>
      <c r="D840" t="str">
        <f t="shared" si="26"/>
        <v>23-Jul-2010</v>
      </c>
      <c r="E840">
        <v>47</v>
      </c>
      <c r="F840" s="13">
        <v>1005.74</v>
      </c>
      <c r="G840">
        <v>0.1</v>
      </c>
      <c r="H840" t="s">
        <v>19</v>
      </c>
      <c r="I840" s="13">
        <v>199.3</v>
      </c>
      <c r="J840">
        <v>22.23</v>
      </c>
      <c r="K840">
        <v>8.99</v>
      </c>
      <c r="L840" t="s">
        <v>167</v>
      </c>
      <c r="M840" t="s">
        <v>161</v>
      </c>
      <c r="N840" s="5" t="s">
        <v>161</v>
      </c>
      <c r="O840" t="s">
        <v>28</v>
      </c>
      <c r="P840" t="s">
        <v>32</v>
      </c>
      <c r="Q840" t="s">
        <v>33</v>
      </c>
      <c r="R840">
        <v>0.41</v>
      </c>
      <c r="S840" s="1">
        <v>40389</v>
      </c>
      <c r="T840" t="str">
        <f t="shared" si="27"/>
        <v>30-Jul-2010</v>
      </c>
    </row>
    <row r="841" spans="1:20" x14ac:dyDescent="0.3">
      <c r="A841">
        <v>13125</v>
      </c>
      <c r="B841" s="1">
        <v>40525</v>
      </c>
      <c r="C841" t="s">
        <v>31</v>
      </c>
      <c r="D841" t="str">
        <f t="shared" si="26"/>
        <v>13-Dec-2010</v>
      </c>
      <c r="E841">
        <v>30</v>
      </c>
      <c r="F841" s="13">
        <v>990.73</v>
      </c>
      <c r="G841">
        <v>0.02</v>
      </c>
      <c r="H841" t="s">
        <v>35</v>
      </c>
      <c r="I841" s="13">
        <v>56.39</v>
      </c>
      <c r="J841">
        <v>30.73</v>
      </c>
      <c r="K841">
        <v>4</v>
      </c>
      <c r="L841" t="s">
        <v>310</v>
      </c>
      <c r="M841" t="s">
        <v>161</v>
      </c>
      <c r="N841" s="5" t="s">
        <v>161</v>
      </c>
      <c r="O841" t="s">
        <v>28</v>
      </c>
      <c r="P841" t="s">
        <v>29</v>
      </c>
      <c r="Q841" t="s">
        <v>41</v>
      </c>
      <c r="R841">
        <v>0.75</v>
      </c>
      <c r="S841" s="1">
        <v>40527</v>
      </c>
      <c r="T841" t="str">
        <f t="shared" si="27"/>
        <v>15-Dec-2010</v>
      </c>
    </row>
    <row r="842" spans="1:20" x14ac:dyDescent="0.3">
      <c r="A842">
        <v>1059</v>
      </c>
      <c r="B842" s="1">
        <v>39870</v>
      </c>
      <c r="C842" t="s">
        <v>43</v>
      </c>
      <c r="D842" t="str">
        <f t="shared" si="26"/>
        <v>26-Feb-2009</v>
      </c>
      <c r="E842">
        <v>24</v>
      </c>
      <c r="F842" s="13">
        <v>990.1</v>
      </c>
      <c r="G842">
        <v>0.03</v>
      </c>
      <c r="H842" t="s">
        <v>19</v>
      </c>
      <c r="I842" s="13">
        <v>310.22000000000003</v>
      </c>
      <c r="J842">
        <v>40.98</v>
      </c>
      <c r="K842">
        <v>7.47</v>
      </c>
      <c r="L842" t="s">
        <v>171</v>
      </c>
      <c r="M842" t="s">
        <v>161</v>
      </c>
      <c r="N842" s="5" t="s">
        <v>161</v>
      </c>
      <c r="O842" t="s">
        <v>28</v>
      </c>
      <c r="P842" t="s">
        <v>21</v>
      </c>
      <c r="Q842" t="s">
        <v>26</v>
      </c>
      <c r="R842">
        <v>0.37</v>
      </c>
      <c r="S842" s="1">
        <v>39871</v>
      </c>
      <c r="T842" t="str">
        <f t="shared" si="27"/>
        <v>27-Feb-2009</v>
      </c>
    </row>
    <row r="843" spans="1:20" x14ac:dyDescent="0.3">
      <c r="A843">
        <v>40866</v>
      </c>
      <c r="B843" s="1">
        <v>40321</v>
      </c>
      <c r="C843" t="s">
        <v>23</v>
      </c>
      <c r="D843" t="str">
        <f t="shared" si="26"/>
        <v>23-May-2010</v>
      </c>
      <c r="E843">
        <v>3</v>
      </c>
      <c r="F843" s="13">
        <v>907.18</v>
      </c>
      <c r="G843">
        <v>0.06</v>
      </c>
      <c r="H843" t="s">
        <v>19</v>
      </c>
      <c r="I843" s="13">
        <v>-236.6</v>
      </c>
      <c r="J843">
        <v>300.64999999999998</v>
      </c>
      <c r="K843">
        <v>24.49</v>
      </c>
      <c r="L843" t="s">
        <v>116</v>
      </c>
      <c r="M843" t="s">
        <v>161</v>
      </c>
      <c r="N843" s="5" t="s">
        <v>161</v>
      </c>
      <c r="O843" t="s">
        <v>28</v>
      </c>
      <c r="P843" t="s">
        <v>21</v>
      </c>
      <c r="Q843" t="s">
        <v>25</v>
      </c>
      <c r="R843">
        <v>0.52</v>
      </c>
      <c r="S843" s="1">
        <v>40322</v>
      </c>
      <c r="T843" t="str">
        <f t="shared" si="27"/>
        <v>24-May-2010</v>
      </c>
    </row>
    <row r="844" spans="1:20" x14ac:dyDescent="0.3">
      <c r="A844">
        <v>15808</v>
      </c>
      <c r="B844" s="1">
        <v>40526</v>
      </c>
      <c r="C844" t="s">
        <v>43</v>
      </c>
      <c r="D844" t="str">
        <f t="shared" si="26"/>
        <v>14-Dec-2010</v>
      </c>
      <c r="E844">
        <v>42</v>
      </c>
      <c r="F844" s="13">
        <v>906.64</v>
      </c>
      <c r="G844">
        <v>7.0000000000000007E-2</v>
      </c>
      <c r="H844" t="s">
        <v>35</v>
      </c>
      <c r="I844" s="13">
        <v>-148.93</v>
      </c>
      <c r="J844">
        <v>22.38</v>
      </c>
      <c r="K844">
        <v>15.1</v>
      </c>
      <c r="L844" t="s">
        <v>169</v>
      </c>
      <c r="M844" t="s">
        <v>161</v>
      </c>
      <c r="N844" s="5" t="s">
        <v>161</v>
      </c>
      <c r="O844" t="s">
        <v>28</v>
      </c>
      <c r="P844" t="s">
        <v>21</v>
      </c>
      <c r="Q844" t="s">
        <v>26</v>
      </c>
      <c r="R844">
        <v>0.38</v>
      </c>
      <c r="S844" s="1">
        <v>40526</v>
      </c>
      <c r="T844" t="str">
        <f t="shared" si="27"/>
        <v>14-Dec-2010</v>
      </c>
    </row>
    <row r="845" spans="1:20" x14ac:dyDescent="0.3">
      <c r="A845">
        <v>41571</v>
      </c>
      <c r="B845" s="1">
        <v>40700</v>
      </c>
      <c r="C845" t="s">
        <v>18</v>
      </c>
      <c r="D845" t="str">
        <f t="shared" si="26"/>
        <v>06-Jun-2011</v>
      </c>
      <c r="E845">
        <v>42</v>
      </c>
      <c r="F845" s="13">
        <v>906.07</v>
      </c>
      <c r="G845">
        <v>0</v>
      </c>
      <c r="H845" t="s">
        <v>19</v>
      </c>
      <c r="I845" s="13">
        <v>-2.66</v>
      </c>
      <c r="J845">
        <v>20.149999999999999</v>
      </c>
      <c r="K845">
        <v>8.99</v>
      </c>
      <c r="L845" t="s">
        <v>278</v>
      </c>
      <c r="M845" t="s">
        <v>161</v>
      </c>
      <c r="N845" s="5" t="s">
        <v>161</v>
      </c>
      <c r="O845" t="s">
        <v>28</v>
      </c>
      <c r="P845" t="s">
        <v>21</v>
      </c>
      <c r="Q845" t="s">
        <v>50</v>
      </c>
      <c r="R845">
        <v>0.57999999999999996</v>
      </c>
      <c r="S845" s="1">
        <v>40709</v>
      </c>
      <c r="T845" t="str">
        <f t="shared" si="27"/>
        <v>15-Jun-2011</v>
      </c>
    </row>
    <row r="846" spans="1:20" x14ac:dyDescent="0.3">
      <c r="A846">
        <v>34883</v>
      </c>
      <c r="B846" s="1">
        <v>40121</v>
      </c>
      <c r="C846" t="s">
        <v>43</v>
      </c>
      <c r="D846" t="str">
        <f t="shared" si="26"/>
        <v>04-Nov-2009</v>
      </c>
      <c r="E846">
        <v>31</v>
      </c>
      <c r="F846" s="13">
        <v>906.01499999999999</v>
      </c>
      <c r="G846">
        <v>0.05</v>
      </c>
      <c r="H846" t="s">
        <v>19</v>
      </c>
      <c r="I846" s="13">
        <v>248.67</v>
      </c>
      <c r="J846">
        <v>35.99</v>
      </c>
      <c r="K846">
        <v>5.99</v>
      </c>
      <c r="L846" t="s">
        <v>262</v>
      </c>
      <c r="M846" t="s">
        <v>161</v>
      </c>
      <c r="N846" s="5" t="s">
        <v>161</v>
      </c>
      <c r="O846" t="s">
        <v>28</v>
      </c>
      <c r="P846" t="s">
        <v>29</v>
      </c>
      <c r="Q846" t="s">
        <v>30</v>
      </c>
      <c r="R846">
        <v>0.38</v>
      </c>
      <c r="S846" s="1">
        <v>40122</v>
      </c>
      <c r="T846" t="str">
        <f t="shared" si="27"/>
        <v>05-Nov-2009</v>
      </c>
    </row>
    <row r="847" spans="1:20" x14ac:dyDescent="0.3">
      <c r="A847">
        <v>13091</v>
      </c>
      <c r="B847" s="1">
        <v>40132</v>
      </c>
      <c r="C847" t="s">
        <v>38</v>
      </c>
      <c r="D847" t="str">
        <f t="shared" si="26"/>
        <v>15-Nov-2009</v>
      </c>
      <c r="E847">
        <v>39</v>
      </c>
      <c r="F847" s="13">
        <v>883.15</v>
      </c>
      <c r="G847">
        <v>0.01</v>
      </c>
      <c r="H847" t="s">
        <v>19</v>
      </c>
      <c r="I847" s="13">
        <v>-1148.19</v>
      </c>
      <c r="J847">
        <v>20.34</v>
      </c>
      <c r="K847">
        <v>35</v>
      </c>
      <c r="L847" t="s">
        <v>198</v>
      </c>
      <c r="M847" t="s">
        <v>161</v>
      </c>
      <c r="N847" s="5" t="s">
        <v>161</v>
      </c>
      <c r="O847" t="s">
        <v>28</v>
      </c>
      <c r="P847" t="s">
        <v>21</v>
      </c>
      <c r="Q847" t="s">
        <v>22</v>
      </c>
      <c r="R847">
        <v>0.84</v>
      </c>
      <c r="S847" s="1">
        <v>40133</v>
      </c>
      <c r="T847" t="str">
        <f t="shared" si="27"/>
        <v>16-Nov-2009</v>
      </c>
    </row>
    <row r="848" spans="1:20" x14ac:dyDescent="0.3">
      <c r="A848">
        <v>15808</v>
      </c>
      <c r="B848" s="1">
        <v>40526</v>
      </c>
      <c r="C848" t="s">
        <v>43</v>
      </c>
      <c r="D848" t="str">
        <f t="shared" si="26"/>
        <v>14-Dec-2010</v>
      </c>
      <c r="E848">
        <v>45</v>
      </c>
      <c r="F848" s="13">
        <v>882.96</v>
      </c>
      <c r="G848">
        <v>0.06</v>
      </c>
      <c r="H848" t="s">
        <v>19</v>
      </c>
      <c r="I848" s="13">
        <v>11.65</v>
      </c>
      <c r="J848">
        <v>19.98</v>
      </c>
      <c r="K848">
        <v>4</v>
      </c>
      <c r="L848" t="s">
        <v>169</v>
      </c>
      <c r="M848" t="s">
        <v>161</v>
      </c>
      <c r="N848" s="5" t="s">
        <v>161</v>
      </c>
      <c r="O848" t="s">
        <v>28</v>
      </c>
      <c r="P848" t="s">
        <v>29</v>
      </c>
      <c r="Q848" t="s">
        <v>41</v>
      </c>
      <c r="R848">
        <v>0.68</v>
      </c>
      <c r="S848" s="1">
        <v>40528</v>
      </c>
      <c r="T848" t="str">
        <f t="shared" si="27"/>
        <v>16-Dec-2010</v>
      </c>
    </row>
    <row r="849" spans="1:20" x14ac:dyDescent="0.3">
      <c r="A849">
        <v>39430</v>
      </c>
      <c r="B849" s="1">
        <v>39977</v>
      </c>
      <c r="C849" t="s">
        <v>18</v>
      </c>
      <c r="D849" t="str">
        <f t="shared" si="26"/>
        <v>13-Jun-2009</v>
      </c>
      <c r="E849">
        <v>29</v>
      </c>
      <c r="F849" s="13">
        <v>877.97</v>
      </c>
      <c r="G849">
        <v>0.03</v>
      </c>
      <c r="H849" t="s">
        <v>19</v>
      </c>
      <c r="I849" s="13">
        <v>-144.19999999999999</v>
      </c>
      <c r="J849">
        <v>30.98</v>
      </c>
      <c r="K849">
        <v>6.5</v>
      </c>
      <c r="L849" t="s">
        <v>189</v>
      </c>
      <c r="M849" t="s">
        <v>161</v>
      </c>
      <c r="N849" s="5" t="s">
        <v>161</v>
      </c>
      <c r="O849" t="s">
        <v>28</v>
      </c>
      <c r="P849" t="s">
        <v>29</v>
      </c>
      <c r="Q849" t="s">
        <v>41</v>
      </c>
      <c r="R849">
        <v>0.79</v>
      </c>
      <c r="S849" s="1">
        <v>39981</v>
      </c>
      <c r="T849" t="str">
        <f t="shared" si="27"/>
        <v>17-Jun-2009</v>
      </c>
    </row>
    <row r="850" spans="1:20" x14ac:dyDescent="0.3">
      <c r="A850">
        <v>36517</v>
      </c>
      <c r="B850" s="1">
        <v>40238</v>
      </c>
      <c r="C850" t="s">
        <v>31</v>
      </c>
      <c r="D850" t="str">
        <f t="shared" si="26"/>
        <v>01-Mar-2010</v>
      </c>
      <c r="E850">
        <v>18</v>
      </c>
      <c r="F850" s="13">
        <v>877.64</v>
      </c>
      <c r="G850">
        <v>0.03</v>
      </c>
      <c r="H850" t="s">
        <v>19</v>
      </c>
      <c r="I850" s="13">
        <v>218.97</v>
      </c>
      <c r="J850">
        <v>48.58</v>
      </c>
      <c r="K850">
        <v>3.99</v>
      </c>
      <c r="L850" t="s">
        <v>278</v>
      </c>
      <c r="M850" t="s">
        <v>161</v>
      </c>
      <c r="N850" s="5" t="s">
        <v>161</v>
      </c>
      <c r="O850" t="s">
        <v>28</v>
      </c>
      <c r="P850" t="s">
        <v>21</v>
      </c>
      <c r="Q850" t="s">
        <v>25</v>
      </c>
      <c r="R850">
        <v>0.56000000000000005</v>
      </c>
      <c r="S850" s="1">
        <v>40239</v>
      </c>
      <c r="T850" t="str">
        <f t="shared" si="27"/>
        <v>02-Mar-2010</v>
      </c>
    </row>
    <row r="851" spans="1:20" x14ac:dyDescent="0.3">
      <c r="A851">
        <v>52391</v>
      </c>
      <c r="B851" s="1">
        <v>40159</v>
      </c>
      <c r="C851" t="s">
        <v>23</v>
      </c>
      <c r="D851" t="str">
        <f t="shared" si="26"/>
        <v>12-Dec-2009</v>
      </c>
      <c r="E851">
        <v>39</v>
      </c>
      <c r="F851" s="13">
        <v>857.84</v>
      </c>
      <c r="G851">
        <v>0.02</v>
      </c>
      <c r="H851" t="s">
        <v>19</v>
      </c>
      <c r="I851" s="13">
        <v>-309.43</v>
      </c>
      <c r="J851">
        <v>20.89</v>
      </c>
      <c r="K851">
        <v>11.52</v>
      </c>
      <c r="L851" t="s">
        <v>187</v>
      </c>
      <c r="M851" t="s">
        <v>161</v>
      </c>
      <c r="N851" s="5" t="s">
        <v>161</v>
      </c>
      <c r="O851" t="s">
        <v>28</v>
      </c>
      <c r="P851" t="s">
        <v>21</v>
      </c>
      <c r="Q851" t="s">
        <v>22</v>
      </c>
      <c r="R851">
        <v>0.83</v>
      </c>
      <c r="S851" s="1">
        <v>40161</v>
      </c>
      <c r="T851" t="str">
        <f t="shared" si="27"/>
        <v>14-Dec-2009</v>
      </c>
    </row>
    <row r="852" spans="1:20" x14ac:dyDescent="0.3">
      <c r="A852">
        <v>17668</v>
      </c>
      <c r="B852" s="1">
        <v>40142</v>
      </c>
      <c r="C852" t="s">
        <v>38</v>
      </c>
      <c r="D852" t="str">
        <f t="shared" si="26"/>
        <v>25-Nov-2009</v>
      </c>
      <c r="E852">
        <v>49</v>
      </c>
      <c r="F852" s="13">
        <v>848.92</v>
      </c>
      <c r="G852">
        <v>0.04</v>
      </c>
      <c r="H852" t="s">
        <v>19</v>
      </c>
      <c r="I852" s="13">
        <v>296.06</v>
      </c>
      <c r="J852">
        <v>17.48</v>
      </c>
      <c r="K852">
        <v>1.99</v>
      </c>
      <c r="L852" t="s">
        <v>182</v>
      </c>
      <c r="M852" t="s">
        <v>161</v>
      </c>
      <c r="N852" s="5" t="s">
        <v>161</v>
      </c>
      <c r="O852" t="s">
        <v>28</v>
      </c>
      <c r="P852" t="s">
        <v>29</v>
      </c>
      <c r="Q852" t="s">
        <v>41</v>
      </c>
      <c r="R852">
        <v>0.45</v>
      </c>
      <c r="S852" s="1">
        <v>40144</v>
      </c>
      <c r="T852" t="str">
        <f t="shared" si="27"/>
        <v>27-Nov-2009</v>
      </c>
    </row>
    <row r="853" spans="1:20" x14ac:dyDescent="0.3">
      <c r="A853">
        <v>14693</v>
      </c>
      <c r="B853" s="1">
        <v>40552</v>
      </c>
      <c r="C853" t="s">
        <v>43</v>
      </c>
      <c r="D853" t="str">
        <f t="shared" si="26"/>
        <v>09-Jan-2011</v>
      </c>
      <c r="E853">
        <v>38</v>
      </c>
      <c r="F853" s="13">
        <v>847.82</v>
      </c>
      <c r="G853">
        <v>0.05</v>
      </c>
      <c r="H853" t="s">
        <v>24</v>
      </c>
      <c r="I853" s="13">
        <v>-1348.5</v>
      </c>
      <c r="J853">
        <v>20.98</v>
      </c>
      <c r="K853">
        <v>45</v>
      </c>
      <c r="L853" t="s">
        <v>195</v>
      </c>
      <c r="M853" t="s">
        <v>161</v>
      </c>
      <c r="N853" s="5" t="s">
        <v>161</v>
      </c>
      <c r="O853" t="s">
        <v>28</v>
      </c>
      <c r="P853" t="s">
        <v>21</v>
      </c>
      <c r="Q853" t="s">
        <v>22</v>
      </c>
      <c r="R853">
        <v>0.61</v>
      </c>
      <c r="S853" s="1">
        <v>40554</v>
      </c>
      <c r="T853" t="str">
        <f t="shared" si="27"/>
        <v>11-Jan-2011</v>
      </c>
    </row>
    <row r="854" spans="1:20" x14ac:dyDescent="0.3">
      <c r="A854">
        <v>41891</v>
      </c>
      <c r="B854" s="1">
        <v>40685</v>
      </c>
      <c r="C854" t="s">
        <v>23</v>
      </c>
      <c r="D854" t="str">
        <f t="shared" si="26"/>
        <v>22-May-2011</v>
      </c>
      <c r="E854">
        <v>22</v>
      </c>
      <c r="F854" s="13">
        <v>846.59</v>
      </c>
      <c r="G854">
        <v>0.08</v>
      </c>
      <c r="H854" t="s">
        <v>19</v>
      </c>
      <c r="I854" s="13">
        <v>-1.95</v>
      </c>
      <c r="J854">
        <v>40.89</v>
      </c>
      <c r="K854">
        <v>18.98</v>
      </c>
      <c r="L854" t="s">
        <v>181</v>
      </c>
      <c r="M854" t="s">
        <v>161</v>
      </c>
      <c r="N854" s="5" t="s">
        <v>161</v>
      </c>
      <c r="O854" t="s">
        <v>28</v>
      </c>
      <c r="P854" t="s">
        <v>32</v>
      </c>
      <c r="Q854" t="s">
        <v>33</v>
      </c>
      <c r="R854">
        <v>0.56999999999999995</v>
      </c>
      <c r="S854" s="1">
        <v>40686</v>
      </c>
      <c r="T854" t="str">
        <f t="shared" si="27"/>
        <v>23-May-2011</v>
      </c>
    </row>
    <row r="855" spans="1:20" x14ac:dyDescent="0.3">
      <c r="A855">
        <v>27589</v>
      </c>
      <c r="B855" s="1">
        <v>40801</v>
      </c>
      <c r="C855" t="s">
        <v>38</v>
      </c>
      <c r="D855" t="str">
        <f t="shared" si="26"/>
        <v>15-Sep-2011</v>
      </c>
      <c r="E855">
        <v>20</v>
      </c>
      <c r="F855" s="13">
        <v>845.7</v>
      </c>
      <c r="G855">
        <v>0.02</v>
      </c>
      <c r="H855" t="s">
        <v>35</v>
      </c>
      <c r="I855" s="13">
        <v>221.6</v>
      </c>
      <c r="J855">
        <v>39.479999999999997</v>
      </c>
      <c r="K855">
        <v>1.99</v>
      </c>
      <c r="L855" t="s">
        <v>192</v>
      </c>
      <c r="M855" t="s">
        <v>161</v>
      </c>
      <c r="N855" s="5" t="s">
        <v>161</v>
      </c>
      <c r="O855" t="s">
        <v>28</v>
      </c>
      <c r="P855" t="s">
        <v>29</v>
      </c>
      <c r="Q855" t="s">
        <v>41</v>
      </c>
      <c r="R855">
        <v>0.54</v>
      </c>
      <c r="S855" s="1">
        <v>40803</v>
      </c>
      <c r="T855" t="str">
        <f t="shared" si="27"/>
        <v>17-Sep-2011</v>
      </c>
    </row>
    <row r="856" spans="1:20" x14ac:dyDescent="0.3">
      <c r="A856">
        <v>43269</v>
      </c>
      <c r="B856" s="1">
        <v>39913</v>
      </c>
      <c r="C856" t="s">
        <v>43</v>
      </c>
      <c r="D856" t="str">
        <f t="shared" si="26"/>
        <v>10-Apr-2009</v>
      </c>
      <c r="E856">
        <v>16</v>
      </c>
      <c r="F856" s="13">
        <v>843.15</v>
      </c>
      <c r="G856">
        <v>0</v>
      </c>
      <c r="H856" t="s">
        <v>19</v>
      </c>
      <c r="I856" s="13">
        <v>355</v>
      </c>
      <c r="J856">
        <v>48.91</v>
      </c>
      <c r="K856">
        <v>5.81</v>
      </c>
      <c r="L856" t="s">
        <v>188</v>
      </c>
      <c r="M856" t="s">
        <v>161</v>
      </c>
      <c r="N856" s="5" t="s">
        <v>161</v>
      </c>
      <c r="O856" t="s">
        <v>28</v>
      </c>
      <c r="P856" t="s">
        <v>21</v>
      </c>
      <c r="Q856" t="s">
        <v>37</v>
      </c>
      <c r="R856">
        <v>0.38</v>
      </c>
      <c r="S856" s="1">
        <v>39915</v>
      </c>
      <c r="T856" t="str">
        <f t="shared" si="27"/>
        <v>12-Apr-2009</v>
      </c>
    </row>
    <row r="857" spans="1:20" x14ac:dyDescent="0.3">
      <c r="A857">
        <v>15744</v>
      </c>
      <c r="B857" s="1">
        <v>40258</v>
      </c>
      <c r="C857" t="s">
        <v>43</v>
      </c>
      <c r="D857" t="str">
        <f t="shared" si="26"/>
        <v>21-Mar-2010</v>
      </c>
      <c r="E857">
        <v>16</v>
      </c>
      <c r="F857" s="13">
        <v>838.81</v>
      </c>
      <c r="G857">
        <v>0.09</v>
      </c>
      <c r="H857" t="s">
        <v>19</v>
      </c>
      <c r="I857" s="13">
        <v>290.77</v>
      </c>
      <c r="J857">
        <v>55.48</v>
      </c>
      <c r="K857">
        <v>6.79</v>
      </c>
      <c r="L857" t="s">
        <v>179</v>
      </c>
      <c r="M857" t="s">
        <v>161</v>
      </c>
      <c r="N857" s="5" t="s">
        <v>161</v>
      </c>
      <c r="O857" t="s">
        <v>28</v>
      </c>
      <c r="P857" t="s">
        <v>21</v>
      </c>
      <c r="Q857" t="s">
        <v>37</v>
      </c>
      <c r="R857">
        <v>0.37</v>
      </c>
      <c r="S857" s="1">
        <v>40259</v>
      </c>
      <c r="T857" t="str">
        <f t="shared" si="27"/>
        <v>22-Mar-2010</v>
      </c>
    </row>
    <row r="858" spans="1:20" x14ac:dyDescent="0.3">
      <c r="A858">
        <v>52098</v>
      </c>
      <c r="B858" s="1">
        <v>40247</v>
      </c>
      <c r="C858" t="s">
        <v>38</v>
      </c>
      <c r="D858" t="str">
        <f t="shared" si="26"/>
        <v>10-Mar-2010</v>
      </c>
      <c r="E858">
        <v>19</v>
      </c>
      <c r="F858" s="13">
        <v>812.06</v>
      </c>
      <c r="G858">
        <v>0</v>
      </c>
      <c r="H858" t="s">
        <v>19</v>
      </c>
      <c r="I858" s="13">
        <v>220.07</v>
      </c>
      <c r="J858">
        <v>39.06</v>
      </c>
      <c r="K858">
        <v>10.55</v>
      </c>
      <c r="L858" t="s">
        <v>192</v>
      </c>
      <c r="M858" t="s">
        <v>161</v>
      </c>
      <c r="N858" s="5" t="s">
        <v>161</v>
      </c>
      <c r="O858" t="s">
        <v>28</v>
      </c>
      <c r="P858" t="s">
        <v>32</v>
      </c>
      <c r="Q858" t="s">
        <v>56</v>
      </c>
      <c r="R858">
        <v>0.61</v>
      </c>
      <c r="S858" s="1">
        <v>40247</v>
      </c>
      <c r="T858" t="str">
        <f t="shared" si="27"/>
        <v>10-Mar-2010</v>
      </c>
    </row>
    <row r="859" spans="1:20" x14ac:dyDescent="0.3">
      <c r="A859">
        <v>37669</v>
      </c>
      <c r="B859" s="1">
        <v>40480</v>
      </c>
      <c r="C859" t="s">
        <v>31</v>
      </c>
      <c r="D859" t="str">
        <f t="shared" si="26"/>
        <v>29-Oct-2010</v>
      </c>
      <c r="E859">
        <v>31</v>
      </c>
      <c r="F859" s="13">
        <v>806.08</v>
      </c>
      <c r="G859">
        <v>0.08</v>
      </c>
      <c r="H859" t="s">
        <v>19</v>
      </c>
      <c r="I859" s="13">
        <v>402.37</v>
      </c>
      <c r="J859">
        <v>26.17</v>
      </c>
      <c r="K859">
        <v>1.39</v>
      </c>
      <c r="L859" t="s">
        <v>290</v>
      </c>
      <c r="M859" t="s">
        <v>161</v>
      </c>
      <c r="N859" s="5" t="s">
        <v>161</v>
      </c>
      <c r="O859" t="s">
        <v>28</v>
      </c>
      <c r="P859" t="s">
        <v>21</v>
      </c>
      <c r="Q859" t="s">
        <v>42</v>
      </c>
      <c r="R859">
        <v>0.38</v>
      </c>
      <c r="S859" s="1">
        <v>40482</v>
      </c>
      <c r="T859" t="str">
        <f t="shared" si="27"/>
        <v>31-Oct-2010</v>
      </c>
    </row>
    <row r="860" spans="1:20" x14ac:dyDescent="0.3">
      <c r="A860">
        <v>27299</v>
      </c>
      <c r="B860" s="1">
        <v>41126</v>
      </c>
      <c r="C860" t="s">
        <v>43</v>
      </c>
      <c r="D860" t="str">
        <f t="shared" si="26"/>
        <v>05-Aug-2012</v>
      </c>
      <c r="E860">
        <v>41</v>
      </c>
      <c r="F860" s="13">
        <v>802.16</v>
      </c>
      <c r="G860">
        <v>0.1</v>
      </c>
      <c r="H860" t="s">
        <v>19</v>
      </c>
      <c r="I860" s="13">
        <v>-293.45</v>
      </c>
      <c r="J860">
        <v>19.940000000000001</v>
      </c>
      <c r="K860">
        <v>14.87</v>
      </c>
      <c r="L860" t="s">
        <v>253</v>
      </c>
      <c r="M860" t="s">
        <v>161</v>
      </c>
      <c r="N860" s="5" t="s">
        <v>161</v>
      </c>
      <c r="O860" t="s">
        <v>28</v>
      </c>
      <c r="P860" t="s">
        <v>32</v>
      </c>
      <c r="Q860" t="s">
        <v>33</v>
      </c>
      <c r="R860">
        <v>0.56999999999999995</v>
      </c>
      <c r="S860" s="1">
        <v>41128</v>
      </c>
      <c r="T860" t="str">
        <f t="shared" si="27"/>
        <v>07-Aug-2012</v>
      </c>
    </row>
    <row r="861" spans="1:20" x14ac:dyDescent="0.3">
      <c r="A861">
        <v>20003</v>
      </c>
      <c r="B861" s="1">
        <v>40938</v>
      </c>
      <c r="C861" t="s">
        <v>38</v>
      </c>
      <c r="D861" t="str">
        <f t="shared" si="26"/>
        <v>30-Jan-2012</v>
      </c>
      <c r="E861">
        <v>39</v>
      </c>
      <c r="F861" s="13">
        <v>796.08</v>
      </c>
      <c r="G861">
        <v>0.05</v>
      </c>
      <c r="H861" t="s">
        <v>19</v>
      </c>
      <c r="I861" s="13">
        <v>30.29</v>
      </c>
      <c r="J861">
        <v>19.98</v>
      </c>
      <c r="K861">
        <v>4</v>
      </c>
      <c r="L861" t="s">
        <v>172</v>
      </c>
      <c r="M861" t="s">
        <v>161</v>
      </c>
      <c r="N861" s="5" t="s">
        <v>161</v>
      </c>
      <c r="O861" t="s">
        <v>28</v>
      </c>
      <c r="P861" t="s">
        <v>29</v>
      </c>
      <c r="Q861" t="s">
        <v>41</v>
      </c>
      <c r="R861">
        <v>0.68</v>
      </c>
      <c r="S861" s="1">
        <v>40939</v>
      </c>
      <c r="T861" t="str">
        <f t="shared" si="27"/>
        <v>31-Jan-2012</v>
      </c>
    </row>
    <row r="862" spans="1:20" x14ac:dyDescent="0.3">
      <c r="A862">
        <v>38503</v>
      </c>
      <c r="B862" s="1">
        <v>39938</v>
      </c>
      <c r="C862" t="s">
        <v>18</v>
      </c>
      <c r="D862" t="str">
        <f t="shared" si="26"/>
        <v>05-May-2009</v>
      </c>
      <c r="E862">
        <v>32</v>
      </c>
      <c r="F862" s="13">
        <v>796.03</v>
      </c>
      <c r="G862">
        <v>0.05</v>
      </c>
      <c r="H862" t="s">
        <v>24</v>
      </c>
      <c r="I862" s="13">
        <v>-133.71</v>
      </c>
      <c r="J862">
        <v>23.99</v>
      </c>
      <c r="K862">
        <v>15.68</v>
      </c>
      <c r="L862" t="s">
        <v>194</v>
      </c>
      <c r="M862" t="s">
        <v>161</v>
      </c>
      <c r="N862" s="5" t="s">
        <v>161</v>
      </c>
      <c r="O862" t="s">
        <v>28</v>
      </c>
      <c r="P862" t="s">
        <v>32</v>
      </c>
      <c r="Q862" t="s">
        <v>33</v>
      </c>
      <c r="R862">
        <v>0.62</v>
      </c>
      <c r="S862" s="1">
        <v>39942</v>
      </c>
      <c r="T862" t="str">
        <f t="shared" si="27"/>
        <v>09-May-2009</v>
      </c>
    </row>
    <row r="863" spans="1:20" x14ac:dyDescent="0.3">
      <c r="A863">
        <v>11874</v>
      </c>
      <c r="B863" s="1">
        <v>41161</v>
      </c>
      <c r="C863" t="s">
        <v>38</v>
      </c>
      <c r="D863" t="str">
        <f t="shared" si="26"/>
        <v>09-Sep-2012</v>
      </c>
      <c r="E863">
        <v>20</v>
      </c>
      <c r="F863" s="13">
        <v>775.77</v>
      </c>
      <c r="G863">
        <v>7.0000000000000007E-2</v>
      </c>
      <c r="H863" t="s">
        <v>19</v>
      </c>
      <c r="I863" s="13">
        <v>179.37</v>
      </c>
      <c r="J863">
        <v>39.979999999999997</v>
      </c>
      <c r="K863">
        <v>9.83</v>
      </c>
      <c r="L863" t="s">
        <v>235</v>
      </c>
      <c r="M863" t="s">
        <v>161</v>
      </c>
      <c r="N863" s="5" t="s">
        <v>161</v>
      </c>
      <c r="O863" t="s">
        <v>28</v>
      </c>
      <c r="P863" t="s">
        <v>21</v>
      </c>
      <c r="Q863" t="s">
        <v>42</v>
      </c>
      <c r="R863">
        <v>0.4</v>
      </c>
      <c r="S863" s="1">
        <v>41161</v>
      </c>
      <c r="T863" t="str">
        <f t="shared" si="27"/>
        <v>09-Sep-2012</v>
      </c>
    </row>
    <row r="864" spans="1:20" x14ac:dyDescent="0.3">
      <c r="A864">
        <v>26182</v>
      </c>
      <c r="B864" s="1">
        <v>40194</v>
      </c>
      <c r="C864" t="s">
        <v>31</v>
      </c>
      <c r="D864" t="str">
        <f t="shared" si="26"/>
        <v>16-Jan-2010</v>
      </c>
      <c r="E864">
        <v>4</v>
      </c>
      <c r="F864" s="13">
        <v>770.76</v>
      </c>
      <c r="G864">
        <v>0.08</v>
      </c>
      <c r="H864" t="s">
        <v>24</v>
      </c>
      <c r="I864" s="13">
        <v>-192.51</v>
      </c>
      <c r="J864">
        <v>200.98</v>
      </c>
      <c r="K864">
        <v>23.76</v>
      </c>
      <c r="L864" t="s">
        <v>71</v>
      </c>
      <c r="M864" t="s">
        <v>161</v>
      </c>
      <c r="N864" s="5" t="s">
        <v>161</v>
      </c>
      <c r="O864" t="s">
        <v>28</v>
      </c>
      <c r="P864" t="s">
        <v>32</v>
      </c>
      <c r="Q864" t="s">
        <v>56</v>
      </c>
      <c r="R864">
        <v>0.57999999999999996</v>
      </c>
      <c r="S864" s="1">
        <v>40194</v>
      </c>
      <c r="T864" t="str">
        <f t="shared" si="27"/>
        <v>16-Jan-2010</v>
      </c>
    </row>
    <row r="865" spans="1:20" x14ac:dyDescent="0.3">
      <c r="A865">
        <v>34082</v>
      </c>
      <c r="B865" s="1">
        <v>40844</v>
      </c>
      <c r="C865" t="s">
        <v>31</v>
      </c>
      <c r="D865" t="str">
        <f t="shared" si="26"/>
        <v>28-Oct-2011</v>
      </c>
      <c r="E865">
        <v>35</v>
      </c>
      <c r="F865" s="13">
        <v>764.32</v>
      </c>
      <c r="G865">
        <v>0.02</v>
      </c>
      <c r="H865" t="s">
        <v>19</v>
      </c>
      <c r="I865" s="13">
        <v>-34.590000000000003</v>
      </c>
      <c r="J865">
        <v>21.38</v>
      </c>
      <c r="K865">
        <v>8.99</v>
      </c>
      <c r="L865" t="s">
        <v>196</v>
      </c>
      <c r="M865" t="s">
        <v>161</v>
      </c>
      <c r="N865" s="5" t="s">
        <v>161</v>
      </c>
      <c r="O865" t="s">
        <v>28</v>
      </c>
      <c r="P865" t="s">
        <v>21</v>
      </c>
      <c r="Q865" t="s">
        <v>50</v>
      </c>
      <c r="R865">
        <v>0.59</v>
      </c>
      <c r="S865" s="1">
        <v>40846</v>
      </c>
      <c r="T865" t="str">
        <f t="shared" si="27"/>
        <v>30-Oct-2011</v>
      </c>
    </row>
    <row r="866" spans="1:20" x14ac:dyDescent="0.3">
      <c r="A866">
        <v>1665</v>
      </c>
      <c r="B866" s="1">
        <v>39940</v>
      </c>
      <c r="C866" t="s">
        <v>23</v>
      </c>
      <c r="D866" t="str">
        <f t="shared" si="26"/>
        <v>07-May-2009</v>
      </c>
      <c r="E866">
        <v>26</v>
      </c>
      <c r="F866" s="13">
        <v>755.60749999999996</v>
      </c>
      <c r="G866">
        <v>0.05</v>
      </c>
      <c r="H866" t="s">
        <v>19</v>
      </c>
      <c r="I866" s="13">
        <v>149.16999999999999</v>
      </c>
      <c r="J866">
        <v>35.99</v>
      </c>
      <c r="K866">
        <v>1.1000000000000001</v>
      </c>
      <c r="L866" t="s">
        <v>289</v>
      </c>
      <c r="M866" t="s">
        <v>161</v>
      </c>
      <c r="N866" s="5" t="s">
        <v>161</v>
      </c>
      <c r="O866" t="s">
        <v>28</v>
      </c>
      <c r="P866" t="s">
        <v>29</v>
      </c>
      <c r="Q866" t="s">
        <v>30</v>
      </c>
      <c r="R866">
        <v>0.55000000000000004</v>
      </c>
      <c r="S866" s="1">
        <v>39942</v>
      </c>
      <c r="T866" t="str">
        <f t="shared" si="27"/>
        <v>09-May-2009</v>
      </c>
    </row>
    <row r="867" spans="1:20" x14ac:dyDescent="0.3">
      <c r="A867">
        <v>30016</v>
      </c>
      <c r="B867" s="1">
        <v>39816</v>
      </c>
      <c r="C867" t="s">
        <v>43</v>
      </c>
      <c r="D867" t="str">
        <f t="shared" si="26"/>
        <v>03-Jan-2009</v>
      </c>
      <c r="E867">
        <v>8</v>
      </c>
      <c r="F867" s="13">
        <v>754.65549999999996</v>
      </c>
      <c r="G867">
        <v>0.01</v>
      </c>
      <c r="H867" t="s">
        <v>19</v>
      </c>
      <c r="I867" s="13">
        <v>-212.55</v>
      </c>
      <c r="J867">
        <v>110.99</v>
      </c>
      <c r="K867">
        <v>2.5</v>
      </c>
      <c r="L867" t="s">
        <v>169</v>
      </c>
      <c r="M867" t="s">
        <v>161</v>
      </c>
      <c r="N867" s="5" t="s">
        <v>161</v>
      </c>
      <c r="O867" t="s">
        <v>28</v>
      </c>
      <c r="P867" t="s">
        <v>29</v>
      </c>
      <c r="Q867" t="s">
        <v>30</v>
      </c>
      <c r="R867">
        <v>0.56999999999999995</v>
      </c>
      <c r="S867" s="1">
        <v>39819</v>
      </c>
      <c r="T867" t="str">
        <f t="shared" si="27"/>
        <v>06-Jan-2009</v>
      </c>
    </row>
    <row r="868" spans="1:20" x14ac:dyDescent="0.3">
      <c r="A868">
        <v>56002</v>
      </c>
      <c r="B868" s="1">
        <v>39998</v>
      </c>
      <c r="C868" t="s">
        <v>18</v>
      </c>
      <c r="D868" t="str">
        <f t="shared" si="26"/>
        <v>04-Jul-2009</v>
      </c>
      <c r="E868">
        <v>14</v>
      </c>
      <c r="F868" s="13">
        <v>748.84</v>
      </c>
      <c r="G868">
        <v>0.09</v>
      </c>
      <c r="H868" t="s">
        <v>19</v>
      </c>
      <c r="I868" s="13">
        <v>286.7</v>
      </c>
      <c r="J868">
        <v>55.98</v>
      </c>
      <c r="K868">
        <v>4.8600000000000003</v>
      </c>
      <c r="L868" t="s">
        <v>197</v>
      </c>
      <c r="M868" t="s">
        <v>161</v>
      </c>
      <c r="N868" s="5" t="s">
        <v>161</v>
      </c>
      <c r="O868" t="s">
        <v>28</v>
      </c>
      <c r="P868" t="s">
        <v>21</v>
      </c>
      <c r="Q868" t="s">
        <v>37</v>
      </c>
      <c r="R868">
        <v>0.36</v>
      </c>
      <c r="S868" s="1">
        <v>40002</v>
      </c>
      <c r="T868" t="str">
        <f t="shared" si="27"/>
        <v>08-Jul-2009</v>
      </c>
    </row>
    <row r="869" spans="1:20" x14ac:dyDescent="0.3">
      <c r="A869">
        <v>2755</v>
      </c>
      <c r="B869" s="1">
        <v>40945</v>
      </c>
      <c r="C869" t="s">
        <v>31</v>
      </c>
      <c r="D869" t="str">
        <f t="shared" si="26"/>
        <v>06-Feb-2012</v>
      </c>
      <c r="E869">
        <v>30</v>
      </c>
      <c r="F869" s="13">
        <v>736.3</v>
      </c>
      <c r="G869">
        <v>0.03</v>
      </c>
      <c r="H869" t="s">
        <v>19</v>
      </c>
      <c r="I869" s="13">
        <v>259.07</v>
      </c>
      <c r="J869">
        <v>24.95</v>
      </c>
      <c r="K869">
        <v>2.99</v>
      </c>
      <c r="L869" t="s">
        <v>291</v>
      </c>
      <c r="M869" t="s">
        <v>161</v>
      </c>
      <c r="N869" s="5" t="s">
        <v>161</v>
      </c>
      <c r="O869" t="s">
        <v>28</v>
      </c>
      <c r="P869" t="s">
        <v>21</v>
      </c>
      <c r="Q869" t="s">
        <v>26</v>
      </c>
      <c r="R869">
        <v>0.39</v>
      </c>
      <c r="S869" s="1">
        <v>40945</v>
      </c>
      <c r="T869" t="str">
        <f t="shared" si="27"/>
        <v>06-Feb-2012</v>
      </c>
    </row>
    <row r="870" spans="1:20" x14ac:dyDescent="0.3">
      <c r="A870">
        <v>26145</v>
      </c>
      <c r="B870" s="1">
        <v>40728</v>
      </c>
      <c r="C870" t="s">
        <v>18</v>
      </c>
      <c r="D870" t="str">
        <f t="shared" si="26"/>
        <v>04-Jul-2011</v>
      </c>
      <c r="E870">
        <v>27</v>
      </c>
      <c r="F870" s="13">
        <v>735.09</v>
      </c>
      <c r="G870">
        <v>0.1</v>
      </c>
      <c r="H870" t="s">
        <v>19</v>
      </c>
      <c r="I870" s="13">
        <v>153.5</v>
      </c>
      <c r="J870">
        <v>29.34</v>
      </c>
      <c r="K870">
        <v>7.87</v>
      </c>
      <c r="L870" t="s">
        <v>206</v>
      </c>
      <c r="M870" t="s">
        <v>161</v>
      </c>
      <c r="N870" s="5" t="s">
        <v>161</v>
      </c>
      <c r="O870" t="s">
        <v>28</v>
      </c>
      <c r="P870" t="s">
        <v>32</v>
      </c>
      <c r="Q870" t="s">
        <v>33</v>
      </c>
      <c r="R870">
        <v>0.54</v>
      </c>
      <c r="S870" s="1">
        <v>40730</v>
      </c>
      <c r="T870" t="str">
        <f t="shared" si="27"/>
        <v>06-Jul-2011</v>
      </c>
    </row>
    <row r="871" spans="1:20" x14ac:dyDescent="0.3">
      <c r="A871">
        <v>31552</v>
      </c>
      <c r="B871" s="1">
        <v>41224</v>
      </c>
      <c r="C871" t="s">
        <v>23</v>
      </c>
      <c r="D871" t="str">
        <f t="shared" si="26"/>
        <v>11-Nov-2012</v>
      </c>
      <c r="E871">
        <v>24</v>
      </c>
      <c r="F871" s="13">
        <v>731.71</v>
      </c>
      <c r="G871">
        <v>0</v>
      </c>
      <c r="H871" t="s">
        <v>19</v>
      </c>
      <c r="I871" s="13">
        <v>175.82</v>
      </c>
      <c r="J871">
        <v>29.89</v>
      </c>
      <c r="K871">
        <v>1.99</v>
      </c>
      <c r="L871" t="s">
        <v>187</v>
      </c>
      <c r="M871" t="s">
        <v>161</v>
      </c>
      <c r="N871" s="5" t="s">
        <v>161</v>
      </c>
      <c r="O871" t="s">
        <v>28</v>
      </c>
      <c r="P871" t="s">
        <v>29</v>
      </c>
      <c r="Q871" t="s">
        <v>41</v>
      </c>
      <c r="R871">
        <v>0.5</v>
      </c>
      <c r="S871" s="1">
        <v>41225</v>
      </c>
      <c r="T871" t="str">
        <f t="shared" si="27"/>
        <v>12-Nov-2012</v>
      </c>
    </row>
    <row r="872" spans="1:20" x14ac:dyDescent="0.3">
      <c r="A872">
        <v>46052</v>
      </c>
      <c r="B872" s="1">
        <v>40140</v>
      </c>
      <c r="C872" t="s">
        <v>38</v>
      </c>
      <c r="D872" t="str">
        <f t="shared" si="26"/>
        <v>23-Nov-2009</v>
      </c>
      <c r="E872">
        <v>39</v>
      </c>
      <c r="F872" s="13">
        <v>729.21</v>
      </c>
      <c r="G872">
        <v>0</v>
      </c>
      <c r="H872" t="s">
        <v>35</v>
      </c>
      <c r="I872" s="13">
        <v>194.15</v>
      </c>
      <c r="J872">
        <v>17.78</v>
      </c>
      <c r="K872">
        <v>5.03</v>
      </c>
      <c r="L872" t="s">
        <v>294</v>
      </c>
      <c r="M872" t="s">
        <v>161</v>
      </c>
      <c r="N872" s="5" t="s">
        <v>161</v>
      </c>
      <c r="O872" t="s">
        <v>28</v>
      </c>
      <c r="P872" t="s">
        <v>32</v>
      </c>
      <c r="Q872" t="s">
        <v>33</v>
      </c>
      <c r="R872">
        <v>0.54</v>
      </c>
      <c r="S872" s="1">
        <v>40142</v>
      </c>
      <c r="T872" t="str">
        <f t="shared" si="27"/>
        <v>25-Nov-2009</v>
      </c>
    </row>
    <row r="873" spans="1:20" x14ac:dyDescent="0.3">
      <c r="A873">
        <v>43875</v>
      </c>
      <c r="B873" s="1">
        <v>40884</v>
      </c>
      <c r="C873" t="s">
        <v>43</v>
      </c>
      <c r="D873" t="str">
        <f t="shared" si="26"/>
        <v>07-Dec-2011</v>
      </c>
      <c r="E873">
        <v>40</v>
      </c>
      <c r="F873" s="13">
        <v>727.64</v>
      </c>
      <c r="G873">
        <v>0.01</v>
      </c>
      <c r="H873" t="s">
        <v>19</v>
      </c>
      <c r="I873" s="13">
        <v>27.64</v>
      </c>
      <c r="J873">
        <v>17.98</v>
      </c>
      <c r="K873">
        <v>8.51</v>
      </c>
      <c r="L873" t="s">
        <v>194</v>
      </c>
      <c r="M873" t="s">
        <v>161</v>
      </c>
      <c r="N873" s="5" t="s">
        <v>161</v>
      </c>
      <c r="O873" t="s">
        <v>28</v>
      </c>
      <c r="P873" t="s">
        <v>29</v>
      </c>
      <c r="Q873" t="s">
        <v>74</v>
      </c>
      <c r="R873">
        <v>0.4</v>
      </c>
      <c r="S873" s="1">
        <v>40886</v>
      </c>
      <c r="T873" t="str">
        <f t="shared" si="27"/>
        <v>09-Dec-2011</v>
      </c>
    </row>
    <row r="874" spans="1:20" x14ac:dyDescent="0.3">
      <c r="A874">
        <v>14023</v>
      </c>
      <c r="B874" s="1">
        <v>40229</v>
      </c>
      <c r="C874" t="s">
        <v>31</v>
      </c>
      <c r="D874" t="str">
        <f t="shared" si="26"/>
        <v>20-Feb-2010</v>
      </c>
      <c r="E874">
        <v>36</v>
      </c>
      <c r="F874" s="13">
        <v>711.1</v>
      </c>
      <c r="G874">
        <v>0.08</v>
      </c>
      <c r="H874" t="s">
        <v>19</v>
      </c>
      <c r="I874" s="13">
        <v>241.08</v>
      </c>
      <c r="J874">
        <v>21.38</v>
      </c>
      <c r="K874">
        <v>2.99</v>
      </c>
      <c r="L874" t="s">
        <v>189</v>
      </c>
      <c r="M874" t="s">
        <v>161</v>
      </c>
      <c r="N874" s="5" t="s">
        <v>161</v>
      </c>
      <c r="O874" t="s">
        <v>28</v>
      </c>
      <c r="P874" t="s">
        <v>21</v>
      </c>
      <c r="Q874" t="s">
        <v>26</v>
      </c>
      <c r="R874">
        <v>0.36</v>
      </c>
      <c r="S874" s="1">
        <v>40231</v>
      </c>
      <c r="T874" t="str">
        <f t="shared" si="27"/>
        <v>22-Feb-2010</v>
      </c>
    </row>
    <row r="875" spans="1:20" x14ac:dyDescent="0.3">
      <c r="A875">
        <v>25895</v>
      </c>
      <c r="B875" s="1">
        <v>41016</v>
      </c>
      <c r="C875" t="s">
        <v>38</v>
      </c>
      <c r="D875" t="str">
        <f t="shared" si="26"/>
        <v>17-Apr-2012</v>
      </c>
      <c r="E875">
        <v>37</v>
      </c>
      <c r="F875" s="13">
        <v>709.91</v>
      </c>
      <c r="G875">
        <v>0.09</v>
      </c>
      <c r="H875" t="s">
        <v>19</v>
      </c>
      <c r="I875" s="13">
        <v>-93.43</v>
      </c>
      <c r="J875">
        <v>19.350000000000001</v>
      </c>
      <c r="K875">
        <v>12.79</v>
      </c>
      <c r="L875" t="s">
        <v>183</v>
      </c>
      <c r="M875" t="s">
        <v>161</v>
      </c>
      <c r="N875" s="5" t="s">
        <v>161</v>
      </c>
      <c r="O875" t="s">
        <v>28</v>
      </c>
      <c r="P875" t="s">
        <v>21</v>
      </c>
      <c r="Q875" t="s">
        <v>26</v>
      </c>
      <c r="R875">
        <v>0.39</v>
      </c>
      <c r="S875" s="1">
        <v>41019</v>
      </c>
      <c r="T875" t="str">
        <f t="shared" si="27"/>
        <v>20-Apr-2012</v>
      </c>
    </row>
    <row r="876" spans="1:20" x14ac:dyDescent="0.3">
      <c r="A876">
        <v>55265</v>
      </c>
      <c r="B876" s="1">
        <v>40079</v>
      </c>
      <c r="C876" t="s">
        <v>18</v>
      </c>
      <c r="D876" t="str">
        <f t="shared" si="26"/>
        <v>23-Sep-2009</v>
      </c>
      <c r="E876">
        <v>39</v>
      </c>
      <c r="F876" s="13">
        <v>706.39250000000004</v>
      </c>
      <c r="G876">
        <v>0.06</v>
      </c>
      <c r="H876" t="s">
        <v>19</v>
      </c>
      <c r="I876" s="13">
        <v>346.14</v>
      </c>
      <c r="J876">
        <v>20.99</v>
      </c>
      <c r="K876">
        <v>0.99</v>
      </c>
      <c r="L876" t="s">
        <v>214</v>
      </c>
      <c r="M876" t="s">
        <v>161</v>
      </c>
      <c r="N876" s="5" t="s">
        <v>161</v>
      </c>
      <c r="O876" t="s">
        <v>28</v>
      </c>
      <c r="P876" t="s">
        <v>29</v>
      </c>
      <c r="Q876" t="s">
        <v>30</v>
      </c>
      <c r="R876">
        <v>0.37</v>
      </c>
      <c r="S876" s="1">
        <v>40084</v>
      </c>
      <c r="T876" t="str">
        <f t="shared" si="27"/>
        <v>28-Sep-2009</v>
      </c>
    </row>
    <row r="877" spans="1:20" x14ac:dyDescent="0.3">
      <c r="A877">
        <v>34209</v>
      </c>
      <c r="B877" s="1">
        <v>40414</v>
      </c>
      <c r="C877" t="s">
        <v>23</v>
      </c>
      <c r="D877" t="str">
        <f t="shared" si="26"/>
        <v>24-Aug-2010</v>
      </c>
      <c r="E877">
        <v>48</v>
      </c>
      <c r="F877" s="13">
        <v>705.44</v>
      </c>
      <c r="G877">
        <v>0.04</v>
      </c>
      <c r="H877" t="s">
        <v>19</v>
      </c>
      <c r="I877" s="13">
        <v>165.9</v>
      </c>
      <c r="J877">
        <v>14.2</v>
      </c>
      <c r="K877">
        <v>5.3</v>
      </c>
      <c r="L877" t="s">
        <v>175</v>
      </c>
      <c r="M877" t="s">
        <v>161</v>
      </c>
      <c r="N877" s="5" t="s">
        <v>161</v>
      </c>
      <c r="O877" t="s">
        <v>28</v>
      </c>
      <c r="P877" t="s">
        <v>32</v>
      </c>
      <c r="Q877" t="s">
        <v>33</v>
      </c>
      <c r="R877">
        <v>0.46</v>
      </c>
      <c r="S877" s="1">
        <v>40416</v>
      </c>
      <c r="T877" t="str">
        <f t="shared" si="27"/>
        <v>26-Aug-2010</v>
      </c>
    </row>
    <row r="878" spans="1:20" x14ac:dyDescent="0.3">
      <c r="A878">
        <v>13410</v>
      </c>
      <c r="B878" s="1">
        <v>40335</v>
      </c>
      <c r="C878" t="s">
        <v>31</v>
      </c>
      <c r="D878" t="str">
        <f t="shared" si="26"/>
        <v>06-Jun-2010</v>
      </c>
      <c r="E878">
        <v>29</v>
      </c>
      <c r="F878" s="13">
        <v>701.94</v>
      </c>
      <c r="G878">
        <v>0.01</v>
      </c>
      <c r="H878" t="s">
        <v>19</v>
      </c>
      <c r="I878" s="13">
        <v>158.91</v>
      </c>
      <c r="J878">
        <v>23.99</v>
      </c>
      <c r="K878">
        <v>6.3</v>
      </c>
      <c r="L878" t="s">
        <v>168</v>
      </c>
      <c r="M878" t="s">
        <v>161</v>
      </c>
      <c r="N878" s="5" t="s">
        <v>161</v>
      </c>
      <c r="O878" t="s">
        <v>28</v>
      </c>
      <c r="P878" t="s">
        <v>29</v>
      </c>
      <c r="Q878" t="s">
        <v>74</v>
      </c>
      <c r="R878">
        <v>0.38</v>
      </c>
      <c r="S878" s="1">
        <v>40336</v>
      </c>
      <c r="T878" t="str">
        <f t="shared" si="27"/>
        <v>07-Jun-2010</v>
      </c>
    </row>
    <row r="879" spans="1:20" x14ac:dyDescent="0.3">
      <c r="A879">
        <v>31072</v>
      </c>
      <c r="B879" s="1">
        <v>40511</v>
      </c>
      <c r="C879" t="s">
        <v>18</v>
      </c>
      <c r="D879" t="str">
        <f t="shared" si="26"/>
        <v>29-Nov-2010</v>
      </c>
      <c r="E879">
        <v>4</v>
      </c>
      <c r="F879" s="13">
        <v>701.16</v>
      </c>
      <c r="G879">
        <v>0.08</v>
      </c>
      <c r="H879" t="s">
        <v>19</v>
      </c>
      <c r="I879" s="13">
        <v>4.5599999999999996</v>
      </c>
      <c r="J879">
        <v>172.99</v>
      </c>
      <c r="K879">
        <v>19.989999999999998</v>
      </c>
      <c r="L879" t="s">
        <v>171</v>
      </c>
      <c r="M879" t="s">
        <v>161</v>
      </c>
      <c r="N879" s="5" t="s">
        <v>161</v>
      </c>
      <c r="O879" t="s">
        <v>28</v>
      </c>
      <c r="P879" t="s">
        <v>21</v>
      </c>
      <c r="Q879" t="s">
        <v>26</v>
      </c>
      <c r="R879">
        <v>0.39</v>
      </c>
      <c r="S879" s="1">
        <v>40516</v>
      </c>
      <c r="T879" t="str">
        <f t="shared" si="27"/>
        <v>04-Dec-2010</v>
      </c>
    </row>
    <row r="880" spans="1:20" x14ac:dyDescent="0.3">
      <c r="A880">
        <v>58528</v>
      </c>
      <c r="B880" s="1">
        <v>40478</v>
      </c>
      <c r="C880" t="s">
        <v>38</v>
      </c>
      <c r="D880" t="str">
        <f t="shared" si="26"/>
        <v>27-Oct-2010</v>
      </c>
      <c r="E880">
        <v>14</v>
      </c>
      <c r="F880" s="13">
        <v>700.95</v>
      </c>
      <c r="G880">
        <v>0</v>
      </c>
      <c r="H880" t="s">
        <v>19</v>
      </c>
      <c r="I880" s="13">
        <v>233.8</v>
      </c>
      <c r="J880">
        <v>46.89</v>
      </c>
      <c r="K880">
        <v>5.0999999999999996</v>
      </c>
      <c r="L880" t="s">
        <v>211</v>
      </c>
      <c r="M880" t="s">
        <v>161</v>
      </c>
      <c r="N880" s="5" t="s">
        <v>161</v>
      </c>
      <c r="O880" t="s">
        <v>28</v>
      </c>
      <c r="P880" t="s">
        <v>21</v>
      </c>
      <c r="Q880" t="s">
        <v>25</v>
      </c>
      <c r="R880">
        <v>0.46</v>
      </c>
      <c r="S880" s="1">
        <v>40479</v>
      </c>
      <c r="T880" t="str">
        <f t="shared" si="27"/>
        <v>28-Oct-2010</v>
      </c>
    </row>
    <row r="881" spans="1:20" x14ac:dyDescent="0.3">
      <c r="A881">
        <v>44614</v>
      </c>
      <c r="B881" s="1">
        <v>40343</v>
      </c>
      <c r="C881" t="s">
        <v>18</v>
      </c>
      <c r="D881" t="str">
        <f t="shared" si="26"/>
        <v>14-Jun-2010</v>
      </c>
      <c r="E881">
        <v>27</v>
      </c>
      <c r="F881" s="13">
        <v>700.35</v>
      </c>
      <c r="G881">
        <v>0.06</v>
      </c>
      <c r="H881" t="s">
        <v>19</v>
      </c>
      <c r="I881" s="13">
        <v>-123.01</v>
      </c>
      <c r="J881">
        <v>26.31</v>
      </c>
      <c r="K881">
        <v>5.89</v>
      </c>
      <c r="L881" t="s">
        <v>206</v>
      </c>
      <c r="M881" t="s">
        <v>161</v>
      </c>
      <c r="N881" s="5" t="s">
        <v>161</v>
      </c>
      <c r="O881" t="s">
        <v>28</v>
      </c>
      <c r="P881" t="s">
        <v>29</v>
      </c>
      <c r="Q881" t="s">
        <v>41</v>
      </c>
      <c r="R881">
        <v>0.75</v>
      </c>
      <c r="S881" s="1">
        <v>40352</v>
      </c>
      <c r="T881" t="str">
        <f t="shared" si="27"/>
        <v>23-Jun-2010</v>
      </c>
    </row>
    <row r="882" spans="1:20" x14ac:dyDescent="0.3">
      <c r="A882">
        <v>57153</v>
      </c>
      <c r="B882" s="1">
        <v>39959</v>
      </c>
      <c r="C882" t="s">
        <v>43</v>
      </c>
      <c r="D882" t="str">
        <f t="shared" si="26"/>
        <v>26-May-2009</v>
      </c>
      <c r="E882">
        <v>45</v>
      </c>
      <c r="F882" s="13">
        <v>698.1</v>
      </c>
      <c r="G882">
        <v>0.01</v>
      </c>
      <c r="H882" t="s">
        <v>19</v>
      </c>
      <c r="I882" s="13">
        <v>336.25</v>
      </c>
      <c r="J882">
        <v>15.67</v>
      </c>
      <c r="K882">
        <v>1.39</v>
      </c>
      <c r="L882" t="s">
        <v>153</v>
      </c>
      <c r="M882" t="s">
        <v>161</v>
      </c>
      <c r="N882" s="5" t="s">
        <v>161</v>
      </c>
      <c r="O882" t="s">
        <v>28</v>
      </c>
      <c r="P882" t="s">
        <v>21</v>
      </c>
      <c r="Q882" t="s">
        <v>42</v>
      </c>
      <c r="R882">
        <v>0.38</v>
      </c>
      <c r="S882" s="1">
        <v>39960</v>
      </c>
      <c r="T882" t="str">
        <f t="shared" si="27"/>
        <v>27-May-2009</v>
      </c>
    </row>
    <row r="883" spans="1:20" x14ac:dyDescent="0.3">
      <c r="A883">
        <v>52645</v>
      </c>
      <c r="B883" s="1">
        <v>40975</v>
      </c>
      <c r="C883" t="s">
        <v>18</v>
      </c>
      <c r="D883" t="str">
        <f t="shared" si="26"/>
        <v>07-Mar-2012</v>
      </c>
      <c r="E883">
        <v>10</v>
      </c>
      <c r="F883" s="13">
        <v>693.02</v>
      </c>
      <c r="G883">
        <v>7.0000000000000007E-2</v>
      </c>
      <c r="H883" t="s">
        <v>19</v>
      </c>
      <c r="I883" s="13">
        <v>97.36</v>
      </c>
      <c r="J883">
        <v>70.97</v>
      </c>
      <c r="K883">
        <v>3.5</v>
      </c>
      <c r="L883" t="s">
        <v>187</v>
      </c>
      <c r="M883" t="s">
        <v>161</v>
      </c>
      <c r="N883" s="5" t="s">
        <v>161</v>
      </c>
      <c r="O883" t="s">
        <v>28</v>
      </c>
      <c r="P883" t="s">
        <v>21</v>
      </c>
      <c r="Q883" t="s">
        <v>25</v>
      </c>
      <c r="R883">
        <v>0.59</v>
      </c>
      <c r="S883" s="1">
        <v>40984</v>
      </c>
      <c r="T883" t="str">
        <f t="shared" si="27"/>
        <v>16-Mar-2012</v>
      </c>
    </row>
    <row r="884" spans="1:20" x14ac:dyDescent="0.3">
      <c r="A884">
        <v>31239</v>
      </c>
      <c r="B884" s="1">
        <v>40418</v>
      </c>
      <c r="C884" t="s">
        <v>18</v>
      </c>
      <c r="D884" t="str">
        <f t="shared" si="26"/>
        <v>28-Aug-2010</v>
      </c>
      <c r="E884">
        <v>20</v>
      </c>
      <c r="F884" s="13">
        <v>677.9</v>
      </c>
      <c r="G884">
        <v>0.05</v>
      </c>
      <c r="H884" t="s">
        <v>19</v>
      </c>
      <c r="I884" s="13">
        <v>196.36</v>
      </c>
      <c r="J884">
        <v>33.979999999999997</v>
      </c>
      <c r="K884">
        <v>1.99</v>
      </c>
      <c r="L884" t="s">
        <v>227</v>
      </c>
      <c r="M884" t="s">
        <v>161</v>
      </c>
      <c r="N884" s="5" t="s">
        <v>161</v>
      </c>
      <c r="O884" t="s">
        <v>28</v>
      </c>
      <c r="P884" t="s">
        <v>29</v>
      </c>
      <c r="Q884" t="s">
        <v>41</v>
      </c>
      <c r="R884">
        <v>0.45</v>
      </c>
      <c r="S884" s="1">
        <v>40423</v>
      </c>
      <c r="T884" t="str">
        <f t="shared" si="27"/>
        <v>02-Sep-2010</v>
      </c>
    </row>
    <row r="885" spans="1:20" x14ac:dyDescent="0.3">
      <c r="A885">
        <v>57570</v>
      </c>
      <c r="B885" s="1">
        <v>41180</v>
      </c>
      <c r="C885" t="s">
        <v>23</v>
      </c>
      <c r="D885" t="str">
        <f t="shared" si="26"/>
        <v>28-Sep-2012</v>
      </c>
      <c r="E885">
        <v>15</v>
      </c>
      <c r="F885" s="13">
        <v>675.23</v>
      </c>
      <c r="G885">
        <v>0.1</v>
      </c>
      <c r="H885" t="s">
        <v>19</v>
      </c>
      <c r="I885" s="13">
        <v>204.08</v>
      </c>
      <c r="J885">
        <v>48.04</v>
      </c>
      <c r="K885">
        <v>7.23</v>
      </c>
      <c r="L885" t="s">
        <v>177</v>
      </c>
      <c r="M885" t="s">
        <v>161</v>
      </c>
      <c r="N885" s="5" t="s">
        <v>161</v>
      </c>
      <c r="O885" t="s">
        <v>28</v>
      </c>
      <c r="P885" t="s">
        <v>21</v>
      </c>
      <c r="Q885" t="s">
        <v>37</v>
      </c>
      <c r="R885">
        <v>0.37</v>
      </c>
      <c r="S885" s="1">
        <v>41182</v>
      </c>
      <c r="T885" t="str">
        <f t="shared" si="27"/>
        <v>30-Sep-2012</v>
      </c>
    </row>
    <row r="886" spans="1:20" x14ac:dyDescent="0.3">
      <c r="A886">
        <v>53574</v>
      </c>
      <c r="B886" s="1">
        <v>41008</v>
      </c>
      <c r="C886" t="s">
        <v>38</v>
      </c>
      <c r="D886" t="str">
        <f t="shared" si="26"/>
        <v>09-Apr-2012</v>
      </c>
      <c r="E886">
        <v>8</v>
      </c>
      <c r="F886" s="13">
        <v>669.69</v>
      </c>
      <c r="G886">
        <v>0.03</v>
      </c>
      <c r="H886" t="s">
        <v>19</v>
      </c>
      <c r="I886" s="13">
        <v>-297.02</v>
      </c>
      <c r="J886">
        <v>80.98</v>
      </c>
      <c r="K886">
        <v>35</v>
      </c>
      <c r="L886" t="s">
        <v>214</v>
      </c>
      <c r="M886" t="s">
        <v>161</v>
      </c>
      <c r="N886" s="5" t="s">
        <v>161</v>
      </c>
      <c r="O886" t="s">
        <v>28</v>
      </c>
      <c r="P886" t="s">
        <v>21</v>
      </c>
      <c r="Q886" t="s">
        <v>22</v>
      </c>
      <c r="R886">
        <v>0.81</v>
      </c>
      <c r="S886" s="1">
        <v>41009</v>
      </c>
      <c r="T886" t="str">
        <f t="shared" si="27"/>
        <v>10-Apr-2012</v>
      </c>
    </row>
    <row r="887" spans="1:20" x14ac:dyDescent="0.3">
      <c r="A887">
        <v>16610</v>
      </c>
      <c r="B887" s="1">
        <v>40096</v>
      </c>
      <c r="C887" t="s">
        <v>23</v>
      </c>
      <c r="D887" t="str">
        <f t="shared" si="26"/>
        <v>10-Oct-2009</v>
      </c>
      <c r="E887">
        <v>19</v>
      </c>
      <c r="F887" s="13">
        <v>659.13</v>
      </c>
      <c r="G887">
        <v>0.09</v>
      </c>
      <c r="H887" t="s">
        <v>19</v>
      </c>
      <c r="I887" s="13">
        <v>187.57</v>
      </c>
      <c r="J887">
        <v>35.94</v>
      </c>
      <c r="K887">
        <v>6.66</v>
      </c>
      <c r="L887" t="s">
        <v>212</v>
      </c>
      <c r="M887" t="s">
        <v>161</v>
      </c>
      <c r="N887" s="5" t="s">
        <v>161</v>
      </c>
      <c r="O887" t="s">
        <v>28</v>
      </c>
      <c r="P887" t="s">
        <v>21</v>
      </c>
      <c r="Q887" t="s">
        <v>42</v>
      </c>
      <c r="R887">
        <v>0.4</v>
      </c>
      <c r="S887" s="1">
        <v>40098</v>
      </c>
      <c r="T887" t="str">
        <f t="shared" si="27"/>
        <v>12-Oct-2009</v>
      </c>
    </row>
    <row r="888" spans="1:20" x14ac:dyDescent="0.3">
      <c r="A888">
        <v>47492</v>
      </c>
      <c r="B888" s="1">
        <v>40747</v>
      </c>
      <c r="C888" t="s">
        <v>23</v>
      </c>
      <c r="D888" t="str">
        <f t="shared" si="26"/>
        <v>23-Jul-2011</v>
      </c>
      <c r="E888">
        <v>22</v>
      </c>
      <c r="F888" s="13">
        <v>649.71</v>
      </c>
      <c r="G888">
        <v>7.0000000000000007E-2</v>
      </c>
      <c r="H888" t="s">
        <v>19</v>
      </c>
      <c r="I888" s="13">
        <v>-157.51</v>
      </c>
      <c r="J888">
        <v>30.42</v>
      </c>
      <c r="K888">
        <v>8.65</v>
      </c>
      <c r="L888" t="s">
        <v>294</v>
      </c>
      <c r="M888" t="s">
        <v>161</v>
      </c>
      <c r="N888" s="5" t="s">
        <v>161</v>
      </c>
      <c r="O888" t="s">
        <v>28</v>
      </c>
      <c r="P888" t="s">
        <v>29</v>
      </c>
      <c r="Q888" t="s">
        <v>41</v>
      </c>
      <c r="R888">
        <v>0.74</v>
      </c>
      <c r="S888" s="1">
        <v>40749</v>
      </c>
      <c r="T888" t="str">
        <f t="shared" si="27"/>
        <v>25-Jul-2011</v>
      </c>
    </row>
    <row r="889" spans="1:20" x14ac:dyDescent="0.3">
      <c r="A889">
        <v>47174</v>
      </c>
      <c r="B889" s="1">
        <v>40802</v>
      </c>
      <c r="C889" t="s">
        <v>43</v>
      </c>
      <c r="D889" t="str">
        <f t="shared" si="26"/>
        <v>16-Sep-2011</v>
      </c>
      <c r="E889">
        <v>42</v>
      </c>
      <c r="F889" s="13">
        <v>642.1</v>
      </c>
      <c r="G889">
        <v>0</v>
      </c>
      <c r="H889" t="s">
        <v>19</v>
      </c>
      <c r="I889" s="13">
        <v>41.56</v>
      </c>
      <c r="J889">
        <v>13.99</v>
      </c>
      <c r="K889">
        <v>7.51</v>
      </c>
      <c r="L889" t="s">
        <v>159</v>
      </c>
      <c r="M889" t="s">
        <v>161</v>
      </c>
      <c r="N889" s="5" t="s">
        <v>161</v>
      </c>
      <c r="O889" t="s">
        <v>28</v>
      </c>
      <c r="P889" t="s">
        <v>29</v>
      </c>
      <c r="Q889" t="s">
        <v>74</v>
      </c>
      <c r="R889">
        <v>0.39</v>
      </c>
      <c r="S889" s="1">
        <v>40802</v>
      </c>
      <c r="T889" t="str">
        <f t="shared" si="27"/>
        <v>16-Sep-2011</v>
      </c>
    </row>
    <row r="890" spans="1:20" x14ac:dyDescent="0.3">
      <c r="A890">
        <v>4387</v>
      </c>
      <c r="B890" s="1">
        <v>40838</v>
      </c>
      <c r="C890" t="s">
        <v>43</v>
      </c>
      <c r="D890" t="str">
        <f t="shared" si="26"/>
        <v>22-Oct-2011</v>
      </c>
      <c r="E890">
        <v>4</v>
      </c>
      <c r="F890" s="13">
        <v>640.21</v>
      </c>
      <c r="G890">
        <v>7.0000000000000007E-2</v>
      </c>
      <c r="H890" t="s">
        <v>24</v>
      </c>
      <c r="I890" s="13">
        <v>-388.52</v>
      </c>
      <c r="J890">
        <v>150.97999999999999</v>
      </c>
      <c r="K890">
        <v>39.25</v>
      </c>
      <c r="L890" t="s">
        <v>292</v>
      </c>
      <c r="M890" t="s">
        <v>161</v>
      </c>
      <c r="N890" s="5" t="s">
        <v>161</v>
      </c>
      <c r="O890" t="s">
        <v>28</v>
      </c>
      <c r="P890" t="s">
        <v>32</v>
      </c>
      <c r="Q890" t="s">
        <v>46</v>
      </c>
      <c r="R890">
        <v>0.75</v>
      </c>
      <c r="S890" s="1">
        <v>40839</v>
      </c>
      <c r="T890" t="str">
        <f t="shared" si="27"/>
        <v>23-Oct-2011</v>
      </c>
    </row>
    <row r="891" spans="1:20" x14ac:dyDescent="0.3">
      <c r="A891">
        <v>15014</v>
      </c>
      <c r="B891" s="1">
        <v>40219</v>
      </c>
      <c r="C891" t="s">
        <v>38</v>
      </c>
      <c r="D891" t="str">
        <f t="shared" si="26"/>
        <v>10-Feb-2010</v>
      </c>
      <c r="E891">
        <v>10</v>
      </c>
      <c r="F891" s="13">
        <v>633.13</v>
      </c>
      <c r="G891">
        <v>0.05</v>
      </c>
      <c r="H891" t="s">
        <v>24</v>
      </c>
      <c r="I891" s="13">
        <v>-203.9</v>
      </c>
      <c r="J891">
        <v>58.14</v>
      </c>
      <c r="K891">
        <v>36.61</v>
      </c>
      <c r="L891" t="s">
        <v>186</v>
      </c>
      <c r="M891" t="s">
        <v>161</v>
      </c>
      <c r="N891" s="5" t="s">
        <v>161</v>
      </c>
      <c r="O891" t="s">
        <v>28</v>
      </c>
      <c r="P891" t="s">
        <v>32</v>
      </c>
      <c r="Q891" t="s">
        <v>45</v>
      </c>
      <c r="R891">
        <v>0.61</v>
      </c>
      <c r="S891" s="1">
        <v>40222</v>
      </c>
      <c r="T891" t="str">
        <f t="shared" si="27"/>
        <v>13-Feb-2010</v>
      </c>
    </row>
    <row r="892" spans="1:20" x14ac:dyDescent="0.3">
      <c r="A892">
        <v>37349</v>
      </c>
      <c r="B892" s="1">
        <v>40224</v>
      </c>
      <c r="C892" t="s">
        <v>43</v>
      </c>
      <c r="D892" t="str">
        <f t="shared" si="26"/>
        <v>15-Feb-2010</v>
      </c>
      <c r="E892">
        <v>8</v>
      </c>
      <c r="F892" s="13">
        <v>631.73</v>
      </c>
      <c r="G892">
        <v>0.03</v>
      </c>
      <c r="H892" t="s">
        <v>35</v>
      </c>
      <c r="I892" s="13">
        <v>122.43</v>
      </c>
      <c r="J892">
        <v>78.69</v>
      </c>
      <c r="K892">
        <v>19.989999999999998</v>
      </c>
      <c r="L892" t="s">
        <v>193</v>
      </c>
      <c r="M892" t="s">
        <v>161</v>
      </c>
      <c r="N892" s="5" t="s">
        <v>161</v>
      </c>
      <c r="O892" t="s">
        <v>28</v>
      </c>
      <c r="P892" t="s">
        <v>32</v>
      </c>
      <c r="Q892" t="s">
        <v>33</v>
      </c>
      <c r="R892">
        <v>0.43</v>
      </c>
      <c r="S892" s="1">
        <v>40226</v>
      </c>
      <c r="T892" t="str">
        <f t="shared" si="27"/>
        <v>17-Feb-2010</v>
      </c>
    </row>
    <row r="893" spans="1:20" x14ac:dyDescent="0.3">
      <c r="A893">
        <v>46497</v>
      </c>
      <c r="B893" s="1">
        <v>41079</v>
      </c>
      <c r="C893" t="s">
        <v>23</v>
      </c>
      <c r="D893" t="str">
        <f t="shared" si="26"/>
        <v>19-Jun-2012</v>
      </c>
      <c r="E893">
        <v>30</v>
      </c>
      <c r="F893" s="13">
        <v>630.54</v>
      </c>
      <c r="G893">
        <v>0.03</v>
      </c>
      <c r="H893" t="s">
        <v>19</v>
      </c>
      <c r="I893" s="13">
        <v>-30.07</v>
      </c>
      <c r="J893">
        <v>20.149999999999999</v>
      </c>
      <c r="K893">
        <v>8.99</v>
      </c>
      <c r="L893" t="s">
        <v>291</v>
      </c>
      <c r="M893" t="s">
        <v>161</v>
      </c>
      <c r="N893" s="5" t="s">
        <v>161</v>
      </c>
      <c r="O893" t="s">
        <v>28</v>
      </c>
      <c r="P893" t="s">
        <v>21</v>
      </c>
      <c r="Q893" t="s">
        <v>50</v>
      </c>
      <c r="R893">
        <v>0.57999999999999996</v>
      </c>
      <c r="S893" s="1">
        <v>41080</v>
      </c>
      <c r="T893" t="str">
        <f t="shared" si="27"/>
        <v>20-Jun-2012</v>
      </c>
    </row>
    <row r="894" spans="1:20" x14ac:dyDescent="0.3">
      <c r="A894">
        <v>51140</v>
      </c>
      <c r="B894" s="1">
        <v>41166</v>
      </c>
      <c r="C894" t="s">
        <v>18</v>
      </c>
      <c r="D894" t="str">
        <f t="shared" si="26"/>
        <v>14-Sep-2012</v>
      </c>
      <c r="E894">
        <v>14</v>
      </c>
      <c r="F894" s="13">
        <v>626.33000000000004</v>
      </c>
      <c r="G894">
        <v>0.01</v>
      </c>
      <c r="H894" t="s">
        <v>19</v>
      </c>
      <c r="I894" s="13">
        <v>24.56</v>
      </c>
      <c r="J894">
        <v>45.19</v>
      </c>
      <c r="K894">
        <v>1.99</v>
      </c>
      <c r="L894" t="s">
        <v>171</v>
      </c>
      <c r="M894" t="s">
        <v>161</v>
      </c>
      <c r="N894" s="5" t="s">
        <v>161</v>
      </c>
      <c r="O894" t="s">
        <v>28</v>
      </c>
      <c r="P894" t="s">
        <v>29</v>
      </c>
      <c r="Q894" t="s">
        <v>41</v>
      </c>
      <c r="R894">
        <v>0.55000000000000004</v>
      </c>
      <c r="S894" s="1">
        <v>41170</v>
      </c>
      <c r="T894" t="str">
        <f t="shared" si="27"/>
        <v>18-Sep-2012</v>
      </c>
    </row>
    <row r="895" spans="1:20" x14ac:dyDescent="0.3">
      <c r="A895">
        <v>43751</v>
      </c>
      <c r="B895" s="1">
        <v>41087</v>
      </c>
      <c r="C895" t="s">
        <v>23</v>
      </c>
      <c r="D895" t="str">
        <f t="shared" si="26"/>
        <v>27-Jun-2012</v>
      </c>
      <c r="E895">
        <v>43</v>
      </c>
      <c r="F895" s="13">
        <v>621.44000000000005</v>
      </c>
      <c r="G895">
        <v>0.08</v>
      </c>
      <c r="H895" t="s">
        <v>19</v>
      </c>
      <c r="I895" s="13">
        <v>-130.96</v>
      </c>
      <c r="J895">
        <v>15.14</v>
      </c>
      <c r="K895">
        <v>4.53</v>
      </c>
      <c r="L895" t="s">
        <v>248</v>
      </c>
      <c r="M895" t="s">
        <v>161</v>
      </c>
      <c r="N895" s="5" t="s">
        <v>161</v>
      </c>
      <c r="O895" t="s">
        <v>28</v>
      </c>
      <c r="P895" t="s">
        <v>21</v>
      </c>
      <c r="Q895" t="s">
        <v>22</v>
      </c>
      <c r="R895">
        <v>0.81</v>
      </c>
      <c r="S895" s="1">
        <v>41089</v>
      </c>
      <c r="T895" t="str">
        <f t="shared" si="27"/>
        <v>29-Jun-2012</v>
      </c>
    </row>
    <row r="896" spans="1:20" x14ac:dyDescent="0.3">
      <c r="A896">
        <v>41569</v>
      </c>
      <c r="B896" s="1">
        <v>40380</v>
      </c>
      <c r="C896" t="s">
        <v>43</v>
      </c>
      <c r="D896" t="str">
        <f t="shared" si="26"/>
        <v>21-Jul-2010</v>
      </c>
      <c r="E896">
        <v>49</v>
      </c>
      <c r="F896" s="13">
        <v>617.34</v>
      </c>
      <c r="G896">
        <v>0.06</v>
      </c>
      <c r="H896" t="s">
        <v>19</v>
      </c>
      <c r="I896" s="13">
        <v>47.1</v>
      </c>
      <c r="J896">
        <v>12.28</v>
      </c>
      <c r="K896">
        <v>6.47</v>
      </c>
      <c r="L896" t="s">
        <v>288</v>
      </c>
      <c r="M896" t="s">
        <v>161</v>
      </c>
      <c r="N896" s="5" t="s">
        <v>161</v>
      </c>
      <c r="O896" t="s">
        <v>28</v>
      </c>
      <c r="P896" t="s">
        <v>21</v>
      </c>
      <c r="Q896" t="s">
        <v>37</v>
      </c>
      <c r="R896">
        <v>0.38</v>
      </c>
      <c r="S896" s="1">
        <v>40381</v>
      </c>
      <c r="T896" t="str">
        <f t="shared" si="27"/>
        <v>22-Jul-2010</v>
      </c>
    </row>
    <row r="897" spans="1:20" x14ac:dyDescent="0.3">
      <c r="A897">
        <v>46243</v>
      </c>
      <c r="B897" s="1">
        <v>40932</v>
      </c>
      <c r="C897" t="s">
        <v>18</v>
      </c>
      <c r="D897" t="str">
        <f t="shared" si="26"/>
        <v>24-Jan-2012</v>
      </c>
      <c r="E897">
        <v>31</v>
      </c>
      <c r="F897" s="13">
        <v>614.35</v>
      </c>
      <c r="G897">
        <v>0.02</v>
      </c>
      <c r="H897" t="s">
        <v>35</v>
      </c>
      <c r="I897" s="13">
        <v>78.89</v>
      </c>
      <c r="J897">
        <v>18.97</v>
      </c>
      <c r="K897">
        <v>9.0299999999999994</v>
      </c>
      <c r="L897" t="s">
        <v>159</v>
      </c>
      <c r="M897" t="s">
        <v>161</v>
      </c>
      <c r="N897" s="5" t="s">
        <v>161</v>
      </c>
      <c r="O897" t="s">
        <v>28</v>
      </c>
      <c r="P897" t="s">
        <v>21</v>
      </c>
      <c r="Q897" t="s">
        <v>37</v>
      </c>
      <c r="R897">
        <v>0.37</v>
      </c>
      <c r="S897" s="1">
        <v>40934</v>
      </c>
      <c r="T897" t="str">
        <f t="shared" si="27"/>
        <v>26-Jan-2012</v>
      </c>
    </row>
    <row r="898" spans="1:20" x14ac:dyDescent="0.3">
      <c r="A898">
        <v>27490</v>
      </c>
      <c r="B898" s="1">
        <v>40982</v>
      </c>
      <c r="C898" t="s">
        <v>31</v>
      </c>
      <c r="D898" t="str">
        <f t="shared" ref="D898:D961" si="28">TEXT(B898, "dd-mmm-yyyy" )</f>
        <v>14-Mar-2012</v>
      </c>
      <c r="E898">
        <v>18</v>
      </c>
      <c r="F898" s="13">
        <v>611.71</v>
      </c>
      <c r="G898">
        <v>0.02</v>
      </c>
      <c r="H898" t="s">
        <v>19</v>
      </c>
      <c r="I898" s="13">
        <v>93.23</v>
      </c>
      <c r="J898">
        <v>31.74</v>
      </c>
      <c r="K898">
        <v>12.62</v>
      </c>
      <c r="L898" t="s">
        <v>177</v>
      </c>
      <c r="M898" t="s">
        <v>161</v>
      </c>
      <c r="N898" s="5" t="s">
        <v>161</v>
      </c>
      <c r="O898" t="s">
        <v>28</v>
      </c>
      <c r="P898" t="s">
        <v>21</v>
      </c>
      <c r="Q898" t="s">
        <v>26</v>
      </c>
      <c r="R898">
        <v>0.37</v>
      </c>
      <c r="S898" s="1">
        <v>40984</v>
      </c>
      <c r="T898" t="str">
        <f t="shared" ref="T898:T961" si="29">TEXT(S898, "dd-mmm-yyyy")</f>
        <v>16-Mar-2012</v>
      </c>
    </row>
    <row r="899" spans="1:20" x14ac:dyDescent="0.3">
      <c r="A899">
        <v>29894</v>
      </c>
      <c r="B899" s="1">
        <v>40428</v>
      </c>
      <c r="C899" t="s">
        <v>18</v>
      </c>
      <c r="D899" t="str">
        <f t="shared" si="28"/>
        <v>07-Sep-2010</v>
      </c>
      <c r="E899">
        <v>43</v>
      </c>
      <c r="F899" s="13">
        <v>606.98</v>
      </c>
      <c r="G899">
        <v>0.05</v>
      </c>
      <c r="H899" t="s">
        <v>19</v>
      </c>
      <c r="I899" s="13">
        <v>21.08</v>
      </c>
      <c r="J899">
        <v>13.73</v>
      </c>
      <c r="K899">
        <v>6.85</v>
      </c>
      <c r="L899" t="s">
        <v>297</v>
      </c>
      <c r="M899" t="s">
        <v>161</v>
      </c>
      <c r="N899" s="5" t="s">
        <v>161</v>
      </c>
      <c r="O899" t="s">
        <v>28</v>
      </c>
      <c r="P899" t="s">
        <v>32</v>
      </c>
      <c r="Q899" t="s">
        <v>33</v>
      </c>
      <c r="R899">
        <v>0.54</v>
      </c>
      <c r="S899" s="1">
        <v>40437</v>
      </c>
      <c r="T899" t="str">
        <f t="shared" si="29"/>
        <v>16-Sep-2010</v>
      </c>
    </row>
    <row r="900" spans="1:20" x14ac:dyDescent="0.3">
      <c r="A900">
        <v>52805</v>
      </c>
      <c r="B900" s="1">
        <v>40814</v>
      </c>
      <c r="C900" t="s">
        <v>23</v>
      </c>
      <c r="D900" t="str">
        <f t="shared" si="28"/>
        <v>28-Sep-2011</v>
      </c>
      <c r="E900">
        <v>20</v>
      </c>
      <c r="F900" s="13">
        <v>596.55999999999995</v>
      </c>
      <c r="G900">
        <v>0.04</v>
      </c>
      <c r="H900" t="s">
        <v>35</v>
      </c>
      <c r="I900" s="13">
        <v>60.7</v>
      </c>
      <c r="J900">
        <v>29.99</v>
      </c>
      <c r="K900">
        <v>5.5</v>
      </c>
      <c r="L900" t="s">
        <v>298</v>
      </c>
      <c r="M900" t="s">
        <v>161</v>
      </c>
      <c r="N900" s="5" t="s">
        <v>161</v>
      </c>
      <c r="O900" t="s">
        <v>28</v>
      </c>
      <c r="P900" t="s">
        <v>29</v>
      </c>
      <c r="Q900" t="s">
        <v>41</v>
      </c>
      <c r="R900">
        <v>0.51</v>
      </c>
      <c r="S900" s="1">
        <v>40814</v>
      </c>
      <c r="T900" t="str">
        <f t="shared" si="29"/>
        <v>28-Sep-2011</v>
      </c>
    </row>
    <row r="901" spans="1:20" x14ac:dyDescent="0.3">
      <c r="A901">
        <v>48518</v>
      </c>
      <c r="B901" s="1">
        <v>39905</v>
      </c>
      <c r="C901" t="s">
        <v>38</v>
      </c>
      <c r="D901" t="str">
        <f t="shared" si="28"/>
        <v>02-Apr-2009</v>
      </c>
      <c r="E901">
        <v>17</v>
      </c>
      <c r="F901" s="13">
        <v>585.47</v>
      </c>
      <c r="G901">
        <v>0.1</v>
      </c>
      <c r="H901" t="s">
        <v>35</v>
      </c>
      <c r="I901" s="13">
        <v>178.14</v>
      </c>
      <c r="J901">
        <v>37.94</v>
      </c>
      <c r="K901">
        <v>5.08</v>
      </c>
      <c r="L901" t="s">
        <v>214</v>
      </c>
      <c r="M901" t="s">
        <v>161</v>
      </c>
      <c r="N901" s="5" t="s">
        <v>161</v>
      </c>
      <c r="O901" t="s">
        <v>28</v>
      </c>
      <c r="P901" t="s">
        <v>21</v>
      </c>
      <c r="Q901" t="s">
        <v>37</v>
      </c>
      <c r="R901">
        <v>0.38</v>
      </c>
      <c r="S901" s="1">
        <v>39907</v>
      </c>
      <c r="T901" t="str">
        <f t="shared" si="29"/>
        <v>04-Apr-2009</v>
      </c>
    </row>
    <row r="902" spans="1:20" x14ac:dyDescent="0.3">
      <c r="A902">
        <v>20134</v>
      </c>
      <c r="B902" s="1">
        <v>40614</v>
      </c>
      <c r="C902" t="s">
        <v>18</v>
      </c>
      <c r="D902" t="str">
        <f t="shared" si="28"/>
        <v>12-Mar-2011</v>
      </c>
      <c r="E902">
        <v>26</v>
      </c>
      <c r="F902" s="13">
        <v>583.55999999999995</v>
      </c>
      <c r="G902">
        <v>0.02</v>
      </c>
      <c r="H902" t="s">
        <v>19</v>
      </c>
      <c r="I902" s="13">
        <v>-94.59</v>
      </c>
      <c r="J902">
        <v>20.97</v>
      </c>
      <c r="K902">
        <v>6.5</v>
      </c>
      <c r="L902" t="s">
        <v>188</v>
      </c>
      <c r="M902" t="s">
        <v>161</v>
      </c>
      <c r="N902" s="5" t="s">
        <v>161</v>
      </c>
      <c r="O902" t="s">
        <v>28</v>
      </c>
      <c r="P902" t="s">
        <v>29</v>
      </c>
      <c r="Q902" t="s">
        <v>41</v>
      </c>
      <c r="R902">
        <v>0.78</v>
      </c>
      <c r="S902" s="1">
        <v>40618</v>
      </c>
      <c r="T902" t="str">
        <f t="shared" si="29"/>
        <v>16-Mar-2011</v>
      </c>
    </row>
    <row r="903" spans="1:20" x14ac:dyDescent="0.3">
      <c r="A903">
        <v>21089</v>
      </c>
      <c r="B903" s="1">
        <v>40752</v>
      </c>
      <c r="C903" t="s">
        <v>38</v>
      </c>
      <c r="D903" t="str">
        <f t="shared" si="28"/>
        <v>28-Jul-2011</v>
      </c>
      <c r="E903">
        <v>4</v>
      </c>
      <c r="F903" s="13">
        <v>559.75</v>
      </c>
      <c r="G903">
        <v>7.0000000000000007E-2</v>
      </c>
      <c r="H903" t="s">
        <v>24</v>
      </c>
      <c r="I903" s="13">
        <v>-331.08</v>
      </c>
      <c r="J903">
        <v>122.99</v>
      </c>
      <c r="K903">
        <v>70.2</v>
      </c>
      <c r="L903" t="s">
        <v>298</v>
      </c>
      <c r="M903" t="s">
        <v>161</v>
      </c>
      <c r="N903" s="5" t="s">
        <v>161</v>
      </c>
      <c r="O903" t="s">
        <v>28</v>
      </c>
      <c r="P903" t="s">
        <v>32</v>
      </c>
      <c r="Q903" t="s">
        <v>56</v>
      </c>
      <c r="R903">
        <v>0.74</v>
      </c>
      <c r="S903" s="1">
        <v>40754</v>
      </c>
      <c r="T903" t="str">
        <f t="shared" si="29"/>
        <v>30-Jul-2011</v>
      </c>
    </row>
    <row r="904" spans="1:20" x14ac:dyDescent="0.3">
      <c r="A904">
        <v>29411</v>
      </c>
      <c r="B904" s="1">
        <v>41005</v>
      </c>
      <c r="C904" t="s">
        <v>23</v>
      </c>
      <c r="D904" t="str">
        <f t="shared" si="28"/>
        <v>06-Apr-2012</v>
      </c>
      <c r="E904">
        <v>33</v>
      </c>
      <c r="F904" s="13">
        <v>542.24</v>
      </c>
      <c r="G904">
        <v>0.02</v>
      </c>
      <c r="H904" t="s">
        <v>19</v>
      </c>
      <c r="I904" s="13">
        <v>268.52999999999997</v>
      </c>
      <c r="J904">
        <v>15.67</v>
      </c>
      <c r="K904">
        <v>1.39</v>
      </c>
      <c r="L904" t="s">
        <v>200</v>
      </c>
      <c r="M904" t="s">
        <v>161</v>
      </c>
      <c r="N904" s="5" t="s">
        <v>161</v>
      </c>
      <c r="O904" t="s">
        <v>28</v>
      </c>
      <c r="P904" t="s">
        <v>21</v>
      </c>
      <c r="Q904" t="s">
        <v>42</v>
      </c>
      <c r="R904">
        <v>0.38</v>
      </c>
      <c r="S904" s="1">
        <v>41006</v>
      </c>
      <c r="T904" t="str">
        <f t="shared" si="29"/>
        <v>07-Apr-2012</v>
      </c>
    </row>
    <row r="905" spans="1:20" x14ac:dyDescent="0.3">
      <c r="A905">
        <v>12320</v>
      </c>
      <c r="B905" s="1">
        <v>40897</v>
      </c>
      <c r="C905" t="s">
        <v>43</v>
      </c>
      <c r="D905" t="str">
        <f t="shared" si="28"/>
        <v>20-Dec-2011</v>
      </c>
      <c r="E905">
        <v>35</v>
      </c>
      <c r="F905" s="13">
        <v>539.21</v>
      </c>
      <c r="G905">
        <v>0.05</v>
      </c>
      <c r="H905" t="s">
        <v>24</v>
      </c>
      <c r="I905" s="13">
        <v>11.65</v>
      </c>
      <c r="J905">
        <v>15.23</v>
      </c>
      <c r="K905">
        <v>27.75</v>
      </c>
      <c r="L905" t="s">
        <v>235</v>
      </c>
      <c r="M905" t="s">
        <v>161</v>
      </c>
      <c r="N905" s="5" t="s">
        <v>161</v>
      </c>
      <c r="O905" t="s">
        <v>28</v>
      </c>
      <c r="P905" t="s">
        <v>32</v>
      </c>
      <c r="Q905" t="s">
        <v>46</v>
      </c>
      <c r="R905">
        <v>0.76</v>
      </c>
      <c r="S905" s="1">
        <v>40899</v>
      </c>
      <c r="T905" t="str">
        <f t="shared" si="29"/>
        <v>22-Dec-2011</v>
      </c>
    </row>
    <row r="906" spans="1:20" x14ac:dyDescent="0.3">
      <c r="A906">
        <v>19394</v>
      </c>
      <c r="B906" s="1">
        <v>41268</v>
      </c>
      <c r="C906" t="s">
        <v>38</v>
      </c>
      <c r="D906" t="str">
        <f t="shared" si="28"/>
        <v>25-Dec-2012</v>
      </c>
      <c r="E906">
        <v>5</v>
      </c>
      <c r="F906" s="13">
        <v>539.20600000000002</v>
      </c>
      <c r="G906">
        <v>0.05</v>
      </c>
      <c r="H906" t="s">
        <v>19</v>
      </c>
      <c r="I906" s="13">
        <v>-452.39</v>
      </c>
      <c r="J906">
        <v>125.99</v>
      </c>
      <c r="K906">
        <v>8.8000000000000007</v>
      </c>
      <c r="L906" t="s">
        <v>195</v>
      </c>
      <c r="M906" t="s">
        <v>161</v>
      </c>
      <c r="N906" s="5" t="s">
        <v>161</v>
      </c>
      <c r="O906" t="s">
        <v>28</v>
      </c>
      <c r="P906" t="s">
        <v>29</v>
      </c>
      <c r="Q906" t="s">
        <v>30</v>
      </c>
      <c r="R906">
        <v>0.59</v>
      </c>
      <c r="S906" s="1">
        <v>41271</v>
      </c>
      <c r="T906" t="str">
        <f t="shared" si="29"/>
        <v>28-Dec-2012</v>
      </c>
    </row>
    <row r="907" spans="1:20" x14ac:dyDescent="0.3">
      <c r="A907">
        <v>20259</v>
      </c>
      <c r="B907" s="1">
        <v>40687</v>
      </c>
      <c r="C907" t="s">
        <v>43</v>
      </c>
      <c r="D907" t="str">
        <f t="shared" si="28"/>
        <v>24-May-2011</v>
      </c>
      <c r="E907">
        <v>42</v>
      </c>
      <c r="F907" s="13">
        <v>539.05999999999995</v>
      </c>
      <c r="G907">
        <v>0.05</v>
      </c>
      <c r="H907" t="s">
        <v>19</v>
      </c>
      <c r="I907" s="13">
        <v>-123.07</v>
      </c>
      <c r="J907">
        <v>12.88</v>
      </c>
      <c r="K907">
        <v>4.59</v>
      </c>
      <c r="L907" t="s">
        <v>191</v>
      </c>
      <c r="M907" t="s">
        <v>161</v>
      </c>
      <c r="N907" s="5" t="s">
        <v>161</v>
      </c>
      <c r="O907" t="s">
        <v>28</v>
      </c>
      <c r="P907" t="s">
        <v>21</v>
      </c>
      <c r="Q907" t="s">
        <v>67</v>
      </c>
      <c r="R907">
        <v>0.82</v>
      </c>
      <c r="S907" s="1">
        <v>40688</v>
      </c>
      <c r="T907" t="str">
        <f t="shared" si="29"/>
        <v>25-May-2011</v>
      </c>
    </row>
    <row r="908" spans="1:20" x14ac:dyDescent="0.3">
      <c r="A908">
        <v>50307</v>
      </c>
      <c r="B908" s="1">
        <v>40466</v>
      </c>
      <c r="C908" t="s">
        <v>18</v>
      </c>
      <c r="D908" t="str">
        <f t="shared" si="28"/>
        <v>15-Oct-2010</v>
      </c>
      <c r="E908">
        <v>31</v>
      </c>
      <c r="F908" s="13">
        <v>536.83000000000004</v>
      </c>
      <c r="G908">
        <v>0.06</v>
      </c>
      <c r="H908" t="s">
        <v>19</v>
      </c>
      <c r="I908" s="13">
        <v>161.37</v>
      </c>
      <c r="J908">
        <v>17.48</v>
      </c>
      <c r="K908">
        <v>1.99</v>
      </c>
      <c r="L908" t="s">
        <v>294</v>
      </c>
      <c r="M908" t="s">
        <v>161</v>
      </c>
      <c r="N908" s="5" t="s">
        <v>161</v>
      </c>
      <c r="O908" t="s">
        <v>28</v>
      </c>
      <c r="P908" t="s">
        <v>29</v>
      </c>
      <c r="Q908" t="s">
        <v>41</v>
      </c>
      <c r="R908">
        <v>0.45</v>
      </c>
      <c r="S908" s="1">
        <v>40466</v>
      </c>
      <c r="T908" t="str">
        <f t="shared" si="29"/>
        <v>15-Oct-2010</v>
      </c>
    </row>
    <row r="909" spans="1:20" x14ac:dyDescent="0.3">
      <c r="A909">
        <v>11841</v>
      </c>
      <c r="B909" s="1">
        <v>40288</v>
      </c>
      <c r="C909" t="s">
        <v>38</v>
      </c>
      <c r="D909" t="str">
        <f t="shared" si="28"/>
        <v>20-Apr-2010</v>
      </c>
      <c r="E909">
        <v>46</v>
      </c>
      <c r="F909" s="13">
        <v>533.25</v>
      </c>
      <c r="G909">
        <v>7.0000000000000007E-2</v>
      </c>
      <c r="H909" t="s">
        <v>19</v>
      </c>
      <c r="I909" s="13">
        <v>-88.32</v>
      </c>
      <c r="J909">
        <v>11.97</v>
      </c>
      <c r="K909">
        <v>5.81</v>
      </c>
      <c r="L909" t="s">
        <v>194</v>
      </c>
      <c r="M909" t="s">
        <v>161</v>
      </c>
      <c r="N909" s="5" t="s">
        <v>161</v>
      </c>
      <c r="O909" t="s">
        <v>28</v>
      </c>
      <c r="P909" t="s">
        <v>21</v>
      </c>
      <c r="Q909" t="s">
        <v>50</v>
      </c>
      <c r="R909">
        <v>0.6</v>
      </c>
      <c r="S909" s="1">
        <v>40288</v>
      </c>
      <c r="T909" t="str">
        <f t="shared" si="29"/>
        <v>20-Apr-2010</v>
      </c>
    </row>
    <row r="910" spans="1:20" x14ac:dyDescent="0.3">
      <c r="A910">
        <v>9478</v>
      </c>
      <c r="B910" s="1">
        <v>39900</v>
      </c>
      <c r="C910" t="s">
        <v>23</v>
      </c>
      <c r="D910" t="str">
        <f t="shared" si="28"/>
        <v>28-Mar-2009</v>
      </c>
      <c r="E910">
        <v>48</v>
      </c>
      <c r="F910" s="13">
        <v>522.97</v>
      </c>
      <c r="G910">
        <v>0.04</v>
      </c>
      <c r="H910" t="s">
        <v>19</v>
      </c>
      <c r="I910" s="13">
        <v>29.98</v>
      </c>
      <c r="J910">
        <v>10.4</v>
      </c>
      <c r="K910">
        <v>5.4</v>
      </c>
      <c r="L910" t="s">
        <v>98</v>
      </c>
      <c r="M910" t="s">
        <v>161</v>
      </c>
      <c r="N910" s="5" t="s">
        <v>161</v>
      </c>
      <c r="O910" t="s">
        <v>28</v>
      </c>
      <c r="P910" t="s">
        <v>32</v>
      </c>
      <c r="Q910" t="s">
        <v>33</v>
      </c>
      <c r="R910">
        <v>0.51</v>
      </c>
      <c r="S910" s="1">
        <v>39901</v>
      </c>
      <c r="T910" t="str">
        <f t="shared" si="29"/>
        <v>29-Mar-2009</v>
      </c>
    </row>
    <row r="911" spans="1:20" x14ac:dyDescent="0.3">
      <c r="A911">
        <v>12263</v>
      </c>
      <c r="B911" s="1">
        <v>40730</v>
      </c>
      <c r="C911" t="s">
        <v>23</v>
      </c>
      <c r="D911" t="str">
        <f t="shared" si="28"/>
        <v>06-Jul-2011</v>
      </c>
      <c r="E911">
        <v>12</v>
      </c>
      <c r="F911" s="13">
        <v>515.65</v>
      </c>
      <c r="G911">
        <v>0</v>
      </c>
      <c r="H911" t="s">
        <v>19</v>
      </c>
      <c r="I911" s="13">
        <v>123.5</v>
      </c>
      <c r="J911">
        <v>39.479999999999997</v>
      </c>
      <c r="K911">
        <v>3.99</v>
      </c>
      <c r="L911" t="s">
        <v>196</v>
      </c>
      <c r="M911" t="s">
        <v>161</v>
      </c>
      <c r="N911" s="5" t="s">
        <v>161</v>
      </c>
      <c r="O911" t="s">
        <v>28</v>
      </c>
      <c r="P911" t="s">
        <v>21</v>
      </c>
      <c r="Q911" t="s">
        <v>25</v>
      </c>
      <c r="R911">
        <v>0.56000000000000005</v>
      </c>
      <c r="S911" s="1">
        <v>40730</v>
      </c>
      <c r="T911" t="str">
        <f t="shared" si="29"/>
        <v>06-Jul-2011</v>
      </c>
    </row>
    <row r="912" spans="1:20" x14ac:dyDescent="0.3">
      <c r="A912">
        <v>22151</v>
      </c>
      <c r="B912" s="1">
        <v>40390</v>
      </c>
      <c r="C912" t="s">
        <v>23</v>
      </c>
      <c r="D912" t="str">
        <f t="shared" si="28"/>
        <v>31-Jul-2010</v>
      </c>
      <c r="E912">
        <v>20</v>
      </c>
      <c r="F912" s="13">
        <v>515.37</v>
      </c>
      <c r="G912">
        <v>0.04</v>
      </c>
      <c r="H912" t="s">
        <v>19</v>
      </c>
      <c r="I912" s="13">
        <v>9.82</v>
      </c>
      <c r="J912">
        <v>24.92</v>
      </c>
      <c r="K912">
        <v>12.98</v>
      </c>
      <c r="L912" t="s">
        <v>62</v>
      </c>
      <c r="M912" t="s">
        <v>161</v>
      </c>
      <c r="N912" s="5" t="s">
        <v>161</v>
      </c>
      <c r="O912" t="s">
        <v>28</v>
      </c>
      <c r="P912" t="s">
        <v>21</v>
      </c>
      <c r="Q912" t="s">
        <v>26</v>
      </c>
      <c r="R912">
        <v>0.39</v>
      </c>
      <c r="S912" s="1">
        <v>40391</v>
      </c>
      <c r="T912" t="str">
        <f t="shared" si="29"/>
        <v>01-Aug-2010</v>
      </c>
    </row>
    <row r="913" spans="1:20" x14ac:dyDescent="0.3">
      <c r="A913">
        <v>56002</v>
      </c>
      <c r="B913" s="1">
        <v>39998</v>
      </c>
      <c r="C913" t="s">
        <v>18</v>
      </c>
      <c r="D913" t="str">
        <f t="shared" si="28"/>
        <v>04-Jul-2009</v>
      </c>
      <c r="E913">
        <v>21</v>
      </c>
      <c r="F913" s="13">
        <v>514.53</v>
      </c>
      <c r="G913">
        <v>0.04</v>
      </c>
      <c r="H913" t="s">
        <v>19</v>
      </c>
      <c r="I913" s="13">
        <v>149.31</v>
      </c>
      <c r="J913">
        <v>23.99</v>
      </c>
      <c r="K913">
        <v>6.71</v>
      </c>
      <c r="L913" t="s">
        <v>197</v>
      </c>
      <c r="M913" t="s">
        <v>161</v>
      </c>
      <c r="N913" s="5" t="s">
        <v>161</v>
      </c>
      <c r="O913" t="s">
        <v>28</v>
      </c>
      <c r="P913" t="s">
        <v>21</v>
      </c>
      <c r="Q913" t="s">
        <v>42</v>
      </c>
      <c r="R913">
        <v>0.35</v>
      </c>
      <c r="S913" s="1">
        <v>40000</v>
      </c>
      <c r="T913" t="str">
        <f t="shared" si="29"/>
        <v>06-Jul-2009</v>
      </c>
    </row>
    <row r="914" spans="1:20" x14ac:dyDescent="0.3">
      <c r="A914">
        <v>12323</v>
      </c>
      <c r="B914" s="1">
        <v>40635</v>
      </c>
      <c r="C914" t="s">
        <v>31</v>
      </c>
      <c r="D914" t="str">
        <f t="shared" si="28"/>
        <v>02-Apr-2011</v>
      </c>
      <c r="E914">
        <v>32</v>
      </c>
      <c r="F914" s="13">
        <v>513.74</v>
      </c>
      <c r="G914">
        <v>0.02</v>
      </c>
      <c r="H914" t="s">
        <v>19</v>
      </c>
      <c r="I914" s="13">
        <v>-28.68</v>
      </c>
      <c r="J914">
        <v>15.15</v>
      </c>
      <c r="K914">
        <v>10.130000000000001</v>
      </c>
      <c r="L914" t="s">
        <v>119</v>
      </c>
      <c r="M914" t="s">
        <v>161</v>
      </c>
      <c r="N914" s="5" t="s">
        <v>161</v>
      </c>
      <c r="O914" t="s">
        <v>28</v>
      </c>
      <c r="P914" t="s">
        <v>21</v>
      </c>
      <c r="Q914" t="s">
        <v>26</v>
      </c>
      <c r="R914">
        <v>0.38</v>
      </c>
      <c r="S914" s="1">
        <v>40636</v>
      </c>
      <c r="T914" t="str">
        <f t="shared" si="29"/>
        <v>03-Apr-2011</v>
      </c>
    </row>
    <row r="915" spans="1:20" x14ac:dyDescent="0.3">
      <c r="A915">
        <v>26145</v>
      </c>
      <c r="B915" s="1">
        <v>40728</v>
      </c>
      <c r="C915" t="s">
        <v>18</v>
      </c>
      <c r="D915" t="str">
        <f t="shared" si="28"/>
        <v>04-Jul-2011</v>
      </c>
      <c r="E915">
        <v>49</v>
      </c>
      <c r="F915" s="13">
        <v>510.15</v>
      </c>
      <c r="G915">
        <v>0.04</v>
      </c>
      <c r="H915" t="s">
        <v>19</v>
      </c>
      <c r="I915" s="13">
        <v>-362.11</v>
      </c>
      <c r="J915">
        <v>9.98</v>
      </c>
      <c r="K915">
        <v>12.52</v>
      </c>
      <c r="L915" t="s">
        <v>206</v>
      </c>
      <c r="M915" t="s">
        <v>161</v>
      </c>
      <c r="N915" s="5" t="s">
        <v>161</v>
      </c>
      <c r="O915" t="s">
        <v>28</v>
      </c>
      <c r="P915" t="s">
        <v>32</v>
      </c>
      <c r="Q915" t="s">
        <v>33</v>
      </c>
      <c r="R915">
        <v>0.56999999999999995</v>
      </c>
      <c r="S915" s="1">
        <v>40728</v>
      </c>
      <c r="T915" t="str">
        <f t="shared" si="29"/>
        <v>04-Jul-2011</v>
      </c>
    </row>
    <row r="916" spans="1:20" x14ac:dyDescent="0.3">
      <c r="A916">
        <v>2912</v>
      </c>
      <c r="B916" s="1">
        <v>40979</v>
      </c>
      <c r="C916" t="s">
        <v>18</v>
      </c>
      <c r="D916" t="str">
        <f t="shared" si="28"/>
        <v>11-Mar-2012</v>
      </c>
      <c r="E916">
        <v>9</v>
      </c>
      <c r="F916" s="13">
        <v>507.98</v>
      </c>
      <c r="G916">
        <v>0.05</v>
      </c>
      <c r="H916" t="s">
        <v>35</v>
      </c>
      <c r="I916" s="13">
        <v>170.9</v>
      </c>
      <c r="J916">
        <v>55.98</v>
      </c>
      <c r="K916">
        <v>4.8600000000000003</v>
      </c>
      <c r="L916" t="s">
        <v>181</v>
      </c>
      <c r="M916" t="s">
        <v>161</v>
      </c>
      <c r="N916" s="5" t="s">
        <v>161</v>
      </c>
      <c r="O916" t="s">
        <v>28</v>
      </c>
      <c r="P916" t="s">
        <v>21</v>
      </c>
      <c r="Q916" t="s">
        <v>37</v>
      </c>
      <c r="R916">
        <v>0.36</v>
      </c>
      <c r="S916" s="1">
        <v>40986</v>
      </c>
      <c r="T916" t="str">
        <f t="shared" si="29"/>
        <v>18-Mar-2012</v>
      </c>
    </row>
    <row r="917" spans="1:20" x14ac:dyDescent="0.3">
      <c r="A917">
        <v>49575</v>
      </c>
      <c r="B917" s="1">
        <v>40528</v>
      </c>
      <c r="C917" t="s">
        <v>23</v>
      </c>
      <c r="D917" t="str">
        <f t="shared" si="28"/>
        <v>16-Dec-2010</v>
      </c>
      <c r="E917">
        <v>12</v>
      </c>
      <c r="F917" s="13">
        <v>507.44</v>
      </c>
      <c r="G917">
        <v>0.05</v>
      </c>
      <c r="H917" t="s">
        <v>19</v>
      </c>
      <c r="I917" s="13">
        <v>170.9</v>
      </c>
      <c r="J917">
        <v>42.8</v>
      </c>
      <c r="K917">
        <v>2.99</v>
      </c>
      <c r="L917" t="s">
        <v>305</v>
      </c>
      <c r="M917" t="s">
        <v>161</v>
      </c>
      <c r="N917" s="5" t="s">
        <v>161</v>
      </c>
      <c r="O917" t="s">
        <v>28</v>
      </c>
      <c r="P917" t="s">
        <v>21</v>
      </c>
      <c r="Q917" t="s">
        <v>26</v>
      </c>
      <c r="R917">
        <v>0.36</v>
      </c>
      <c r="S917" s="1">
        <v>40529</v>
      </c>
      <c r="T917" t="str">
        <f t="shared" si="29"/>
        <v>17-Dec-2010</v>
      </c>
    </row>
    <row r="918" spans="1:20" x14ac:dyDescent="0.3">
      <c r="A918">
        <v>38503</v>
      </c>
      <c r="B918" s="1">
        <v>39938</v>
      </c>
      <c r="C918" t="s">
        <v>18</v>
      </c>
      <c r="D918" t="str">
        <f t="shared" si="28"/>
        <v>05-May-2009</v>
      </c>
      <c r="E918">
        <v>10</v>
      </c>
      <c r="F918" s="13">
        <v>503.29349999999999</v>
      </c>
      <c r="G918">
        <v>0.02</v>
      </c>
      <c r="H918" t="s">
        <v>19</v>
      </c>
      <c r="I918" s="13">
        <v>-222.82</v>
      </c>
      <c r="J918">
        <v>55.99</v>
      </c>
      <c r="K918">
        <v>5</v>
      </c>
      <c r="L918" t="s">
        <v>194</v>
      </c>
      <c r="M918" t="s">
        <v>161</v>
      </c>
      <c r="N918" s="5" t="s">
        <v>161</v>
      </c>
      <c r="O918" t="s">
        <v>28</v>
      </c>
      <c r="P918" t="s">
        <v>29</v>
      </c>
      <c r="Q918" t="s">
        <v>30</v>
      </c>
      <c r="R918">
        <v>0.83</v>
      </c>
      <c r="S918" s="1">
        <v>39938</v>
      </c>
      <c r="T918" t="str">
        <f t="shared" si="29"/>
        <v>05-May-2009</v>
      </c>
    </row>
    <row r="919" spans="1:20" x14ac:dyDescent="0.3">
      <c r="A919">
        <v>14023</v>
      </c>
      <c r="B919" s="1">
        <v>40229</v>
      </c>
      <c r="C919" t="s">
        <v>31</v>
      </c>
      <c r="D919" t="str">
        <f t="shared" si="28"/>
        <v>20-Feb-2010</v>
      </c>
      <c r="E919">
        <v>48</v>
      </c>
      <c r="F919" s="13">
        <v>498.16</v>
      </c>
      <c r="G919">
        <v>0.03</v>
      </c>
      <c r="H919" t="s">
        <v>19</v>
      </c>
      <c r="I919" s="13">
        <v>40.61</v>
      </c>
      <c r="J919">
        <v>9.99</v>
      </c>
      <c r="K919">
        <v>5.12</v>
      </c>
      <c r="L919" t="s">
        <v>189</v>
      </c>
      <c r="M919" t="s">
        <v>161</v>
      </c>
      <c r="N919" s="5" t="s">
        <v>161</v>
      </c>
      <c r="O919" t="s">
        <v>28</v>
      </c>
      <c r="P919" t="s">
        <v>21</v>
      </c>
      <c r="Q919" t="s">
        <v>37</v>
      </c>
      <c r="R919">
        <v>0.4</v>
      </c>
      <c r="S919" s="1">
        <v>40230</v>
      </c>
      <c r="T919" t="str">
        <f t="shared" si="29"/>
        <v>21-Feb-2010</v>
      </c>
    </row>
    <row r="920" spans="1:20" x14ac:dyDescent="0.3">
      <c r="A920">
        <v>37828</v>
      </c>
      <c r="B920" s="1">
        <v>40653</v>
      </c>
      <c r="C920" t="s">
        <v>18</v>
      </c>
      <c r="D920" t="str">
        <f t="shared" si="28"/>
        <v>20-Apr-2011</v>
      </c>
      <c r="E920">
        <v>23</v>
      </c>
      <c r="F920" s="13">
        <v>490.17</v>
      </c>
      <c r="G920">
        <v>0.04</v>
      </c>
      <c r="H920" t="s">
        <v>19</v>
      </c>
      <c r="I920" s="13">
        <v>-57.09</v>
      </c>
      <c r="J920">
        <v>20.97</v>
      </c>
      <c r="K920">
        <v>4</v>
      </c>
      <c r="L920" t="s">
        <v>204</v>
      </c>
      <c r="M920" t="s">
        <v>161</v>
      </c>
      <c r="N920" s="5" t="s">
        <v>161</v>
      </c>
      <c r="O920" t="s">
        <v>28</v>
      </c>
      <c r="P920" t="s">
        <v>29</v>
      </c>
      <c r="Q920" t="s">
        <v>41</v>
      </c>
      <c r="R920">
        <v>0.77</v>
      </c>
      <c r="S920" s="1">
        <v>40658</v>
      </c>
      <c r="T920" t="str">
        <f t="shared" si="29"/>
        <v>25-Apr-2011</v>
      </c>
    </row>
    <row r="921" spans="1:20" x14ac:dyDescent="0.3">
      <c r="A921">
        <v>17634</v>
      </c>
      <c r="B921" s="1">
        <v>41111</v>
      </c>
      <c r="C921" t="s">
        <v>23</v>
      </c>
      <c r="D921" t="str">
        <f t="shared" si="28"/>
        <v>21-Jul-2012</v>
      </c>
      <c r="E921">
        <v>5</v>
      </c>
      <c r="F921" s="13">
        <v>489.07</v>
      </c>
      <c r="G921">
        <v>0.08</v>
      </c>
      <c r="H921" t="s">
        <v>24</v>
      </c>
      <c r="I921" s="13">
        <v>-197.88</v>
      </c>
      <c r="J921">
        <v>89.99</v>
      </c>
      <c r="K921">
        <v>42</v>
      </c>
      <c r="L921" t="s">
        <v>187</v>
      </c>
      <c r="M921" t="s">
        <v>161</v>
      </c>
      <c r="N921" s="5" t="s">
        <v>161</v>
      </c>
      <c r="O921" t="s">
        <v>28</v>
      </c>
      <c r="P921" t="s">
        <v>32</v>
      </c>
      <c r="Q921" t="s">
        <v>56</v>
      </c>
      <c r="R921">
        <v>0.66</v>
      </c>
      <c r="S921" s="1">
        <v>41111</v>
      </c>
      <c r="T921" t="str">
        <f t="shared" si="29"/>
        <v>21-Jul-2012</v>
      </c>
    </row>
    <row r="922" spans="1:20" x14ac:dyDescent="0.3">
      <c r="A922">
        <v>28805</v>
      </c>
      <c r="B922" s="1">
        <v>40635</v>
      </c>
      <c r="C922" t="s">
        <v>38</v>
      </c>
      <c r="D922" t="str">
        <f t="shared" si="28"/>
        <v>02-Apr-2011</v>
      </c>
      <c r="E922">
        <v>46</v>
      </c>
      <c r="F922" s="13">
        <v>487.5</v>
      </c>
      <c r="G922">
        <v>0.05</v>
      </c>
      <c r="H922" t="s">
        <v>19</v>
      </c>
      <c r="I922" s="13">
        <v>-25.88</v>
      </c>
      <c r="J922">
        <v>10.23</v>
      </c>
      <c r="K922">
        <v>4.68</v>
      </c>
      <c r="L922" t="s">
        <v>193</v>
      </c>
      <c r="M922" t="s">
        <v>161</v>
      </c>
      <c r="N922" s="5" t="s">
        <v>161</v>
      </c>
      <c r="O922" t="s">
        <v>28</v>
      </c>
      <c r="P922" t="s">
        <v>21</v>
      </c>
      <c r="Q922" t="s">
        <v>67</v>
      </c>
      <c r="R922">
        <v>0.59</v>
      </c>
      <c r="S922" s="1">
        <v>40637</v>
      </c>
      <c r="T922" t="str">
        <f t="shared" si="29"/>
        <v>04-Apr-2011</v>
      </c>
    </row>
    <row r="923" spans="1:20" x14ac:dyDescent="0.3">
      <c r="A923">
        <v>35878</v>
      </c>
      <c r="B923" s="1">
        <v>40403</v>
      </c>
      <c r="C923" t="s">
        <v>38</v>
      </c>
      <c r="D923" t="str">
        <f t="shared" si="28"/>
        <v>13-Aug-2010</v>
      </c>
      <c r="E923">
        <v>11</v>
      </c>
      <c r="F923" s="13">
        <v>485.46</v>
      </c>
      <c r="G923">
        <v>0.03</v>
      </c>
      <c r="H923" t="s">
        <v>19</v>
      </c>
      <c r="I923" s="13">
        <v>48.88</v>
      </c>
      <c r="J923">
        <v>40.99</v>
      </c>
      <c r="K923">
        <v>17.48</v>
      </c>
      <c r="L923" t="s">
        <v>208</v>
      </c>
      <c r="M923" t="s">
        <v>161</v>
      </c>
      <c r="N923" s="5" t="s">
        <v>161</v>
      </c>
      <c r="O923" t="s">
        <v>28</v>
      </c>
      <c r="P923" t="s">
        <v>21</v>
      </c>
      <c r="Q923" t="s">
        <v>37</v>
      </c>
      <c r="R923">
        <v>0.36</v>
      </c>
      <c r="S923" s="1">
        <v>40404</v>
      </c>
      <c r="T923" t="str">
        <f t="shared" si="29"/>
        <v>14-Aug-2010</v>
      </c>
    </row>
    <row r="924" spans="1:20" x14ac:dyDescent="0.3">
      <c r="A924">
        <v>13345</v>
      </c>
      <c r="B924" s="1">
        <v>41154</v>
      </c>
      <c r="C924" t="s">
        <v>31</v>
      </c>
      <c r="D924" t="str">
        <f t="shared" si="28"/>
        <v>02-Sep-2012</v>
      </c>
      <c r="E924">
        <v>45</v>
      </c>
      <c r="F924" s="13">
        <v>483.64</v>
      </c>
      <c r="G924">
        <v>0.1</v>
      </c>
      <c r="H924" t="s">
        <v>19</v>
      </c>
      <c r="I924" s="13">
        <v>28.39</v>
      </c>
      <c r="J924">
        <v>10.98</v>
      </c>
      <c r="K924">
        <v>3.37</v>
      </c>
      <c r="L924" t="s">
        <v>169</v>
      </c>
      <c r="M924" t="s">
        <v>161</v>
      </c>
      <c r="N924" s="5" t="s">
        <v>161</v>
      </c>
      <c r="O924" t="s">
        <v>28</v>
      </c>
      <c r="P924" t="s">
        <v>21</v>
      </c>
      <c r="Q924" t="s">
        <v>67</v>
      </c>
      <c r="R924">
        <v>0.56999999999999995</v>
      </c>
      <c r="S924" s="1">
        <v>41154</v>
      </c>
      <c r="T924" t="str">
        <f t="shared" si="29"/>
        <v>02-Sep-2012</v>
      </c>
    </row>
    <row r="925" spans="1:20" x14ac:dyDescent="0.3">
      <c r="A925">
        <v>22881</v>
      </c>
      <c r="B925" s="1">
        <v>40274</v>
      </c>
      <c r="C925" t="s">
        <v>38</v>
      </c>
      <c r="D925" t="str">
        <f t="shared" si="28"/>
        <v>06-Apr-2010</v>
      </c>
      <c r="E925">
        <v>33</v>
      </c>
      <c r="F925" s="13">
        <v>476.06</v>
      </c>
      <c r="G925">
        <v>0.04</v>
      </c>
      <c r="H925" t="s">
        <v>19</v>
      </c>
      <c r="I925" s="13">
        <v>-120.48</v>
      </c>
      <c r="J925">
        <v>14.03</v>
      </c>
      <c r="K925">
        <v>9.3699999999999992</v>
      </c>
      <c r="L925" t="s">
        <v>194</v>
      </c>
      <c r="M925" t="s">
        <v>161</v>
      </c>
      <c r="N925" s="5" t="s">
        <v>161</v>
      </c>
      <c r="O925" t="s">
        <v>28</v>
      </c>
      <c r="P925" t="s">
        <v>21</v>
      </c>
      <c r="Q925" t="s">
        <v>22</v>
      </c>
      <c r="R925">
        <v>0.56000000000000005</v>
      </c>
      <c r="S925" s="1">
        <v>40275</v>
      </c>
      <c r="T925" t="str">
        <f t="shared" si="29"/>
        <v>07-Apr-2010</v>
      </c>
    </row>
    <row r="926" spans="1:20" x14ac:dyDescent="0.3">
      <c r="A926">
        <v>41861</v>
      </c>
      <c r="B926" s="1">
        <v>40508</v>
      </c>
      <c r="C926" t="s">
        <v>18</v>
      </c>
      <c r="D926" t="str">
        <f t="shared" si="28"/>
        <v>26-Nov-2010</v>
      </c>
      <c r="E926">
        <v>24</v>
      </c>
      <c r="F926" s="13">
        <v>475.9</v>
      </c>
      <c r="G926">
        <v>0.02</v>
      </c>
      <c r="H926" t="s">
        <v>19</v>
      </c>
      <c r="I926" s="13">
        <v>110.44</v>
      </c>
      <c r="J926">
        <v>19.98</v>
      </c>
      <c r="K926">
        <v>5.97</v>
      </c>
      <c r="L926" t="s">
        <v>305</v>
      </c>
      <c r="M926" t="s">
        <v>161</v>
      </c>
      <c r="N926" s="5" t="s">
        <v>161</v>
      </c>
      <c r="O926" t="s">
        <v>28</v>
      </c>
      <c r="P926" t="s">
        <v>21</v>
      </c>
      <c r="Q926" t="s">
        <v>37</v>
      </c>
      <c r="R926">
        <v>0.38</v>
      </c>
      <c r="S926" s="1">
        <v>40510</v>
      </c>
      <c r="T926" t="str">
        <f t="shared" si="29"/>
        <v>28-Nov-2010</v>
      </c>
    </row>
    <row r="927" spans="1:20" x14ac:dyDescent="0.3">
      <c r="A927">
        <v>27589</v>
      </c>
      <c r="B927" s="1">
        <v>40801</v>
      </c>
      <c r="C927" t="s">
        <v>38</v>
      </c>
      <c r="D927" t="str">
        <f t="shared" si="28"/>
        <v>15-Sep-2011</v>
      </c>
      <c r="E927">
        <v>25</v>
      </c>
      <c r="F927" s="13">
        <v>467</v>
      </c>
      <c r="G927">
        <v>0.04</v>
      </c>
      <c r="H927" t="s">
        <v>19</v>
      </c>
      <c r="I927" s="13">
        <v>69.97</v>
      </c>
      <c r="J927">
        <v>17.670000000000002</v>
      </c>
      <c r="K927">
        <v>8.99</v>
      </c>
      <c r="L927" t="s">
        <v>192</v>
      </c>
      <c r="M927" t="s">
        <v>161</v>
      </c>
      <c r="N927" s="5" t="s">
        <v>161</v>
      </c>
      <c r="O927" t="s">
        <v>28</v>
      </c>
      <c r="P927" t="s">
        <v>32</v>
      </c>
      <c r="Q927" t="s">
        <v>33</v>
      </c>
      <c r="R927">
        <v>0.47</v>
      </c>
      <c r="S927" s="1">
        <v>40802</v>
      </c>
      <c r="T927" t="str">
        <f t="shared" si="29"/>
        <v>16-Sep-2011</v>
      </c>
    </row>
    <row r="928" spans="1:20" x14ac:dyDescent="0.3">
      <c r="A928">
        <v>48615</v>
      </c>
      <c r="B928" s="1">
        <v>41246</v>
      </c>
      <c r="C928" t="s">
        <v>18</v>
      </c>
      <c r="D928" t="str">
        <f t="shared" si="28"/>
        <v>03-Dec-2012</v>
      </c>
      <c r="E928">
        <v>8</v>
      </c>
      <c r="F928" s="13">
        <v>464.66</v>
      </c>
      <c r="G928">
        <v>0.04</v>
      </c>
      <c r="H928" t="s">
        <v>19</v>
      </c>
      <c r="I928" s="13">
        <v>219.02</v>
      </c>
      <c r="J928">
        <v>54.74</v>
      </c>
      <c r="K928">
        <v>14.83</v>
      </c>
      <c r="L928" t="s">
        <v>206</v>
      </c>
      <c r="M928" t="s">
        <v>161</v>
      </c>
      <c r="N928" s="5" t="s">
        <v>161</v>
      </c>
      <c r="O928" t="s">
        <v>28</v>
      </c>
      <c r="P928" t="s">
        <v>32</v>
      </c>
      <c r="Q928" t="s">
        <v>33</v>
      </c>
      <c r="R928">
        <v>0.54</v>
      </c>
      <c r="S928" s="1">
        <v>41251</v>
      </c>
      <c r="T928" t="str">
        <f t="shared" si="29"/>
        <v>08-Dec-2012</v>
      </c>
    </row>
    <row r="929" spans="1:20" x14ac:dyDescent="0.3">
      <c r="A929">
        <v>8103</v>
      </c>
      <c r="B929" s="1">
        <v>40119</v>
      </c>
      <c r="C929" t="s">
        <v>18</v>
      </c>
      <c r="D929" t="str">
        <f t="shared" si="28"/>
        <v>02-Nov-2009</v>
      </c>
      <c r="E929">
        <v>16</v>
      </c>
      <c r="F929" s="13">
        <v>457.68</v>
      </c>
      <c r="G929">
        <v>7.0000000000000007E-2</v>
      </c>
      <c r="H929" t="s">
        <v>19</v>
      </c>
      <c r="I929" s="13">
        <v>107.38</v>
      </c>
      <c r="J929">
        <v>29.17</v>
      </c>
      <c r="K929">
        <v>6.27</v>
      </c>
      <c r="L929" t="s">
        <v>193</v>
      </c>
      <c r="M929" t="s">
        <v>161</v>
      </c>
      <c r="N929" s="5" t="s">
        <v>161</v>
      </c>
      <c r="O929" t="s">
        <v>28</v>
      </c>
      <c r="P929" t="s">
        <v>21</v>
      </c>
      <c r="Q929" t="s">
        <v>26</v>
      </c>
      <c r="R929">
        <v>0.37</v>
      </c>
      <c r="S929" s="1">
        <v>40123</v>
      </c>
      <c r="T929" t="str">
        <f t="shared" si="29"/>
        <v>06-Nov-2009</v>
      </c>
    </row>
    <row r="930" spans="1:20" x14ac:dyDescent="0.3">
      <c r="A930">
        <v>50854</v>
      </c>
      <c r="B930" s="1">
        <v>40894</v>
      </c>
      <c r="C930" t="s">
        <v>43</v>
      </c>
      <c r="D930" t="str">
        <f t="shared" si="28"/>
        <v>17-Dec-2011</v>
      </c>
      <c r="E930">
        <v>42</v>
      </c>
      <c r="F930" s="13">
        <v>452.15</v>
      </c>
      <c r="G930">
        <v>0.06</v>
      </c>
      <c r="H930" t="s">
        <v>35</v>
      </c>
      <c r="I930" s="13">
        <v>25.79</v>
      </c>
      <c r="J930">
        <v>10.98</v>
      </c>
      <c r="K930">
        <v>3.37</v>
      </c>
      <c r="L930" t="s">
        <v>196</v>
      </c>
      <c r="M930" t="s">
        <v>161</v>
      </c>
      <c r="N930" s="5" t="s">
        <v>161</v>
      </c>
      <c r="O930" t="s">
        <v>28</v>
      </c>
      <c r="P930" t="s">
        <v>21</v>
      </c>
      <c r="Q930" t="s">
        <v>67</v>
      </c>
      <c r="R930">
        <v>0.56999999999999995</v>
      </c>
      <c r="S930" s="1">
        <v>40894</v>
      </c>
      <c r="T930" t="str">
        <f t="shared" si="29"/>
        <v>17-Dec-2011</v>
      </c>
    </row>
    <row r="931" spans="1:20" x14ac:dyDescent="0.3">
      <c r="A931">
        <v>33510</v>
      </c>
      <c r="B931" s="1">
        <v>40879</v>
      </c>
      <c r="C931" t="s">
        <v>23</v>
      </c>
      <c r="D931" t="str">
        <f t="shared" si="28"/>
        <v>02-Dec-2011</v>
      </c>
      <c r="E931">
        <v>11</v>
      </c>
      <c r="F931" s="13">
        <v>449.79</v>
      </c>
      <c r="G931">
        <v>0.06</v>
      </c>
      <c r="H931" t="s">
        <v>19</v>
      </c>
      <c r="I931" s="13">
        <v>13.21</v>
      </c>
      <c r="J931">
        <v>40.99</v>
      </c>
      <c r="K931">
        <v>17.48</v>
      </c>
      <c r="L931" t="s">
        <v>298</v>
      </c>
      <c r="M931" t="s">
        <v>161</v>
      </c>
      <c r="N931" s="5" t="s">
        <v>161</v>
      </c>
      <c r="O931" t="s">
        <v>28</v>
      </c>
      <c r="P931" t="s">
        <v>21</v>
      </c>
      <c r="Q931" t="s">
        <v>37</v>
      </c>
      <c r="R931">
        <v>0.36</v>
      </c>
      <c r="S931" s="1">
        <v>40879</v>
      </c>
      <c r="T931" t="str">
        <f t="shared" si="29"/>
        <v>02-Dec-2011</v>
      </c>
    </row>
    <row r="932" spans="1:20" x14ac:dyDescent="0.3">
      <c r="A932">
        <v>55526</v>
      </c>
      <c r="B932" s="1">
        <v>41092</v>
      </c>
      <c r="C932" t="s">
        <v>23</v>
      </c>
      <c r="D932" t="str">
        <f t="shared" si="28"/>
        <v>02-Jul-2012</v>
      </c>
      <c r="E932">
        <v>23</v>
      </c>
      <c r="F932" s="13">
        <v>445.17</v>
      </c>
      <c r="G932">
        <v>0.02</v>
      </c>
      <c r="H932" t="s">
        <v>19</v>
      </c>
      <c r="I932" s="13">
        <v>38.11</v>
      </c>
      <c r="J932">
        <v>18.97</v>
      </c>
      <c r="K932">
        <v>9.0299999999999994</v>
      </c>
      <c r="L932" t="s">
        <v>157</v>
      </c>
      <c r="M932" t="s">
        <v>161</v>
      </c>
      <c r="N932" s="5" t="s">
        <v>161</v>
      </c>
      <c r="O932" t="s">
        <v>28</v>
      </c>
      <c r="P932" t="s">
        <v>21</v>
      </c>
      <c r="Q932" t="s">
        <v>37</v>
      </c>
      <c r="R932">
        <v>0.37</v>
      </c>
      <c r="S932" s="1">
        <v>41093</v>
      </c>
      <c r="T932" t="str">
        <f t="shared" si="29"/>
        <v>03-Jul-2012</v>
      </c>
    </row>
    <row r="933" spans="1:20" x14ac:dyDescent="0.3">
      <c r="A933">
        <v>55140</v>
      </c>
      <c r="B933" s="1">
        <v>40363</v>
      </c>
      <c r="C933" t="s">
        <v>43</v>
      </c>
      <c r="D933" t="str">
        <f t="shared" si="28"/>
        <v>04-Jul-2010</v>
      </c>
      <c r="E933">
        <v>39</v>
      </c>
      <c r="F933" s="13">
        <v>438.8</v>
      </c>
      <c r="G933">
        <v>0.09</v>
      </c>
      <c r="H933" t="s">
        <v>19</v>
      </c>
      <c r="I933" s="13">
        <v>-84.19</v>
      </c>
      <c r="J933">
        <v>11.7</v>
      </c>
      <c r="K933">
        <v>6.96</v>
      </c>
      <c r="L933" t="s">
        <v>183</v>
      </c>
      <c r="M933" t="s">
        <v>161</v>
      </c>
      <c r="N933" s="5" t="s">
        <v>161</v>
      </c>
      <c r="O933" t="s">
        <v>28</v>
      </c>
      <c r="P933" t="s">
        <v>21</v>
      </c>
      <c r="Q933" t="s">
        <v>25</v>
      </c>
      <c r="R933">
        <v>0.5</v>
      </c>
      <c r="S933" s="1">
        <v>40365</v>
      </c>
      <c r="T933" t="str">
        <f t="shared" si="29"/>
        <v>06-Jul-2010</v>
      </c>
    </row>
    <row r="934" spans="1:20" x14ac:dyDescent="0.3">
      <c r="A934">
        <v>13447</v>
      </c>
      <c r="B934" s="1">
        <v>40186</v>
      </c>
      <c r="C934" t="s">
        <v>23</v>
      </c>
      <c r="D934" t="str">
        <f t="shared" si="28"/>
        <v>08-Jan-2010</v>
      </c>
      <c r="E934">
        <v>24</v>
      </c>
      <c r="F934" s="13">
        <v>436.48349999999999</v>
      </c>
      <c r="G934">
        <v>0.01</v>
      </c>
      <c r="H934" t="s">
        <v>19</v>
      </c>
      <c r="I934" s="13">
        <v>0.85</v>
      </c>
      <c r="J934">
        <v>20.99</v>
      </c>
      <c r="K934">
        <v>4.8099999999999996</v>
      </c>
      <c r="L934" t="s">
        <v>300</v>
      </c>
      <c r="M934" t="s">
        <v>161</v>
      </c>
      <c r="N934" s="5" t="s">
        <v>161</v>
      </c>
      <c r="O934" t="s">
        <v>28</v>
      </c>
      <c r="P934" t="s">
        <v>29</v>
      </c>
      <c r="Q934" t="s">
        <v>30</v>
      </c>
      <c r="R934">
        <v>0.57999999999999996</v>
      </c>
      <c r="S934" s="1">
        <v>40188</v>
      </c>
      <c r="T934" t="str">
        <f t="shared" si="29"/>
        <v>10-Jan-2010</v>
      </c>
    </row>
    <row r="935" spans="1:20" x14ac:dyDescent="0.3">
      <c r="A935">
        <v>34017</v>
      </c>
      <c r="B935" s="1">
        <v>39895</v>
      </c>
      <c r="C935" t="s">
        <v>23</v>
      </c>
      <c r="D935" t="str">
        <f t="shared" si="28"/>
        <v>23-Mar-2009</v>
      </c>
      <c r="E935">
        <v>28</v>
      </c>
      <c r="F935" s="13">
        <v>435.39</v>
      </c>
      <c r="G935">
        <v>0.01</v>
      </c>
      <c r="H935" t="s">
        <v>19</v>
      </c>
      <c r="I935" s="13">
        <v>-48.97</v>
      </c>
      <c r="J935">
        <v>14.98</v>
      </c>
      <c r="K935">
        <v>7.69</v>
      </c>
      <c r="L935" t="s">
        <v>180</v>
      </c>
      <c r="M935" t="s">
        <v>161</v>
      </c>
      <c r="N935" s="5" t="s">
        <v>161</v>
      </c>
      <c r="O935" t="s">
        <v>28</v>
      </c>
      <c r="P935" t="s">
        <v>21</v>
      </c>
      <c r="Q935" t="s">
        <v>22</v>
      </c>
      <c r="R935">
        <v>0.56999999999999995</v>
      </c>
      <c r="S935" s="1">
        <v>39897</v>
      </c>
      <c r="T935" t="str">
        <f t="shared" si="29"/>
        <v>25-Mar-2009</v>
      </c>
    </row>
    <row r="936" spans="1:20" x14ac:dyDescent="0.3">
      <c r="A936">
        <v>8258</v>
      </c>
      <c r="B936" s="1">
        <v>39873</v>
      </c>
      <c r="C936" t="s">
        <v>23</v>
      </c>
      <c r="D936" t="str">
        <f t="shared" si="28"/>
        <v>01-Mar-2009</v>
      </c>
      <c r="E936">
        <v>37</v>
      </c>
      <c r="F936" s="13">
        <v>434.77</v>
      </c>
      <c r="G936">
        <v>0.02</v>
      </c>
      <c r="H936" t="s">
        <v>19</v>
      </c>
      <c r="I936" s="13">
        <v>-155.21</v>
      </c>
      <c r="J936">
        <v>11.34</v>
      </c>
      <c r="K936">
        <v>11.25</v>
      </c>
      <c r="L936" t="s">
        <v>188</v>
      </c>
      <c r="M936" t="s">
        <v>161</v>
      </c>
      <c r="N936" s="5" t="s">
        <v>161</v>
      </c>
      <c r="O936" t="s">
        <v>28</v>
      </c>
      <c r="P936" t="s">
        <v>21</v>
      </c>
      <c r="Q936" t="s">
        <v>37</v>
      </c>
      <c r="R936">
        <v>0.36</v>
      </c>
      <c r="S936" s="1">
        <v>39874</v>
      </c>
      <c r="T936" t="str">
        <f t="shared" si="29"/>
        <v>02-Mar-2009</v>
      </c>
    </row>
    <row r="937" spans="1:20" x14ac:dyDescent="0.3">
      <c r="A937">
        <v>56677</v>
      </c>
      <c r="B937" s="1">
        <v>39914</v>
      </c>
      <c r="C937" t="s">
        <v>23</v>
      </c>
      <c r="D937" t="str">
        <f t="shared" si="28"/>
        <v>11-Apr-2009</v>
      </c>
      <c r="E937">
        <v>35</v>
      </c>
      <c r="F937" s="13">
        <v>430.55</v>
      </c>
      <c r="G937">
        <v>0</v>
      </c>
      <c r="H937" t="s">
        <v>19</v>
      </c>
      <c r="I937" s="13">
        <v>120.01</v>
      </c>
      <c r="J937">
        <v>12.22</v>
      </c>
      <c r="K937">
        <v>2.85</v>
      </c>
      <c r="L937" t="s">
        <v>80</v>
      </c>
      <c r="M937" t="s">
        <v>161</v>
      </c>
      <c r="N937" s="5" t="s">
        <v>161</v>
      </c>
      <c r="O937" t="s">
        <v>28</v>
      </c>
      <c r="P937" t="s">
        <v>32</v>
      </c>
      <c r="Q937" t="s">
        <v>33</v>
      </c>
      <c r="R937">
        <v>0.55000000000000004</v>
      </c>
      <c r="S937" s="1">
        <v>39915</v>
      </c>
      <c r="T937" t="str">
        <f t="shared" si="29"/>
        <v>12-Apr-2009</v>
      </c>
    </row>
    <row r="938" spans="1:20" x14ac:dyDescent="0.3">
      <c r="A938">
        <v>44612</v>
      </c>
      <c r="B938" s="1">
        <v>40615</v>
      </c>
      <c r="C938" t="s">
        <v>23</v>
      </c>
      <c r="D938" t="str">
        <f t="shared" si="28"/>
        <v>13-Mar-2011</v>
      </c>
      <c r="E938">
        <v>6</v>
      </c>
      <c r="F938" s="13">
        <v>428.72300000000001</v>
      </c>
      <c r="G938">
        <v>0.06</v>
      </c>
      <c r="H938" t="s">
        <v>19</v>
      </c>
      <c r="I938" s="13">
        <v>-147.72</v>
      </c>
      <c r="J938">
        <v>85.99</v>
      </c>
      <c r="K938">
        <v>1.25</v>
      </c>
      <c r="L938" t="s">
        <v>209</v>
      </c>
      <c r="M938" t="s">
        <v>161</v>
      </c>
      <c r="N938" s="5" t="s">
        <v>161</v>
      </c>
      <c r="O938" t="s">
        <v>28</v>
      </c>
      <c r="P938" t="s">
        <v>29</v>
      </c>
      <c r="Q938" t="s">
        <v>30</v>
      </c>
      <c r="R938">
        <v>0.39</v>
      </c>
      <c r="S938" s="1">
        <v>40617</v>
      </c>
      <c r="T938" t="str">
        <f t="shared" si="29"/>
        <v>15-Mar-2011</v>
      </c>
    </row>
    <row r="939" spans="1:20" x14ac:dyDescent="0.3">
      <c r="A939">
        <v>25313</v>
      </c>
      <c r="B939" s="1">
        <v>41142</v>
      </c>
      <c r="C939" t="s">
        <v>43</v>
      </c>
      <c r="D939" t="str">
        <f t="shared" si="28"/>
        <v>21-Aug-2012</v>
      </c>
      <c r="E939">
        <v>19</v>
      </c>
      <c r="F939" s="13">
        <v>418.7</v>
      </c>
      <c r="G939">
        <v>0.05</v>
      </c>
      <c r="H939" t="s">
        <v>19</v>
      </c>
      <c r="I939" s="13">
        <v>22.88</v>
      </c>
      <c r="J939">
        <v>22.01</v>
      </c>
      <c r="K939">
        <v>5.53</v>
      </c>
      <c r="L939" t="s">
        <v>219</v>
      </c>
      <c r="M939" t="s">
        <v>161</v>
      </c>
      <c r="N939" s="5" t="s">
        <v>161</v>
      </c>
      <c r="O939" t="s">
        <v>28</v>
      </c>
      <c r="P939" t="s">
        <v>21</v>
      </c>
      <c r="Q939" t="s">
        <v>50</v>
      </c>
      <c r="R939">
        <v>0.59</v>
      </c>
      <c r="S939" s="1">
        <v>41144</v>
      </c>
      <c r="T939" t="str">
        <f t="shared" si="29"/>
        <v>23-Aug-2012</v>
      </c>
    </row>
    <row r="940" spans="1:20" x14ac:dyDescent="0.3">
      <c r="A940">
        <v>37920</v>
      </c>
      <c r="B940" s="1">
        <v>40373</v>
      </c>
      <c r="C940" t="s">
        <v>43</v>
      </c>
      <c r="D940" t="str">
        <f t="shared" si="28"/>
        <v>14-Jul-2010</v>
      </c>
      <c r="E940">
        <v>48</v>
      </c>
      <c r="F940" s="13">
        <v>414.42</v>
      </c>
      <c r="G940">
        <v>0.04</v>
      </c>
      <c r="H940" t="s">
        <v>19</v>
      </c>
      <c r="I940" s="13">
        <v>-380.2</v>
      </c>
      <c r="J940">
        <v>8.4600000000000009</v>
      </c>
      <c r="K940">
        <v>8.99</v>
      </c>
      <c r="L940" t="s">
        <v>203</v>
      </c>
      <c r="M940" t="s">
        <v>161</v>
      </c>
      <c r="N940" s="5" t="s">
        <v>161</v>
      </c>
      <c r="O940" t="s">
        <v>28</v>
      </c>
      <c r="P940" t="s">
        <v>29</v>
      </c>
      <c r="Q940" t="s">
        <v>41</v>
      </c>
      <c r="R940">
        <v>0.79</v>
      </c>
      <c r="S940" s="1">
        <v>40375</v>
      </c>
      <c r="T940" t="str">
        <f t="shared" si="29"/>
        <v>16-Jul-2010</v>
      </c>
    </row>
    <row r="941" spans="1:20" x14ac:dyDescent="0.3">
      <c r="A941">
        <v>28130</v>
      </c>
      <c r="B941" s="1">
        <v>40024</v>
      </c>
      <c r="C941" t="s">
        <v>18</v>
      </c>
      <c r="D941" t="str">
        <f t="shared" si="28"/>
        <v>30-Jul-2009</v>
      </c>
      <c r="E941">
        <v>23</v>
      </c>
      <c r="F941" s="13">
        <v>404.24</v>
      </c>
      <c r="G941">
        <v>0.02</v>
      </c>
      <c r="H941" t="s">
        <v>35</v>
      </c>
      <c r="I941" s="13">
        <v>-76.989999999999995</v>
      </c>
      <c r="J941">
        <v>15.99</v>
      </c>
      <c r="K941">
        <v>13.18</v>
      </c>
      <c r="L941" t="s">
        <v>157</v>
      </c>
      <c r="M941" t="s">
        <v>161</v>
      </c>
      <c r="N941" s="5" t="s">
        <v>161</v>
      </c>
      <c r="O941" t="s">
        <v>28</v>
      </c>
      <c r="P941" t="s">
        <v>21</v>
      </c>
      <c r="Q941" t="s">
        <v>26</v>
      </c>
      <c r="R941">
        <v>0.37</v>
      </c>
      <c r="S941" s="1">
        <v>40028</v>
      </c>
      <c r="T941" t="str">
        <f t="shared" si="29"/>
        <v>03-Aug-2009</v>
      </c>
    </row>
    <row r="942" spans="1:20" x14ac:dyDescent="0.3">
      <c r="A942">
        <v>21859</v>
      </c>
      <c r="B942" s="1">
        <v>40865</v>
      </c>
      <c r="C942" t="s">
        <v>23</v>
      </c>
      <c r="D942" t="str">
        <f t="shared" si="28"/>
        <v>18-Nov-2011</v>
      </c>
      <c r="E942">
        <v>42</v>
      </c>
      <c r="F942" s="13">
        <v>401.37</v>
      </c>
      <c r="G942">
        <v>7.0000000000000007E-2</v>
      </c>
      <c r="H942" t="s">
        <v>19</v>
      </c>
      <c r="I942" s="13">
        <v>13.31</v>
      </c>
      <c r="J942">
        <v>9.74</v>
      </c>
      <c r="K942">
        <v>5.71</v>
      </c>
      <c r="L942" t="s">
        <v>305</v>
      </c>
      <c r="M942" t="s">
        <v>161</v>
      </c>
      <c r="N942" s="5" t="s">
        <v>161</v>
      </c>
      <c r="O942" t="s">
        <v>28</v>
      </c>
      <c r="P942" t="s">
        <v>32</v>
      </c>
      <c r="Q942" t="s">
        <v>33</v>
      </c>
      <c r="R942">
        <v>0.41</v>
      </c>
      <c r="S942" s="1">
        <v>40866</v>
      </c>
      <c r="T942" t="str">
        <f t="shared" si="29"/>
        <v>19-Nov-2011</v>
      </c>
    </row>
    <row r="943" spans="1:20" x14ac:dyDescent="0.3">
      <c r="A943">
        <v>49221</v>
      </c>
      <c r="B943" s="1">
        <v>40362</v>
      </c>
      <c r="C943" t="s">
        <v>31</v>
      </c>
      <c r="D943" t="str">
        <f t="shared" si="28"/>
        <v>03-Jul-2010</v>
      </c>
      <c r="E943">
        <v>22</v>
      </c>
      <c r="F943" s="13">
        <v>399.64</v>
      </c>
      <c r="G943">
        <v>0.04</v>
      </c>
      <c r="H943" t="s">
        <v>19</v>
      </c>
      <c r="I943" s="13">
        <v>-15.42</v>
      </c>
      <c r="J943">
        <v>17.98</v>
      </c>
      <c r="K943">
        <v>8.51</v>
      </c>
      <c r="L943" t="s">
        <v>303</v>
      </c>
      <c r="M943" t="s">
        <v>161</v>
      </c>
      <c r="N943" s="5" t="s">
        <v>161</v>
      </c>
      <c r="O943" t="s">
        <v>28</v>
      </c>
      <c r="P943" t="s">
        <v>29</v>
      </c>
      <c r="Q943" t="s">
        <v>74</v>
      </c>
      <c r="R943">
        <v>0.4</v>
      </c>
      <c r="S943" s="1">
        <v>40363</v>
      </c>
      <c r="T943" t="str">
        <f t="shared" si="29"/>
        <v>04-Jul-2010</v>
      </c>
    </row>
    <row r="944" spans="1:20" x14ac:dyDescent="0.3">
      <c r="A944">
        <v>18182</v>
      </c>
      <c r="B944" s="1">
        <v>40643</v>
      </c>
      <c r="C944" t="s">
        <v>38</v>
      </c>
      <c r="D944" t="str">
        <f t="shared" si="28"/>
        <v>10-Apr-2011</v>
      </c>
      <c r="E944">
        <v>12</v>
      </c>
      <c r="F944" s="13">
        <v>396.69</v>
      </c>
      <c r="G944">
        <v>0.09</v>
      </c>
      <c r="H944" t="s">
        <v>35</v>
      </c>
      <c r="I944" s="13">
        <v>-18.45</v>
      </c>
      <c r="J944">
        <v>33.29</v>
      </c>
      <c r="K944">
        <v>8.74</v>
      </c>
      <c r="L944" t="s">
        <v>191</v>
      </c>
      <c r="M944" t="s">
        <v>161</v>
      </c>
      <c r="N944" s="5" t="s">
        <v>161</v>
      </c>
      <c r="O944" t="s">
        <v>28</v>
      </c>
      <c r="P944" t="s">
        <v>21</v>
      </c>
      <c r="Q944" t="s">
        <v>22</v>
      </c>
      <c r="R944">
        <v>0.61</v>
      </c>
      <c r="S944" s="1">
        <v>40645</v>
      </c>
      <c r="T944" t="str">
        <f t="shared" si="29"/>
        <v>12-Apr-2011</v>
      </c>
    </row>
    <row r="945" spans="1:20" x14ac:dyDescent="0.3">
      <c r="A945">
        <v>51140</v>
      </c>
      <c r="B945" s="1">
        <v>41166</v>
      </c>
      <c r="C945" t="s">
        <v>18</v>
      </c>
      <c r="D945" t="str">
        <f t="shared" si="28"/>
        <v>14-Sep-2012</v>
      </c>
      <c r="E945">
        <v>3</v>
      </c>
      <c r="F945" s="13">
        <v>394.34</v>
      </c>
      <c r="G945">
        <v>0.1</v>
      </c>
      <c r="H945" t="s">
        <v>19</v>
      </c>
      <c r="I945" s="13">
        <v>352.38</v>
      </c>
      <c r="J945">
        <v>136.97999999999999</v>
      </c>
      <c r="K945">
        <v>24.49</v>
      </c>
      <c r="L945" t="s">
        <v>171</v>
      </c>
      <c r="M945" t="s">
        <v>161</v>
      </c>
      <c r="N945" s="5" t="s">
        <v>161</v>
      </c>
      <c r="O945" t="s">
        <v>28</v>
      </c>
      <c r="P945" t="s">
        <v>32</v>
      </c>
      <c r="Q945" t="s">
        <v>33</v>
      </c>
      <c r="R945">
        <v>0.59</v>
      </c>
      <c r="S945" s="1">
        <v>41173</v>
      </c>
      <c r="T945" t="str">
        <f t="shared" si="29"/>
        <v>21-Sep-2012</v>
      </c>
    </row>
    <row r="946" spans="1:20" x14ac:dyDescent="0.3">
      <c r="A946">
        <v>52006</v>
      </c>
      <c r="B946" s="1">
        <v>39988</v>
      </c>
      <c r="C946" t="s">
        <v>38</v>
      </c>
      <c r="D946" t="str">
        <f t="shared" si="28"/>
        <v>24-Jun-2009</v>
      </c>
      <c r="E946">
        <v>39</v>
      </c>
      <c r="F946" s="13">
        <v>392.81</v>
      </c>
      <c r="G946">
        <v>0.1</v>
      </c>
      <c r="H946" t="s">
        <v>19</v>
      </c>
      <c r="I946" s="13">
        <v>13.91</v>
      </c>
      <c r="J946">
        <v>10.48</v>
      </c>
      <c r="K946">
        <v>2.89</v>
      </c>
      <c r="L946" t="s">
        <v>218</v>
      </c>
      <c r="M946" t="s">
        <v>161</v>
      </c>
      <c r="N946" s="5" t="s">
        <v>161</v>
      </c>
      <c r="O946" t="s">
        <v>28</v>
      </c>
      <c r="P946" t="s">
        <v>21</v>
      </c>
      <c r="Q946" t="s">
        <v>50</v>
      </c>
      <c r="R946">
        <v>0.6</v>
      </c>
      <c r="S946" s="1">
        <v>39989</v>
      </c>
      <c r="T946" t="str">
        <f t="shared" si="29"/>
        <v>25-Jun-2009</v>
      </c>
    </row>
    <row r="947" spans="1:20" x14ac:dyDescent="0.3">
      <c r="A947">
        <v>14854</v>
      </c>
      <c r="B947" s="1">
        <v>40296</v>
      </c>
      <c r="C947" t="s">
        <v>18</v>
      </c>
      <c r="D947" t="str">
        <f t="shared" si="28"/>
        <v>28-Apr-2010</v>
      </c>
      <c r="E947">
        <v>24</v>
      </c>
      <c r="F947" s="13">
        <v>391.23</v>
      </c>
      <c r="G947">
        <v>7.0000000000000007E-2</v>
      </c>
      <c r="H947" t="s">
        <v>19</v>
      </c>
      <c r="I947" s="13">
        <v>-27.98</v>
      </c>
      <c r="J947">
        <v>16.91</v>
      </c>
      <c r="K947">
        <v>6.25</v>
      </c>
      <c r="L947" t="s">
        <v>295</v>
      </c>
      <c r="M947" t="s">
        <v>161</v>
      </c>
      <c r="N947" s="5" t="s">
        <v>161</v>
      </c>
      <c r="O947" t="s">
        <v>28</v>
      </c>
      <c r="P947" t="s">
        <v>21</v>
      </c>
      <c r="Q947" t="s">
        <v>22</v>
      </c>
      <c r="R947">
        <v>0.57999999999999996</v>
      </c>
      <c r="S947" s="1">
        <v>40300</v>
      </c>
      <c r="T947" t="str">
        <f t="shared" si="29"/>
        <v>02-May-2010</v>
      </c>
    </row>
    <row r="948" spans="1:20" x14ac:dyDescent="0.3">
      <c r="A948">
        <v>50566</v>
      </c>
      <c r="B948" s="1">
        <v>40793</v>
      </c>
      <c r="C948" t="s">
        <v>31</v>
      </c>
      <c r="D948" t="str">
        <f t="shared" si="28"/>
        <v>07-Sep-2011</v>
      </c>
      <c r="E948">
        <v>48</v>
      </c>
      <c r="F948" s="13">
        <v>389.28</v>
      </c>
      <c r="G948">
        <v>0.1</v>
      </c>
      <c r="H948" t="s">
        <v>19</v>
      </c>
      <c r="I948" s="13">
        <v>-37.43</v>
      </c>
      <c r="J948">
        <v>8.67</v>
      </c>
      <c r="K948">
        <v>3.5</v>
      </c>
      <c r="L948" t="s">
        <v>196</v>
      </c>
      <c r="M948" t="s">
        <v>161</v>
      </c>
      <c r="N948" s="5" t="s">
        <v>161</v>
      </c>
      <c r="O948" t="s">
        <v>28</v>
      </c>
      <c r="P948" t="s">
        <v>21</v>
      </c>
      <c r="Q948" t="s">
        <v>25</v>
      </c>
      <c r="R948">
        <v>0.57999999999999996</v>
      </c>
      <c r="S948" s="1">
        <v>40795</v>
      </c>
      <c r="T948" t="str">
        <f t="shared" si="29"/>
        <v>09-Sep-2011</v>
      </c>
    </row>
    <row r="949" spans="1:20" x14ac:dyDescent="0.3">
      <c r="A949">
        <v>43875</v>
      </c>
      <c r="B949" s="1">
        <v>40884</v>
      </c>
      <c r="C949" t="s">
        <v>43</v>
      </c>
      <c r="D949" t="str">
        <f t="shared" si="28"/>
        <v>07-Dec-2011</v>
      </c>
      <c r="E949">
        <v>24</v>
      </c>
      <c r="F949" s="13">
        <v>382.19</v>
      </c>
      <c r="G949">
        <v>0.03</v>
      </c>
      <c r="H949" t="s">
        <v>35</v>
      </c>
      <c r="I949" s="13">
        <v>11.39</v>
      </c>
      <c r="J949">
        <v>14.42</v>
      </c>
      <c r="K949">
        <v>6.75</v>
      </c>
      <c r="L949" t="s">
        <v>194</v>
      </c>
      <c r="M949" t="s">
        <v>161</v>
      </c>
      <c r="N949" s="5" t="s">
        <v>161</v>
      </c>
      <c r="O949" t="s">
        <v>28</v>
      </c>
      <c r="P949" t="s">
        <v>21</v>
      </c>
      <c r="Q949" t="s">
        <v>25</v>
      </c>
      <c r="R949">
        <v>0.52</v>
      </c>
      <c r="S949" s="1">
        <v>40887</v>
      </c>
      <c r="T949" t="str">
        <f t="shared" si="29"/>
        <v>10-Dec-2011</v>
      </c>
    </row>
    <row r="950" spans="1:20" x14ac:dyDescent="0.3">
      <c r="A950">
        <v>802</v>
      </c>
      <c r="B950" s="1">
        <v>40547</v>
      </c>
      <c r="C950" t="s">
        <v>43</v>
      </c>
      <c r="D950" t="str">
        <f t="shared" si="28"/>
        <v>04-Jan-2011</v>
      </c>
      <c r="E950">
        <v>33</v>
      </c>
      <c r="F950" s="13">
        <v>378.6</v>
      </c>
      <c r="G950">
        <v>0.08</v>
      </c>
      <c r="H950" t="s">
        <v>19</v>
      </c>
      <c r="I950" s="13">
        <v>12.72</v>
      </c>
      <c r="J950">
        <v>11.7</v>
      </c>
      <c r="K950">
        <v>5.63</v>
      </c>
      <c r="L950" t="s">
        <v>288</v>
      </c>
      <c r="M950" t="s">
        <v>161</v>
      </c>
      <c r="N950" s="5" t="s">
        <v>161</v>
      </c>
      <c r="O950" t="s">
        <v>28</v>
      </c>
      <c r="P950" t="s">
        <v>21</v>
      </c>
      <c r="Q950" t="s">
        <v>26</v>
      </c>
      <c r="R950">
        <v>0.4</v>
      </c>
      <c r="S950" s="1">
        <v>40549</v>
      </c>
      <c r="T950" t="str">
        <f t="shared" si="29"/>
        <v>06-Jan-2011</v>
      </c>
    </row>
    <row r="951" spans="1:20" x14ac:dyDescent="0.3">
      <c r="A951">
        <v>31552</v>
      </c>
      <c r="B951" s="1">
        <v>41224</v>
      </c>
      <c r="C951" t="s">
        <v>23</v>
      </c>
      <c r="D951" t="str">
        <f t="shared" si="28"/>
        <v>11-Nov-2012</v>
      </c>
      <c r="E951">
        <v>17</v>
      </c>
      <c r="F951" s="13">
        <v>378.08</v>
      </c>
      <c r="G951">
        <v>0</v>
      </c>
      <c r="H951" t="s">
        <v>19</v>
      </c>
      <c r="I951" s="13">
        <v>70.48</v>
      </c>
      <c r="J951">
        <v>22.24</v>
      </c>
      <c r="K951">
        <v>1.99</v>
      </c>
      <c r="L951" t="s">
        <v>187</v>
      </c>
      <c r="M951" t="s">
        <v>161</v>
      </c>
      <c r="N951" s="5" t="s">
        <v>161</v>
      </c>
      <c r="O951" t="s">
        <v>28</v>
      </c>
      <c r="P951" t="s">
        <v>29</v>
      </c>
      <c r="Q951" t="s">
        <v>41</v>
      </c>
      <c r="R951">
        <v>0.43</v>
      </c>
      <c r="S951" s="1">
        <v>41227</v>
      </c>
      <c r="T951" t="str">
        <f t="shared" si="29"/>
        <v>14-Nov-2012</v>
      </c>
    </row>
    <row r="952" spans="1:20" x14ac:dyDescent="0.3">
      <c r="A952">
        <v>43399</v>
      </c>
      <c r="B952" s="1">
        <v>40024</v>
      </c>
      <c r="C952" t="s">
        <v>23</v>
      </c>
      <c r="D952" t="str">
        <f t="shared" si="28"/>
        <v>30-Jul-2009</v>
      </c>
      <c r="E952">
        <v>2</v>
      </c>
      <c r="F952" s="13">
        <v>377.01600000000002</v>
      </c>
      <c r="G952">
        <v>0.1</v>
      </c>
      <c r="H952" t="s">
        <v>24</v>
      </c>
      <c r="I952" s="13">
        <v>-201.28</v>
      </c>
      <c r="J952">
        <v>218.75</v>
      </c>
      <c r="K952">
        <v>69.64</v>
      </c>
      <c r="L952" t="s">
        <v>208</v>
      </c>
      <c r="M952" t="s">
        <v>161</v>
      </c>
      <c r="N952" s="5" t="s">
        <v>161</v>
      </c>
      <c r="O952" t="s">
        <v>28</v>
      </c>
      <c r="P952" t="s">
        <v>32</v>
      </c>
      <c r="Q952" t="s">
        <v>46</v>
      </c>
      <c r="R952">
        <v>0.77</v>
      </c>
      <c r="S952" s="1">
        <v>40026</v>
      </c>
      <c r="T952" t="str">
        <f t="shared" si="29"/>
        <v>01-Aug-2009</v>
      </c>
    </row>
    <row r="953" spans="1:20" x14ac:dyDescent="0.3">
      <c r="A953">
        <v>32803</v>
      </c>
      <c r="B953" s="1">
        <v>40893</v>
      </c>
      <c r="C953" t="s">
        <v>38</v>
      </c>
      <c r="D953" t="str">
        <f t="shared" si="28"/>
        <v>16-Dec-2011</v>
      </c>
      <c r="E953">
        <v>49</v>
      </c>
      <c r="F953" s="13">
        <v>371.95</v>
      </c>
      <c r="G953">
        <v>0.08</v>
      </c>
      <c r="H953" t="s">
        <v>35</v>
      </c>
      <c r="I953" s="13">
        <v>-10.33</v>
      </c>
      <c r="J953">
        <v>7.84</v>
      </c>
      <c r="K953">
        <v>4.71</v>
      </c>
      <c r="L953" t="s">
        <v>188</v>
      </c>
      <c r="M953" t="s">
        <v>161</v>
      </c>
      <c r="N953" s="5" t="s">
        <v>161</v>
      </c>
      <c r="O953" t="s">
        <v>28</v>
      </c>
      <c r="P953" t="s">
        <v>21</v>
      </c>
      <c r="Q953" t="s">
        <v>26</v>
      </c>
      <c r="R953">
        <v>0.35</v>
      </c>
      <c r="S953" s="1">
        <v>40894</v>
      </c>
      <c r="T953" t="str">
        <f t="shared" si="29"/>
        <v>17-Dec-2011</v>
      </c>
    </row>
    <row r="954" spans="1:20" x14ac:dyDescent="0.3">
      <c r="A954">
        <v>41059</v>
      </c>
      <c r="B954" s="1">
        <v>40435</v>
      </c>
      <c r="C954" t="s">
        <v>38</v>
      </c>
      <c r="D954" t="str">
        <f t="shared" si="28"/>
        <v>14-Sep-2010</v>
      </c>
      <c r="E954">
        <v>26</v>
      </c>
      <c r="F954" s="13">
        <v>363.16</v>
      </c>
      <c r="G954">
        <v>0.08</v>
      </c>
      <c r="H954" t="s">
        <v>35</v>
      </c>
      <c r="I954" s="13">
        <v>3.92</v>
      </c>
      <c r="J954">
        <v>14.27</v>
      </c>
      <c r="K954">
        <v>7.27</v>
      </c>
      <c r="L954" t="s">
        <v>163</v>
      </c>
      <c r="M954" t="s">
        <v>161</v>
      </c>
      <c r="N954" s="5" t="s">
        <v>161</v>
      </c>
      <c r="O954" t="s">
        <v>28</v>
      </c>
      <c r="P954" t="s">
        <v>21</v>
      </c>
      <c r="Q954" t="s">
        <v>26</v>
      </c>
      <c r="R954">
        <v>0.38</v>
      </c>
      <c r="S954" s="1">
        <v>40435</v>
      </c>
      <c r="T954" t="str">
        <f t="shared" si="29"/>
        <v>14-Sep-2010</v>
      </c>
    </row>
    <row r="955" spans="1:20" x14ac:dyDescent="0.3">
      <c r="A955">
        <v>32036</v>
      </c>
      <c r="B955" s="1">
        <v>40821</v>
      </c>
      <c r="C955" t="s">
        <v>38</v>
      </c>
      <c r="D955" t="str">
        <f t="shared" si="28"/>
        <v>05-Oct-2011</v>
      </c>
      <c r="E955">
        <v>25</v>
      </c>
      <c r="F955" s="13">
        <v>362.52</v>
      </c>
      <c r="G955">
        <v>7.0000000000000007E-2</v>
      </c>
      <c r="H955" t="s">
        <v>19</v>
      </c>
      <c r="I955" s="13">
        <v>-68.489999999999995</v>
      </c>
      <c r="J955">
        <v>14.97</v>
      </c>
      <c r="K955">
        <v>7.51</v>
      </c>
      <c r="L955" t="s">
        <v>174</v>
      </c>
      <c r="M955" t="s">
        <v>161</v>
      </c>
      <c r="N955" s="5" t="s">
        <v>161</v>
      </c>
      <c r="O955" t="s">
        <v>28</v>
      </c>
      <c r="P955" t="s">
        <v>21</v>
      </c>
      <c r="Q955" t="s">
        <v>22</v>
      </c>
      <c r="R955">
        <v>0.56999999999999995</v>
      </c>
      <c r="S955" s="1">
        <v>40822</v>
      </c>
      <c r="T955" t="str">
        <f t="shared" si="29"/>
        <v>06-Oct-2011</v>
      </c>
    </row>
    <row r="956" spans="1:20" x14ac:dyDescent="0.3">
      <c r="A956">
        <v>12452</v>
      </c>
      <c r="B956" s="1">
        <v>40519</v>
      </c>
      <c r="C956" t="s">
        <v>38</v>
      </c>
      <c r="D956" t="str">
        <f t="shared" si="28"/>
        <v>07-Dec-2010</v>
      </c>
      <c r="E956">
        <v>1</v>
      </c>
      <c r="F956" s="13">
        <v>356.95</v>
      </c>
      <c r="G956">
        <v>0.08</v>
      </c>
      <c r="H956" t="s">
        <v>19</v>
      </c>
      <c r="I956" s="13">
        <v>-228.24</v>
      </c>
      <c r="J956">
        <v>387.99</v>
      </c>
      <c r="K956">
        <v>19.989999999999998</v>
      </c>
      <c r="L956" t="s">
        <v>169</v>
      </c>
      <c r="M956" t="s">
        <v>161</v>
      </c>
      <c r="N956" s="5" t="s">
        <v>161</v>
      </c>
      <c r="O956" t="s">
        <v>28</v>
      </c>
      <c r="P956" t="s">
        <v>21</v>
      </c>
      <c r="Q956" t="s">
        <v>26</v>
      </c>
      <c r="R956">
        <v>0.38</v>
      </c>
      <c r="S956" s="1">
        <v>40520</v>
      </c>
      <c r="T956" t="str">
        <f t="shared" si="29"/>
        <v>08-Dec-2010</v>
      </c>
    </row>
    <row r="957" spans="1:20" x14ac:dyDescent="0.3">
      <c r="A957">
        <v>449</v>
      </c>
      <c r="B957" s="1">
        <v>40743</v>
      </c>
      <c r="C957" t="s">
        <v>23</v>
      </c>
      <c r="D957" t="str">
        <f t="shared" si="28"/>
        <v>19-Jul-2011</v>
      </c>
      <c r="E957">
        <v>45</v>
      </c>
      <c r="F957" s="13">
        <v>356.7</v>
      </c>
      <c r="G957">
        <v>0.02</v>
      </c>
      <c r="H957" t="s">
        <v>19</v>
      </c>
      <c r="I957" s="13">
        <v>-48.97</v>
      </c>
      <c r="J957">
        <v>7.38</v>
      </c>
      <c r="K957">
        <v>5.21</v>
      </c>
      <c r="L957" t="s">
        <v>183</v>
      </c>
      <c r="M957" t="s">
        <v>161</v>
      </c>
      <c r="N957" s="5" t="s">
        <v>161</v>
      </c>
      <c r="O957" t="s">
        <v>28</v>
      </c>
      <c r="P957" t="s">
        <v>32</v>
      </c>
      <c r="Q957" t="s">
        <v>33</v>
      </c>
      <c r="R957">
        <v>0.56000000000000005</v>
      </c>
      <c r="S957" s="1">
        <v>40745</v>
      </c>
      <c r="T957" t="str">
        <f t="shared" si="29"/>
        <v>21-Jul-2011</v>
      </c>
    </row>
    <row r="958" spans="1:20" x14ac:dyDescent="0.3">
      <c r="A958">
        <v>15170</v>
      </c>
      <c r="B958" s="1">
        <v>39890</v>
      </c>
      <c r="C958" t="s">
        <v>43</v>
      </c>
      <c r="D958" t="str">
        <f t="shared" si="28"/>
        <v>18-Mar-2009</v>
      </c>
      <c r="E958">
        <v>19</v>
      </c>
      <c r="F958" s="13">
        <v>356.46449999999999</v>
      </c>
      <c r="G958">
        <v>0.01</v>
      </c>
      <c r="H958" t="s">
        <v>19</v>
      </c>
      <c r="I958" s="13">
        <v>-9.11</v>
      </c>
      <c r="J958">
        <v>20.99</v>
      </c>
      <c r="K958">
        <v>4.8099999999999996</v>
      </c>
      <c r="L958" t="s">
        <v>212</v>
      </c>
      <c r="M958" t="s">
        <v>161</v>
      </c>
      <c r="N958" s="5" t="s">
        <v>161</v>
      </c>
      <c r="O958" t="s">
        <v>28</v>
      </c>
      <c r="P958" t="s">
        <v>29</v>
      </c>
      <c r="Q958" t="s">
        <v>30</v>
      </c>
      <c r="R958">
        <v>0.57999999999999996</v>
      </c>
      <c r="S958" s="1">
        <v>39890</v>
      </c>
      <c r="T958" t="str">
        <f t="shared" si="29"/>
        <v>18-Mar-2009</v>
      </c>
    </row>
    <row r="959" spans="1:20" x14ac:dyDescent="0.3">
      <c r="A959">
        <v>2755</v>
      </c>
      <c r="B959" s="1">
        <v>40945</v>
      </c>
      <c r="C959" t="s">
        <v>31</v>
      </c>
      <c r="D959" t="str">
        <f t="shared" si="28"/>
        <v>06-Feb-2012</v>
      </c>
      <c r="E959">
        <v>50</v>
      </c>
      <c r="F959" s="13">
        <v>346.06</v>
      </c>
      <c r="G959">
        <v>0</v>
      </c>
      <c r="H959" t="s">
        <v>19</v>
      </c>
      <c r="I959" s="13">
        <v>-76.540000000000006</v>
      </c>
      <c r="J959">
        <v>6.48</v>
      </c>
      <c r="K959">
        <v>5.86</v>
      </c>
      <c r="L959" t="s">
        <v>291</v>
      </c>
      <c r="M959" t="s">
        <v>161</v>
      </c>
      <c r="N959" s="5" t="s">
        <v>161</v>
      </c>
      <c r="O959" t="s">
        <v>28</v>
      </c>
      <c r="P959" t="s">
        <v>21</v>
      </c>
      <c r="Q959" t="s">
        <v>37</v>
      </c>
      <c r="R959">
        <v>0.36</v>
      </c>
      <c r="S959" s="1">
        <v>40945</v>
      </c>
      <c r="T959" t="str">
        <f t="shared" si="29"/>
        <v>06-Feb-2012</v>
      </c>
    </row>
    <row r="960" spans="1:20" x14ac:dyDescent="0.3">
      <c r="A960">
        <v>42851</v>
      </c>
      <c r="B960" s="1">
        <v>39965</v>
      </c>
      <c r="C960" t="s">
        <v>23</v>
      </c>
      <c r="D960" t="str">
        <f t="shared" si="28"/>
        <v>01-Jun-2009</v>
      </c>
      <c r="E960">
        <v>7</v>
      </c>
      <c r="F960" s="13">
        <v>344.30099999999999</v>
      </c>
      <c r="G960">
        <v>0.04</v>
      </c>
      <c r="H960" t="s">
        <v>35</v>
      </c>
      <c r="I960" s="13">
        <v>-22.9</v>
      </c>
      <c r="J960">
        <v>55.99</v>
      </c>
      <c r="K960">
        <v>1.25</v>
      </c>
      <c r="L960" t="s">
        <v>295</v>
      </c>
      <c r="M960" t="s">
        <v>161</v>
      </c>
      <c r="N960" s="5" t="s">
        <v>161</v>
      </c>
      <c r="O960" t="s">
        <v>28</v>
      </c>
      <c r="P960" t="s">
        <v>29</v>
      </c>
      <c r="Q960" t="s">
        <v>30</v>
      </c>
      <c r="R960">
        <v>0.35</v>
      </c>
      <c r="S960" s="1">
        <v>39966</v>
      </c>
      <c r="T960" t="str">
        <f t="shared" si="29"/>
        <v>02-Jun-2009</v>
      </c>
    </row>
    <row r="961" spans="1:20" x14ac:dyDescent="0.3">
      <c r="A961">
        <v>1057</v>
      </c>
      <c r="B961" s="1">
        <v>40958</v>
      </c>
      <c r="C961" t="s">
        <v>43</v>
      </c>
      <c r="D961" t="str">
        <f t="shared" si="28"/>
        <v>19-Feb-2012</v>
      </c>
      <c r="E961">
        <v>41</v>
      </c>
      <c r="F961" s="13">
        <v>341.36</v>
      </c>
      <c r="G961">
        <v>0.09</v>
      </c>
      <c r="H961" t="s">
        <v>19</v>
      </c>
      <c r="I961" s="13">
        <v>-52.48</v>
      </c>
      <c r="J961">
        <v>8.4600000000000009</v>
      </c>
      <c r="K961">
        <v>3.62</v>
      </c>
      <c r="L961" t="s">
        <v>185</v>
      </c>
      <c r="M961" t="s">
        <v>161</v>
      </c>
      <c r="N961" s="5" t="s">
        <v>161</v>
      </c>
      <c r="O961" t="s">
        <v>28</v>
      </c>
      <c r="P961" t="s">
        <v>29</v>
      </c>
      <c r="Q961" t="s">
        <v>41</v>
      </c>
      <c r="R961">
        <v>0.61</v>
      </c>
      <c r="S961" s="1">
        <v>40960</v>
      </c>
      <c r="T961" t="str">
        <f t="shared" si="29"/>
        <v>21-Feb-2012</v>
      </c>
    </row>
    <row r="962" spans="1:20" x14ac:dyDescent="0.3">
      <c r="A962">
        <v>18528</v>
      </c>
      <c r="B962" s="1">
        <v>40663</v>
      </c>
      <c r="C962" t="s">
        <v>43</v>
      </c>
      <c r="D962" t="str">
        <f t="shared" ref="D962:D1025" si="30">TEXT(B962, "dd-mmm-yyyy" )</f>
        <v>30-Apr-2011</v>
      </c>
      <c r="E962">
        <v>33</v>
      </c>
      <c r="F962" s="13">
        <v>340.97</v>
      </c>
      <c r="G962">
        <v>7.0000000000000007E-2</v>
      </c>
      <c r="H962" t="s">
        <v>19</v>
      </c>
      <c r="I962" s="13">
        <v>-22.82</v>
      </c>
      <c r="J962">
        <v>10.98</v>
      </c>
      <c r="K962">
        <v>3.99</v>
      </c>
      <c r="L962" t="s">
        <v>179</v>
      </c>
      <c r="M962" t="s">
        <v>161</v>
      </c>
      <c r="N962" s="5" t="s">
        <v>161</v>
      </c>
      <c r="O962" t="s">
        <v>28</v>
      </c>
      <c r="P962" t="s">
        <v>21</v>
      </c>
      <c r="Q962" t="s">
        <v>25</v>
      </c>
      <c r="R962">
        <v>0.57999999999999996</v>
      </c>
      <c r="S962" s="1">
        <v>40664</v>
      </c>
      <c r="T962" t="str">
        <f t="shared" ref="T962:T1025" si="31">TEXT(S962, "dd-mmm-yyyy")</f>
        <v>01-May-2011</v>
      </c>
    </row>
    <row r="963" spans="1:20" x14ac:dyDescent="0.3">
      <c r="A963">
        <v>55394</v>
      </c>
      <c r="B963" s="1">
        <v>40235</v>
      </c>
      <c r="C963" t="s">
        <v>43</v>
      </c>
      <c r="D963" t="str">
        <f t="shared" si="30"/>
        <v>26-Feb-2010</v>
      </c>
      <c r="E963">
        <v>21</v>
      </c>
      <c r="F963" s="13">
        <v>340.7</v>
      </c>
      <c r="G963">
        <v>0.05</v>
      </c>
      <c r="H963" t="s">
        <v>24</v>
      </c>
      <c r="I963" s="13">
        <v>11.65</v>
      </c>
      <c r="J963">
        <v>15.23</v>
      </c>
      <c r="K963">
        <v>27.75</v>
      </c>
      <c r="L963" t="s">
        <v>306</v>
      </c>
      <c r="M963" t="s">
        <v>161</v>
      </c>
      <c r="N963" s="5" t="s">
        <v>161</v>
      </c>
      <c r="O963" t="s">
        <v>28</v>
      </c>
      <c r="P963" t="s">
        <v>32</v>
      </c>
      <c r="Q963" t="s">
        <v>46</v>
      </c>
      <c r="R963">
        <v>0.76</v>
      </c>
      <c r="S963" s="1">
        <v>40237</v>
      </c>
      <c r="T963" t="str">
        <f t="shared" si="31"/>
        <v>28-Feb-2010</v>
      </c>
    </row>
    <row r="964" spans="1:20" x14ac:dyDescent="0.3">
      <c r="A964">
        <v>25863</v>
      </c>
      <c r="B964" s="1">
        <v>40655</v>
      </c>
      <c r="C964" t="s">
        <v>31</v>
      </c>
      <c r="D964" t="str">
        <f t="shared" si="30"/>
        <v>22-Apr-2011</v>
      </c>
      <c r="E964">
        <v>18</v>
      </c>
      <c r="F964" s="13">
        <v>340.68849999999998</v>
      </c>
      <c r="G964">
        <v>0</v>
      </c>
      <c r="H964" t="s">
        <v>35</v>
      </c>
      <c r="I964" s="13">
        <v>-10.85</v>
      </c>
      <c r="J964">
        <v>20.99</v>
      </c>
      <c r="K964">
        <v>4.8099999999999996</v>
      </c>
      <c r="L964" t="s">
        <v>206</v>
      </c>
      <c r="M964" t="s">
        <v>161</v>
      </c>
      <c r="N964" s="5" t="s">
        <v>161</v>
      </c>
      <c r="O964" t="s">
        <v>28</v>
      </c>
      <c r="P964" t="s">
        <v>29</v>
      </c>
      <c r="Q964" t="s">
        <v>30</v>
      </c>
      <c r="R964">
        <v>0.57999999999999996</v>
      </c>
      <c r="S964" s="1">
        <v>40657</v>
      </c>
      <c r="T964" t="str">
        <f t="shared" si="31"/>
        <v>24-Apr-2011</v>
      </c>
    </row>
    <row r="965" spans="1:20" x14ac:dyDescent="0.3">
      <c r="A965">
        <v>32036</v>
      </c>
      <c r="B965" s="1">
        <v>40821</v>
      </c>
      <c r="C965" t="s">
        <v>38</v>
      </c>
      <c r="D965" t="str">
        <f t="shared" si="30"/>
        <v>05-Oct-2011</v>
      </c>
      <c r="E965">
        <v>6</v>
      </c>
      <c r="F965" s="13">
        <v>338.89</v>
      </c>
      <c r="G965">
        <v>7.0000000000000007E-2</v>
      </c>
      <c r="H965" t="s">
        <v>19</v>
      </c>
      <c r="I965" s="13">
        <v>45.76</v>
      </c>
      <c r="J965">
        <v>54.96</v>
      </c>
      <c r="K965">
        <v>10.75</v>
      </c>
      <c r="L965" t="s">
        <v>174</v>
      </c>
      <c r="M965" t="s">
        <v>161</v>
      </c>
      <c r="N965" s="5" t="s">
        <v>161</v>
      </c>
      <c r="O965" t="s">
        <v>28</v>
      </c>
      <c r="P965" t="s">
        <v>21</v>
      </c>
      <c r="Q965" t="s">
        <v>37</v>
      </c>
      <c r="R965">
        <v>0.36</v>
      </c>
      <c r="S965" s="1">
        <v>40823</v>
      </c>
      <c r="T965" t="str">
        <f t="shared" si="31"/>
        <v>07-Oct-2011</v>
      </c>
    </row>
    <row r="966" spans="1:20" x14ac:dyDescent="0.3">
      <c r="A966">
        <v>9350</v>
      </c>
      <c r="B966" s="1">
        <v>41213</v>
      </c>
      <c r="C966" t="s">
        <v>43</v>
      </c>
      <c r="D966" t="str">
        <f t="shared" si="30"/>
        <v>31-Oct-2012</v>
      </c>
      <c r="E966">
        <v>2</v>
      </c>
      <c r="F966" s="13">
        <v>337.6</v>
      </c>
      <c r="G966">
        <v>0.1</v>
      </c>
      <c r="H966" t="s">
        <v>19</v>
      </c>
      <c r="I966" s="13">
        <v>-210.78</v>
      </c>
      <c r="J966">
        <v>172.99</v>
      </c>
      <c r="K966">
        <v>19.989999999999998</v>
      </c>
      <c r="L966" t="s">
        <v>192</v>
      </c>
      <c r="M966" t="s">
        <v>161</v>
      </c>
      <c r="N966" s="5" t="s">
        <v>161</v>
      </c>
      <c r="O966" t="s">
        <v>28</v>
      </c>
      <c r="P966" t="s">
        <v>32</v>
      </c>
      <c r="Q966" t="s">
        <v>33</v>
      </c>
      <c r="R966">
        <v>0.64</v>
      </c>
      <c r="S966" s="1">
        <v>41215</v>
      </c>
      <c r="T966" t="str">
        <f t="shared" si="31"/>
        <v>02-Nov-2012</v>
      </c>
    </row>
    <row r="967" spans="1:20" x14ac:dyDescent="0.3">
      <c r="A967">
        <v>58784</v>
      </c>
      <c r="B967" s="1">
        <v>39831</v>
      </c>
      <c r="C967" t="s">
        <v>38</v>
      </c>
      <c r="D967" t="str">
        <f t="shared" si="30"/>
        <v>18-Jan-2009</v>
      </c>
      <c r="E967">
        <v>20</v>
      </c>
      <c r="F967" s="13">
        <v>331.21</v>
      </c>
      <c r="G967">
        <v>0.04</v>
      </c>
      <c r="H967" t="s">
        <v>35</v>
      </c>
      <c r="I967" s="13">
        <v>-67.38</v>
      </c>
      <c r="J967">
        <v>15.99</v>
      </c>
      <c r="K967">
        <v>9.4</v>
      </c>
      <c r="L967" t="s">
        <v>308</v>
      </c>
      <c r="M967" t="s">
        <v>161</v>
      </c>
      <c r="N967" s="5" t="s">
        <v>161</v>
      </c>
      <c r="O967" t="s">
        <v>28</v>
      </c>
      <c r="P967" t="s">
        <v>29</v>
      </c>
      <c r="Q967" t="s">
        <v>74</v>
      </c>
      <c r="R967">
        <v>0.49</v>
      </c>
      <c r="S967" s="1">
        <v>39833</v>
      </c>
      <c r="T967" t="str">
        <f t="shared" si="31"/>
        <v>20-Jan-2009</v>
      </c>
    </row>
    <row r="968" spans="1:20" x14ac:dyDescent="0.3">
      <c r="A968">
        <v>39268</v>
      </c>
      <c r="B968" s="1">
        <v>40655</v>
      </c>
      <c r="C968" t="s">
        <v>31</v>
      </c>
      <c r="D968" t="str">
        <f t="shared" si="30"/>
        <v>22-Apr-2011</v>
      </c>
      <c r="E968">
        <v>44</v>
      </c>
      <c r="F968" s="13">
        <v>324.2</v>
      </c>
      <c r="G968">
        <v>0.02</v>
      </c>
      <c r="H968" t="s">
        <v>35</v>
      </c>
      <c r="I968" s="13">
        <v>-89.75</v>
      </c>
      <c r="J968">
        <v>7.1</v>
      </c>
      <c r="K968">
        <v>6.05</v>
      </c>
      <c r="L968" t="s">
        <v>303</v>
      </c>
      <c r="M968" t="s">
        <v>161</v>
      </c>
      <c r="N968" s="5" t="s">
        <v>161</v>
      </c>
      <c r="O968" t="s">
        <v>28</v>
      </c>
      <c r="P968" t="s">
        <v>21</v>
      </c>
      <c r="Q968" t="s">
        <v>26</v>
      </c>
      <c r="R968">
        <v>0.39</v>
      </c>
      <c r="S968" s="1">
        <v>40657</v>
      </c>
      <c r="T968" t="str">
        <f t="shared" si="31"/>
        <v>24-Apr-2011</v>
      </c>
    </row>
    <row r="969" spans="1:20" x14ac:dyDescent="0.3">
      <c r="A969">
        <v>19777</v>
      </c>
      <c r="B969" s="1">
        <v>41201</v>
      </c>
      <c r="C969" t="s">
        <v>31</v>
      </c>
      <c r="D969" t="str">
        <f t="shared" si="30"/>
        <v>19-Oct-2012</v>
      </c>
      <c r="E969">
        <v>22</v>
      </c>
      <c r="F969" s="13">
        <v>321.91000000000003</v>
      </c>
      <c r="G969">
        <v>0.06</v>
      </c>
      <c r="H969" t="s">
        <v>19</v>
      </c>
      <c r="I969" s="13">
        <v>-24.96</v>
      </c>
      <c r="J969">
        <v>15.01</v>
      </c>
      <c r="K969">
        <v>8.4</v>
      </c>
      <c r="L969" t="s">
        <v>174</v>
      </c>
      <c r="M969" t="s">
        <v>161</v>
      </c>
      <c r="N969" s="5" t="s">
        <v>161</v>
      </c>
      <c r="O969" t="s">
        <v>28</v>
      </c>
      <c r="P969" t="s">
        <v>21</v>
      </c>
      <c r="Q969" t="s">
        <v>26</v>
      </c>
      <c r="R969">
        <v>0.39</v>
      </c>
      <c r="S969" s="1">
        <v>41201</v>
      </c>
      <c r="T969" t="str">
        <f t="shared" si="31"/>
        <v>19-Oct-2012</v>
      </c>
    </row>
    <row r="970" spans="1:20" x14ac:dyDescent="0.3">
      <c r="A970">
        <v>2373</v>
      </c>
      <c r="B970" s="1">
        <v>39883</v>
      </c>
      <c r="C970" t="s">
        <v>31</v>
      </c>
      <c r="D970" t="str">
        <f t="shared" si="30"/>
        <v>11-Mar-2009</v>
      </c>
      <c r="E970">
        <v>36</v>
      </c>
      <c r="F970" s="13">
        <v>317.58999999999997</v>
      </c>
      <c r="G970">
        <v>0.06</v>
      </c>
      <c r="H970" t="s">
        <v>19</v>
      </c>
      <c r="I970" s="13">
        <v>-46.12</v>
      </c>
      <c r="J970">
        <v>8.6</v>
      </c>
      <c r="K970">
        <v>6.19</v>
      </c>
      <c r="L970" t="s">
        <v>166</v>
      </c>
      <c r="M970" t="s">
        <v>161</v>
      </c>
      <c r="N970" s="5" t="s">
        <v>161</v>
      </c>
      <c r="O970" t="s">
        <v>28</v>
      </c>
      <c r="P970" t="s">
        <v>21</v>
      </c>
      <c r="Q970" t="s">
        <v>26</v>
      </c>
      <c r="R970">
        <v>0.38</v>
      </c>
      <c r="S970" s="1">
        <v>39884</v>
      </c>
      <c r="T970" t="str">
        <f t="shared" si="31"/>
        <v>12-Mar-2009</v>
      </c>
    </row>
    <row r="971" spans="1:20" x14ac:dyDescent="0.3">
      <c r="A971">
        <v>3973</v>
      </c>
      <c r="B971" s="1">
        <v>40991</v>
      </c>
      <c r="C971" t="s">
        <v>31</v>
      </c>
      <c r="D971" t="str">
        <f t="shared" si="30"/>
        <v>23-Mar-2012</v>
      </c>
      <c r="E971">
        <v>21</v>
      </c>
      <c r="F971" s="13">
        <v>316.35000000000002</v>
      </c>
      <c r="G971">
        <v>0.06</v>
      </c>
      <c r="H971" t="s">
        <v>19</v>
      </c>
      <c r="I971" s="13">
        <v>117.91</v>
      </c>
      <c r="J971">
        <v>15.68</v>
      </c>
      <c r="K971">
        <v>3.73</v>
      </c>
      <c r="L971" t="s">
        <v>168</v>
      </c>
      <c r="M971" t="s">
        <v>161</v>
      </c>
      <c r="N971" s="5" t="s">
        <v>161</v>
      </c>
      <c r="O971" t="s">
        <v>28</v>
      </c>
      <c r="P971" t="s">
        <v>32</v>
      </c>
      <c r="Q971" t="s">
        <v>33</v>
      </c>
      <c r="R971">
        <v>0.46</v>
      </c>
      <c r="S971" s="1">
        <v>40993</v>
      </c>
      <c r="T971" t="str">
        <f t="shared" si="31"/>
        <v>25-Mar-2012</v>
      </c>
    </row>
    <row r="972" spans="1:20" x14ac:dyDescent="0.3">
      <c r="A972">
        <v>57447</v>
      </c>
      <c r="B972" s="1">
        <v>40728</v>
      </c>
      <c r="C972" t="s">
        <v>31</v>
      </c>
      <c r="D972" t="str">
        <f t="shared" si="30"/>
        <v>04-Jul-2011</v>
      </c>
      <c r="E972">
        <v>39</v>
      </c>
      <c r="F972" s="13">
        <v>315.88</v>
      </c>
      <c r="G972">
        <v>0.09</v>
      </c>
      <c r="H972" t="s">
        <v>19</v>
      </c>
      <c r="I972" s="13">
        <v>-60.4</v>
      </c>
      <c r="J972">
        <v>8.4600000000000009</v>
      </c>
      <c r="K972">
        <v>3.62</v>
      </c>
      <c r="L972" t="s">
        <v>52</v>
      </c>
      <c r="M972" t="s">
        <v>161</v>
      </c>
      <c r="N972" s="5" t="s">
        <v>161</v>
      </c>
      <c r="O972" t="s">
        <v>28</v>
      </c>
      <c r="P972" t="s">
        <v>29</v>
      </c>
      <c r="Q972" t="s">
        <v>41</v>
      </c>
      <c r="R972">
        <v>0.61</v>
      </c>
      <c r="S972" s="1">
        <v>40728</v>
      </c>
      <c r="T972" t="str">
        <f t="shared" si="31"/>
        <v>04-Jul-2011</v>
      </c>
    </row>
    <row r="973" spans="1:20" x14ac:dyDescent="0.3">
      <c r="A973">
        <v>56992</v>
      </c>
      <c r="B973" s="1">
        <v>40286</v>
      </c>
      <c r="C973" t="s">
        <v>31</v>
      </c>
      <c r="D973" t="str">
        <f t="shared" si="30"/>
        <v>18-Apr-2010</v>
      </c>
      <c r="E973">
        <v>10</v>
      </c>
      <c r="F973" s="13">
        <v>315.42</v>
      </c>
      <c r="G973">
        <v>0.1</v>
      </c>
      <c r="H973" t="s">
        <v>19</v>
      </c>
      <c r="I973" s="13">
        <v>-41.26</v>
      </c>
      <c r="J973">
        <v>30.98</v>
      </c>
      <c r="K973">
        <v>17.079999999999998</v>
      </c>
      <c r="L973" t="s">
        <v>215</v>
      </c>
      <c r="M973" t="s">
        <v>161</v>
      </c>
      <c r="N973" s="5" t="s">
        <v>161</v>
      </c>
      <c r="O973" t="s">
        <v>28</v>
      </c>
      <c r="P973" t="s">
        <v>21</v>
      </c>
      <c r="Q973" t="s">
        <v>37</v>
      </c>
      <c r="R973">
        <v>0.4</v>
      </c>
      <c r="S973" s="1">
        <v>40286</v>
      </c>
      <c r="T973" t="str">
        <f t="shared" si="31"/>
        <v>18-Apr-2010</v>
      </c>
    </row>
    <row r="974" spans="1:20" x14ac:dyDescent="0.3">
      <c r="A974">
        <v>30054</v>
      </c>
      <c r="B974" s="1">
        <v>41153</v>
      </c>
      <c r="C974" t="s">
        <v>31</v>
      </c>
      <c r="D974" t="str">
        <f t="shared" si="30"/>
        <v>01-Sep-2012</v>
      </c>
      <c r="E974">
        <v>33</v>
      </c>
      <c r="F974" s="13">
        <v>311.19</v>
      </c>
      <c r="G974">
        <v>0.03</v>
      </c>
      <c r="H974" t="s">
        <v>19</v>
      </c>
      <c r="I974" s="13">
        <v>-9.18</v>
      </c>
      <c r="J974">
        <v>9.3800000000000008</v>
      </c>
      <c r="K974">
        <v>4.93</v>
      </c>
      <c r="L974" t="s">
        <v>290</v>
      </c>
      <c r="M974" t="s">
        <v>161</v>
      </c>
      <c r="N974" s="5" t="s">
        <v>161</v>
      </c>
      <c r="O974" t="s">
        <v>28</v>
      </c>
      <c r="P974" t="s">
        <v>32</v>
      </c>
      <c r="Q974" t="s">
        <v>33</v>
      </c>
      <c r="R974">
        <v>0.56999999999999995</v>
      </c>
      <c r="S974" s="1">
        <v>41155</v>
      </c>
      <c r="T974" t="str">
        <f t="shared" si="31"/>
        <v>03-Sep-2012</v>
      </c>
    </row>
    <row r="975" spans="1:20" x14ac:dyDescent="0.3">
      <c r="A975">
        <v>6432</v>
      </c>
      <c r="B975" s="1">
        <v>40857</v>
      </c>
      <c r="C975" t="s">
        <v>43</v>
      </c>
      <c r="D975" t="str">
        <f t="shared" si="30"/>
        <v>10-Nov-2011</v>
      </c>
      <c r="E975">
        <v>30</v>
      </c>
      <c r="F975" s="13">
        <v>311.08</v>
      </c>
      <c r="G975">
        <v>0.08</v>
      </c>
      <c r="H975" t="s">
        <v>19</v>
      </c>
      <c r="I975" s="13">
        <v>-38.450000000000003</v>
      </c>
      <c r="J975">
        <v>10.89</v>
      </c>
      <c r="K975">
        <v>4.5</v>
      </c>
      <c r="L975" t="s">
        <v>210</v>
      </c>
      <c r="M975" t="s">
        <v>161</v>
      </c>
      <c r="N975" s="5" t="s">
        <v>161</v>
      </c>
      <c r="O975" t="s">
        <v>28</v>
      </c>
      <c r="P975" t="s">
        <v>21</v>
      </c>
      <c r="Q975" t="s">
        <v>25</v>
      </c>
      <c r="R975">
        <v>0.59</v>
      </c>
      <c r="S975" s="1">
        <v>40859</v>
      </c>
      <c r="T975" t="str">
        <f t="shared" si="31"/>
        <v>12-Nov-2011</v>
      </c>
    </row>
    <row r="976" spans="1:20" x14ac:dyDescent="0.3">
      <c r="A976">
        <v>8480</v>
      </c>
      <c r="B976" s="1">
        <v>40572</v>
      </c>
      <c r="C976" t="s">
        <v>23</v>
      </c>
      <c r="D976" t="str">
        <f t="shared" si="30"/>
        <v>29-Jan-2011</v>
      </c>
      <c r="E976">
        <v>3</v>
      </c>
      <c r="F976" s="13">
        <v>309.9015</v>
      </c>
      <c r="G976">
        <v>0.09</v>
      </c>
      <c r="H976" t="s">
        <v>19</v>
      </c>
      <c r="I976" s="13">
        <v>-558.41999999999996</v>
      </c>
      <c r="J976">
        <v>125.99</v>
      </c>
      <c r="K976">
        <v>7.69</v>
      </c>
      <c r="L976" t="s">
        <v>295</v>
      </c>
      <c r="M976" t="s">
        <v>161</v>
      </c>
      <c r="N976" s="5" t="s">
        <v>161</v>
      </c>
      <c r="O976" t="s">
        <v>28</v>
      </c>
      <c r="P976" t="s">
        <v>29</v>
      </c>
      <c r="Q976" t="s">
        <v>30</v>
      </c>
      <c r="R976">
        <v>0.57999999999999996</v>
      </c>
      <c r="S976" s="1">
        <v>40574</v>
      </c>
      <c r="T976" t="str">
        <f t="shared" si="31"/>
        <v>31-Jan-2011</v>
      </c>
    </row>
    <row r="977" spans="1:20" x14ac:dyDescent="0.3">
      <c r="A977">
        <v>47303</v>
      </c>
      <c r="B977" s="1">
        <v>40882</v>
      </c>
      <c r="C977" t="s">
        <v>38</v>
      </c>
      <c r="D977" t="str">
        <f t="shared" si="30"/>
        <v>05-Dec-2011</v>
      </c>
      <c r="E977">
        <v>45</v>
      </c>
      <c r="F977" s="13">
        <v>308.92</v>
      </c>
      <c r="G977">
        <v>0.04</v>
      </c>
      <c r="H977" t="s">
        <v>35</v>
      </c>
      <c r="I977" s="13">
        <v>-143.58000000000001</v>
      </c>
      <c r="J977">
        <v>6.48</v>
      </c>
      <c r="K977">
        <v>7.37</v>
      </c>
      <c r="L977" t="s">
        <v>293</v>
      </c>
      <c r="M977" t="s">
        <v>161</v>
      </c>
      <c r="N977" s="5" t="s">
        <v>161</v>
      </c>
      <c r="O977" t="s">
        <v>28</v>
      </c>
      <c r="P977" t="s">
        <v>21</v>
      </c>
      <c r="Q977" t="s">
        <v>37</v>
      </c>
      <c r="R977">
        <v>0.37</v>
      </c>
      <c r="S977" s="1">
        <v>40884</v>
      </c>
      <c r="T977" t="str">
        <f t="shared" si="31"/>
        <v>07-Dec-2011</v>
      </c>
    </row>
    <row r="978" spans="1:20" x14ac:dyDescent="0.3">
      <c r="A978">
        <v>50051</v>
      </c>
      <c r="B978" s="1">
        <v>40090</v>
      </c>
      <c r="C978" t="s">
        <v>38</v>
      </c>
      <c r="D978" t="str">
        <f t="shared" si="30"/>
        <v>04-Oct-2009</v>
      </c>
      <c r="E978">
        <v>15</v>
      </c>
      <c r="F978" s="13">
        <v>308.64</v>
      </c>
      <c r="G978">
        <v>0.03</v>
      </c>
      <c r="H978" t="s">
        <v>35</v>
      </c>
      <c r="I978" s="13">
        <v>91.08</v>
      </c>
      <c r="J978">
        <v>19.04</v>
      </c>
      <c r="K978">
        <v>6.38</v>
      </c>
      <c r="L978" t="s">
        <v>179</v>
      </c>
      <c r="M978" t="s">
        <v>161</v>
      </c>
      <c r="N978" s="5" t="s">
        <v>161</v>
      </c>
      <c r="O978" t="s">
        <v>28</v>
      </c>
      <c r="P978" t="s">
        <v>32</v>
      </c>
      <c r="Q978" t="s">
        <v>33</v>
      </c>
      <c r="R978">
        <v>0.56000000000000005</v>
      </c>
      <c r="S978" s="1">
        <v>40090</v>
      </c>
      <c r="T978" t="str">
        <f t="shared" si="31"/>
        <v>04-Oct-2009</v>
      </c>
    </row>
    <row r="979" spans="1:20" x14ac:dyDescent="0.3">
      <c r="A979">
        <v>11111</v>
      </c>
      <c r="B979" s="1">
        <v>40560</v>
      </c>
      <c r="C979" t="s">
        <v>38</v>
      </c>
      <c r="D979" t="str">
        <f t="shared" si="30"/>
        <v>17-Jan-2011</v>
      </c>
      <c r="E979">
        <v>7</v>
      </c>
      <c r="F979" s="13">
        <v>308.52</v>
      </c>
      <c r="G979">
        <v>0.1</v>
      </c>
      <c r="H979" t="s">
        <v>19</v>
      </c>
      <c r="I979" s="13">
        <v>-59.85</v>
      </c>
      <c r="J979">
        <v>41.47</v>
      </c>
      <c r="K979">
        <v>34.200000000000003</v>
      </c>
      <c r="L979" t="s">
        <v>296</v>
      </c>
      <c r="M979" t="s">
        <v>161</v>
      </c>
      <c r="N979" s="5" t="s">
        <v>161</v>
      </c>
      <c r="O979" t="s">
        <v>28</v>
      </c>
      <c r="P979" t="s">
        <v>32</v>
      </c>
      <c r="Q979" t="s">
        <v>33</v>
      </c>
      <c r="R979">
        <v>0.73</v>
      </c>
      <c r="S979" s="1">
        <v>40562</v>
      </c>
      <c r="T979" t="str">
        <f t="shared" si="31"/>
        <v>19-Jan-2011</v>
      </c>
    </row>
    <row r="980" spans="1:20" x14ac:dyDescent="0.3">
      <c r="A980">
        <v>36999</v>
      </c>
      <c r="B980" s="1">
        <v>40159</v>
      </c>
      <c r="C980" t="s">
        <v>38</v>
      </c>
      <c r="D980" t="str">
        <f t="shared" si="30"/>
        <v>12-Dec-2009</v>
      </c>
      <c r="E980">
        <v>3</v>
      </c>
      <c r="F980" s="13">
        <v>306.62049999999999</v>
      </c>
      <c r="G980">
        <v>0.08</v>
      </c>
      <c r="H980" t="s">
        <v>35</v>
      </c>
      <c r="I980" s="13">
        <v>-479.08</v>
      </c>
      <c r="J980">
        <v>115.99</v>
      </c>
      <c r="K980">
        <v>5.99</v>
      </c>
      <c r="L980" t="s">
        <v>208</v>
      </c>
      <c r="M980" t="s">
        <v>161</v>
      </c>
      <c r="N980" s="5" t="s">
        <v>161</v>
      </c>
      <c r="O980" t="s">
        <v>28</v>
      </c>
      <c r="P980" t="s">
        <v>29</v>
      </c>
      <c r="Q980" t="s">
        <v>30</v>
      </c>
      <c r="R980">
        <v>0.56999999999999995</v>
      </c>
      <c r="S980" s="1">
        <v>40160</v>
      </c>
      <c r="T980" t="str">
        <f t="shared" si="31"/>
        <v>13-Dec-2009</v>
      </c>
    </row>
    <row r="981" spans="1:20" x14ac:dyDescent="0.3">
      <c r="A981">
        <v>20486</v>
      </c>
      <c r="B981" s="1">
        <v>40607</v>
      </c>
      <c r="C981" t="s">
        <v>23</v>
      </c>
      <c r="D981" t="str">
        <f t="shared" si="30"/>
        <v>05-Mar-2011</v>
      </c>
      <c r="E981">
        <v>34</v>
      </c>
      <c r="F981" s="13">
        <v>306.3</v>
      </c>
      <c r="G981">
        <v>7.0000000000000007E-2</v>
      </c>
      <c r="H981" t="s">
        <v>19</v>
      </c>
      <c r="I981" s="13">
        <v>18.73</v>
      </c>
      <c r="J981">
        <v>9.27</v>
      </c>
      <c r="K981">
        <v>4.3899999999999997</v>
      </c>
      <c r="L981" t="s">
        <v>290</v>
      </c>
      <c r="M981" t="s">
        <v>161</v>
      </c>
      <c r="N981" s="5" t="s">
        <v>161</v>
      </c>
      <c r="O981" t="s">
        <v>28</v>
      </c>
      <c r="P981" t="s">
        <v>21</v>
      </c>
      <c r="Q981" t="s">
        <v>37</v>
      </c>
      <c r="R981">
        <v>0.38</v>
      </c>
      <c r="S981" s="1">
        <v>40608</v>
      </c>
      <c r="T981" t="str">
        <f t="shared" si="31"/>
        <v>06-Mar-2011</v>
      </c>
    </row>
    <row r="982" spans="1:20" x14ac:dyDescent="0.3">
      <c r="A982">
        <v>22849</v>
      </c>
      <c r="B982" s="1">
        <v>40588</v>
      </c>
      <c r="C982" t="s">
        <v>31</v>
      </c>
      <c r="D982" t="str">
        <f t="shared" si="30"/>
        <v>14-Feb-2011</v>
      </c>
      <c r="E982">
        <v>27</v>
      </c>
      <c r="F982" s="13">
        <v>304.98</v>
      </c>
      <c r="G982">
        <v>0.08</v>
      </c>
      <c r="H982" t="s">
        <v>19</v>
      </c>
      <c r="I982" s="13">
        <v>2.73</v>
      </c>
      <c r="J982">
        <v>11.7</v>
      </c>
      <c r="K982">
        <v>5.63</v>
      </c>
      <c r="L982" t="s">
        <v>182</v>
      </c>
      <c r="M982" t="s">
        <v>161</v>
      </c>
      <c r="N982" s="5" t="s">
        <v>161</v>
      </c>
      <c r="O982" t="s">
        <v>28</v>
      </c>
      <c r="P982" t="s">
        <v>21</v>
      </c>
      <c r="Q982" t="s">
        <v>26</v>
      </c>
      <c r="R982">
        <v>0.4</v>
      </c>
      <c r="S982" s="1">
        <v>40589</v>
      </c>
      <c r="T982" t="str">
        <f t="shared" si="31"/>
        <v>15-Feb-2011</v>
      </c>
    </row>
    <row r="983" spans="1:20" x14ac:dyDescent="0.3">
      <c r="A983">
        <v>1600</v>
      </c>
      <c r="B983" s="1">
        <v>40239</v>
      </c>
      <c r="C983" t="s">
        <v>38</v>
      </c>
      <c r="D983" t="str">
        <f t="shared" si="30"/>
        <v>02-Mar-2010</v>
      </c>
      <c r="E983">
        <v>32</v>
      </c>
      <c r="F983" s="13">
        <v>303.58999999999997</v>
      </c>
      <c r="G983">
        <v>0.1</v>
      </c>
      <c r="H983" t="s">
        <v>19</v>
      </c>
      <c r="I983" s="13">
        <v>-45.99</v>
      </c>
      <c r="J983">
        <v>9.65</v>
      </c>
      <c r="K983">
        <v>6.22</v>
      </c>
      <c r="L983" t="s">
        <v>167</v>
      </c>
      <c r="M983" t="s">
        <v>161</v>
      </c>
      <c r="N983" s="5" t="s">
        <v>161</v>
      </c>
      <c r="O983" t="s">
        <v>28</v>
      </c>
      <c r="P983" t="s">
        <v>32</v>
      </c>
      <c r="Q983" t="s">
        <v>33</v>
      </c>
      <c r="R983">
        <v>0.55000000000000004</v>
      </c>
      <c r="S983" s="1">
        <v>40241</v>
      </c>
      <c r="T983" t="str">
        <f t="shared" si="31"/>
        <v>04-Mar-2010</v>
      </c>
    </row>
    <row r="984" spans="1:20" x14ac:dyDescent="0.3">
      <c r="A984">
        <v>41504</v>
      </c>
      <c r="B984" s="1">
        <v>41210</v>
      </c>
      <c r="C984" t="s">
        <v>43</v>
      </c>
      <c r="D984" t="str">
        <f t="shared" si="30"/>
        <v>28-Oct-2012</v>
      </c>
      <c r="E984">
        <v>20</v>
      </c>
      <c r="F984" s="13">
        <v>302.94</v>
      </c>
      <c r="G984">
        <v>7.0000000000000007E-2</v>
      </c>
      <c r="H984" t="s">
        <v>19</v>
      </c>
      <c r="I984" s="13">
        <v>-30.2</v>
      </c>
      <c r="J984">
        <v>15.51</v>
      </c>
      <c r="K984">
        <v>5.8</v>
      </c>
      <c r="L984" t="s">
        <v>237</v>
      </c>
      <c r="M984" t="s">
        <v>161</v>
      </c>
      <c r="N984" s="5" t="s">
        <v>161</v>
      </c>
      <c r="O984" t="s">
        <v>28</v>
      </c>
      <c r="P984" t="s">
        <v>21</v>
      </c>
      <c r="Q984" t="s">
        <v>22</v>
      </c>
      <c r="R984">
        <v>0.6</v>
      </c>
      <c r="S984" s="1">
        <v>41212</v>
      </c>
      <c r="T984" t="str">
        <f t="shared" si="31"/>
        <v>30-Oct-2012</v>
      </c>
    </row>
    <row r="985" spans="1:20" x14ac:dyDescent="0.3">
      <c r="A985">
        <v>29894</v>
      </c>
      <c r="B985" s="1">
        <v>40428</v>
      </c>
      <c r="C985" t="s">
        <v>18</v>
      </c>
      <c r="D985" t="str">
        <f t="shared" si="30"/>
        <v>07-Sep-2010</v>
      </c>
      <c r="E985">
        <v>48</v>
      </c>
      <c r="F985" s="13">
        <v>301.62</v>
      </c>
      <c r="G985">
        <v>0.09</v>
      </c>
      <c r="H985" t="s">
        <v>19</v>
      </c>
      <c r="I985" s="13">
        <v>-162.54</v>
      </c>
      <c r="J985">
        <v>6.68</v>
      </c>
      <c r="K985">
        <v>6.92</v>
      </c>
      <c r="L985" t="s">
        <v>297</v>
      </c>
      <c r="M985" t="s">
        <v>161</v>
      </c>
      <c r="N985" s="5" t="s">
        <v>161</v>
      </c>
      <c r="O985" t="s">
        <v>28</v>
      </c>
      <c r="P985" t="s">
        <v>21</v>
      </c>
      <c r="Q985" t="s">
        <v>37</v>
      </c>
      <c r="R985">
        <v>0.37</v>
      </c>
      <c r="S985" s="1">
        <v>40437</v>
      </c>
      <c r="T985" t="str">
        <f t="shared" si="31"/>
        <v>16-Sep-2010</v>
      </c>
    </row>
    <row r="986" spans="1:20" x14ac:dyDescent="0.3">
      <c r="A986">
        <v>37440</v>
      </c>
      <c r="B986" s="1">
        <v>40352</v>
      </c>
      <c r="C986" t="s">
        <v>31</v>
      </c>
      <c r="D986" t="str">
        <f t="shared" si="30"/>
        <v>23-Jun-2010</v>
      </c>
      <c r="E986">
        <v>31</v>
      </c>
      <c r="F986" s="13">
        <v>295.45</v>
      </c>
      <c r="G986">
        <v>0.03</v>
      </c>
      <c r="H986" t="s">
        <v>19</v>
      </c>
      <c r="I986" s="13">
        <v>-4.3600000000000003</v>
      </c>
      <c r="J986">
        <v>9.3800000000000008</v>
      </c>
      <c r="K986">
        <v>4.93</v>
      </c>
      <c r="L986" t="s">
        <v>173</v>
      </c>
      <c r="M986" t="s">
        <v>161</v>
      </c>
      <c r="N986" s="5" t="s">
        <v>161</v>
      </c>
      <c r="O986" t="s">
        <v>28</v>
      </c>
      <c r="P986" t="s">
        <v>32</v>
      </c>
      <c r="Q986" t="s">
        <v>33</v>
      </c>
      <c r="R986">
        <v>0.56999999999999995</v>
      </c>
      <c r="S986" s="1">
        <v>40354</v>
      </c>
      <c r="T986" t="str">
        <f t="shared" si="31"/>
        <v>25-Jun-2010</v>
      </c>
    </row>
    <row r="987" spans="1:20" x14ac:dyDescent="0.3">
      <c r="A987">
        <v>25056</v>
      </c>
      <c r="B987" s="1">
        <v>40442</v>
      </c>
      <c r="C987" t="s">
        <v>31</v>
      </c>
      <c r="D987" t="str">
        <f t="shared" si="30"/>
        <v>21-Sep-2010</v>
      </c>
      <c r="E987">
        <v>41</v>
      </c>
      <c r="F987" s="13">
        <v>295.12</v>
      </c>
      <c r="G987">
        <v>0</v>
      </c>
      <c r="H987" t="s">
        <v>19</v>
      </c>
      <c r="I987" s="13">
        <v>-151.93</v>
      </c>
      <c r="J987">
        <v>6.48</v>
      </c>
      <c r="K987">
        <v>8.19</v>
      </c>
      <c r="L987" t="s">
        <v>213</v>
      </c>
      <c r="M987" t="s">
        <v>161</v>
      </c>
      <c r="N987" s="5" t="s">
        <v>161</v>
      </c>
      <c r="O987" t="s">
        <v>28</v>
      </c>
      <c r="P987" t="s">
        <v>21</v>
      </c>
      <c r="Q987" t="s">
        <v>37</v>
      </c>
      <c r="R987">
        <v>0.37</v>
      </c>
      <c r="S987" s="1">
        <v>40444</v>
      </c>
      <c r="T987" t="str">
        <f t="shared" si="31"/>
        <v>23-Sep-2010</v>
      </c>
    </row>
    <row r="988" spans="1:20" x14ac:dyDescent="0.3">
      <c r="A988">
        <v>5572</v>
      </c>
      <c r="B988" s="1">
        <v>40010</v>
      </c>
      <c r="C988" t="s">
        <v>23</v>
      </c>
      <c r="D988" t="str">
        <f t="shared" si="30"/>
        <v>16-Jul-2009</v>
      </c>
      <c r="E988">
        <v>37</v>
      </c>
      <c r="F988" s="13">
        <v>288.55</v>
      </c>
      <c r="G988">
        <v>0.03</v>
      </c>
      <c r="H988" t="s">
        <v>19</v>
      </c>
      <c r="I988" s="13">
        <v>-133.69999999999999</v>
      </c>
      <c r="J988">
        <v>7.37</v>
      </c>
      <c r="K988">
        <v>5.53</v>
      </c>
      <c r="L988" t="s">
        <v>176</v>
      </c>
      <c r="M988" t="s">
        <v>161</v>
      </c>
      <c r="N988" s="5" t="s">
        <v>161</v>
      </c>
      <c r="O988" t="s">
        <v>28</v>
      </c>
      <c r="P988" t="s">
        <v>29</v>
      </c>
      <c r="Q988" t="s">
        <v>41</v>
      </c>
      <c r="R988">
        <v>0.69</v>
      </c>
      <c r="S988" s="1">
        <v>40012</v>
      </c>
      <c r="T988" t="str">
        <f t="shared" si="31"/>
        <v>18-Jul-2009</v>
      </c>
    </row>
    <row r="989" spans="1:20" x14ac:dyDescent="0.3">
      <c r="A989">
        <v>4965</v>
      </c>
      <c r="B989" s="1">
        <v>40471</v>
      </c>
      <c r="C989" t="s">
        <v>18</v>
      </c>
      <c r="D989" t="str">
        <f t="shared" si="30"/>
        <v>20-Oct-2010</v>
      </c>
      <c r="E989">
        <v>46</v>
      </c>
      <c r="F989" s="13">
        <v>287.13</v>
      </c>
      <c r="G989">
        <v>0</v>
      </c>
      <c r="H989" t="s">
        <v>19</v>
      </c>
      <c r="I989" s="13">
        <v>-186.31</v>
      </c>
      <c r="J989">
        <v>5.78</v>
      </c>
      <c r="K989">
        <v>7.96</v>
      </c>
      <c r="L989" t="s">
        <v>240</v>
      </c>
      <c r="M989" t="s">
        <v>161</v>
      </c>
      <c r="N989" s="5" t="s">
        <v>161</v>
      </c>
      <c r="O989" t="s">
        <v>28</v>
      </c>
      <c r="P989" t="s">
        <v>21</v>
      </c>
      <c r="Q989" t="s">
        <v>37</v>
      </c>
      <c r="R989">
        <v>0.36</v>
      </c>
      <c r="S989" s="1">
        <v>40476</v>
      </c>
      <c r="T989" t="str">
        <f t="shared" si="31"/>
        <v>25-Oct-2010</v>
      </c>
    </row>
    <row r="990" spans="1:20" x14ac:dyDescent="0.3">
      <c r="A990">
        <v>45542</v>
      </c>
      <c r="B990" s="1">
        <v>40216</v>
      </c>
      <c r="C990" t="s">
        <v>23</v>
      </c>
      <c r="D990" t="str">
        <f t="shared" si="30"/>
        <v>07-Feb-2010</v>
      </c>
      <c r="E990">
        <v>37</v>
      </c>
      <c r="F990" s="13">
        <v>281.79000000000002</v>
      </c>
      <c r="G990">
        <v>0.04</v>
      </c>
      <c r="H990" t="s">
        <v>35</v>
      </c>
      <c r="I990" s="13">
        <v>-50.96</v>
      </c>
      <c r="J990">
        <v>7.64</v>
      </c>
      <c r="K990">
        <v>5.83</v>
      </c>
      <c r="L990" t="s">
        <v>295</v>
      </c>
      <c r="M990" t="s">
        <v>161</v>
      </c>
      <c r="N990" s="5" t="s">
        <v>161</v>
      </c>
      <c r="O990" t="s">
        <v>28</v>
      </c>
      <c r="P990" t="s">
        <v>21</v>
      </c>
      <c r="Q990" t="s">
        <v>37</v>
      </c>
      <c r="R990">
        <v>0.36</v>
      </c>
      <c r="S990" s="1">
        <v>40219</v>
      </c>
      <c r="T990" t="str">
        <f t="shared" si="31"/>
        <v>10-Feb-2010</v>
      </c>
    </row>
    <row r="991" spans="1:20" x14ac:dyDescent="0.3">
      <c r="A991">
        <v>12261</v>
      </c>
      <c r="B991" s="1">
        <v>40474</v>
      </c>
      <c r="C991" t="s">
        <v>18</v>
      </c>
      <c r="D991" t="str">
        <f t="shared" si="30"/>
        <v>23-Oct-2010</v>
      </c>
      <c r="E991">
        <v>19</v>
      </c>
      <c r="F991" s="13">
        <v>281.74</v>
      </c>
      <c r="G991">
        <v>0.06</v>
      </c>
      <c r="H991" t="s">
        <v>19</v>
      </c>
      <c r="I991" s="13">
        <v>25.67</v>
      </c>
      <c r="J991">
        <v>14.56</v>
      </c>
      <c r="K991">
        <v>3.5</v>
      </c>
      <c r="L991" t="s">
        <v>175</v>
      </c>
      <c r="M991" t="s">
        <v>161</v>
      </c>
      <c r="N991" s="5" t="s">
        <v>161</v>
      </c>
      <c r="O991" t="s">
        <v>28</v>
      </c>
      <c r="P991" t="s">
        <v>21</v>
      </c>
      <c r="Q991" t="s">
        <v>25</v>
      </c>
      <c r="R991">
        <v>0.57999999999999996</v>
      </c>
      <c r="S991" s="1">
        <v>40479</v>
      </c>
      <c r="T991" t="str">
        <f t="shared" si="31"/>
        <v>28-Oct-2010</v>
      </c>
    </row>
    <row r="992" spans="1:20" x14ac:dyDescent="0.3">
      <c r="A992">
        <v>20134</v>
      </c>
      <c r="B992" s="1">
        <v>40614</v>
      </c>
      <c r="C992" t="s">
        <v>18</v>
      </c>
      <c r="D992" t="str">
        <f t="shared" si="30"/>
        <v>12-Mar-2011</v>
      </c>
      <c r="E992">
        <v>47</v>
      </c>
      <c r="F992" s="13">
        <v>281.47000000000003</v>
      </c>
      <c r="G992">
        <v>0.1</v>
      </c>
      <c r="H992" t="s">
        <v>19</v>
      </c>
      <c r="I992" s="13">
        <v>-190.57</v>
      </c>
      <c r="J992">
        <v>6.48</v>
      </c>
      <c r="K992">
        <v>7.37</v>
      </c>
      <c r="L992" t="s">
        <v>188</v>
      </c>
      <c r="M992" t="s">
        <v>161</v>
      </c>
      <c r="N992" s="5" t="s">
        <v>161</v>
      </c>
      <c r="O992" t="s">
        <v>28</v>
      </c>
      <c r="P992" t="s">
        <v>21</v>
      </c>
      <c r="Q992" t="s">
        <v>37</v>
      </c>
      <c r="R992">
        <v>0.37</v>
      </c>
      <c r="S992" s="1">
        <v>40621</v>
      </c>
      <c r="T992" t="str">
        <f t="shared" si="31"/>
        <v>19-Mar-2011</v>
      </c>
    </row>
    <row r="993" spans="1:20" x14ac:dyDescent="0.3">
      <c r="A993">
        <v>46884</v>
      </c>
      <c r="B993" s="1">
        <v>39830</v>
      </c>
      <c r="C993" t="s">
        <v>38</v>
      </c>
      <c r="D993" t="str">
        <f t="shared" si="30"/>
        <v>17-Jan-2009</v>
      </c>
      <c r="E993">
        <v>25</v>
      </c>
      <c r="F993" s="13">
        <v>280.43</v>
      </c>
      <c r="G993">
        <v>0.1</v>
      </c>
      <c r="H993" t="s">
        <v>19</v>
      </c>
      <c r="I993" s="13">
        <v>39.520000000000003</v>
      </c>
      <c r="J993">
        <v>11.55</v>
      </c>
      <c r="K993">
        <v>2.36</v>
      </c>
      <c r="L993" t="s">
        <v>180</v>
      </c>
      <c r="M993" t="s">
        <v>161</v>
      </c>
      <c r="N993" s="5" t="s">
        <v>161</v>
      </c>
      <c r="O993" t="s">
        <v>28</v>
      </c>
      <c r="P993" t="s">
        <v>21</v>
      </c>
      <c r="Q993" t="s">
        <v>50</v>
      </c>
      <c r="R993">
        <v>0.55000000000000004</v>
      </c>
      <c r="S993" s="1">
        <v>39831</v>
      </c>
      <c r="T993" t="str">
        <f t="shared" si="31"/>
        <v>18-Jan-2009</v>
      </c>
    </row>
    <row r="994" spans="1:20" x14ac:dyDescent="0.3">
      <c r="A994">
        <v>19394</v>
      </c>
      <c r="B994" s="1">
        <v>41268</v>
      </c>
      <c r="C994" t="s">
        <v>38</v>
      </c>
      <c r="D994" t="str">
        <f t="shared" si="30"/>
        <v>25-Dec-2012</v>
      </c>
      <c r="E994">
        <v>16</v>
      </c>
      <c r="F994" s="13">
        <v>279.327</v>
      </c>
      <c r="G994">
        <v>0.05</v>
      </c>
      <c r="H994" t="s">
        <v>19</v>
      </c>
      <c r="I994" s="13">
        <v>75.209999999999994</v>
      </c>
      <c r="J994">
        <v>20.99</v>
      </c>
      <c r="K994">
        <v>0.99</v>
      </c>
      <c r="L994" t="s">
        <v>195</v>
      </c>
      <c r="M994" t="s">
        <v>161</v>
      </c>
      <c r="N994" s="5" t="s">
        <v>161</v>
      </c>
      <c r="O994" t="s">
        <v>28</v>
      </c>
      <c r="P994" t="s">
        <v>29</v>
      </c>
      <c r="Q994" t="s">
        <v>30</v>
      </c>
      <c r="R994">
        <v>0.37</v>
      </c>
      <c r="S994" s="1">
        <v>41269</v>
      </c>
      <c r="T994" t="str">
        <f t="shared" si="31"/>
        <v>26-Dec-2012</v>
      </c>
    </row>
    <row r="995" spans="1:20" x14ac:dyDescent="0.3">
      <c r="A995">
        <v>49221</v>
      </c>
      <c r="B995" s="1">
        <v>40362</v>
      </c>
      <c r="C995" t="s">
        <v>31</v>
      </c>
      <c r="D995" t="str">
        <f t="shared" si="30"/>
        <v>03-Jul-2010</v>
      </c>
      <c r="E995">
        <v>41</v>
      </c>
      <c r="F995" s="13">
        <v>277.35000000000002</v>
      </c>
      <c r="G995">
        <v>0.02</v>
      </c>
      <c r="H995" t="s">
        <v>19</v>
      </c>
      <c r="I995" s="13">
        <v>-103.28</v>
      </c>
      <c r="J995">
        <v>6.48</v>
      </c>
      <c r="K995">
        <v>6.57</v>
      </c>
      <c r="L995" t="s">
        <v>303</v>
      </c>
      <c r="M995" t="s">
        <v>161</v>
      </c>
      <c r="N995" s="5" t="s">
        <v>161</v>
      </c>
      <c r="O995" t="s">
        <v>28</v>
      </c>
      <c r="P995" t="s">
        <v>21</v>
      </c>
      <c r="Q995" t="s">
        <v>37</v>
      </c>
      <c r="R995">
        <v>0.37</v>
      </c>
      <c r="S995" s="1">
        <v>40363</v>
      </c>
      <c r="T995" t="str">
        <f t="shared" si="31"/>
        <v>04-Jul-2010</v>
      </c>
    </row>
    <row r="996" spans="1:20" x14ac:dyDescent="0.3">
      <c r="A996">
        <v>11233</v>
      </c>
      <c r="B996" s="1">
        <v>40785</v>
      </c>
      <c r="C996" t="s">
        <v>31</v>
      </c>
      <c r="D996" t="str">
        <f t="shared" si="30"/>
        <v>30-Aug-2011</v>
      </c>
      <c r="E996">
        <v>25</v>
      </c>
      <c r="F996" s="13">
        <v>276.5</v>
      </c>
      <c r="G996">
        <v>0.02</v>
      </c>
      <c r="H996" t="s">
        <v>19</v>
      </c>
      <c r="I996" s="13">
        <v>35.72</v>
      </c>
      <c r="J996">
        <v>10.98</v>
      </c>
      <c r="K996">
        <v>4.8</v>
      </c>
      <c r="L996" t="s">
        <v>305</v>
      </c>
      <c r="M996" t="s">
        <v>161</v>
      </c>
      <c r="N996" s="5" t="s">
        <v>161</v>
      </c>
      <c r="O996" t="s">
        <v>28</v>
      </c>
      <c r="P996" t="s">
        <v>21</v>
      </c>
      <c r="Q996" t="s">
        <v>42</v>
      </c>
      <c r="R996">
        <v>0.36</v>
      </c>
      <c r="S996" s="1">
        <v>40787</v>
      </c>
      <c r="T996" t="str">
        <f t="shared" si="31"/>
        <v>01-Sep-2011</v>
      </c>
    </row>
    <row r="997" spans="1:20" x14ac:dyDescent="0.3">
      <c r="A997">
        <v>36416</v>
      </c>
      <c r="B997" s="1">
        <v>40147</v>
      </c>
      <c r="C997" t="s">
        <v>18</v>
      </c>
      <c r="D997" t="str">
        <f t="shared" si="30"/>
        <v>30-Nov-2009</v>
      </c>
      <c r="E997">
        <v>44</v>
      </c>
      <c r="F997" s="13">
        <v>276</v>
      </c>
      <c r="G997">
        <v>0.08</v>
      </c>
      <c r="H997" t="s">
        <v>19</v>
      </c>
      <c r="I997" s="13">
        <v>-98.53</v>
      </c>
      <c r="J997">
        <v>6.48</v>
      </c>
      <c r="K997">
        <v>5.82</v>
      </c>
      <c r="L997" t="s">
        <v>171</v>
      </c>
      <c r="M997" t="s">
        <v>161</v>
      </c>
      <c r="N997" s="5" t="s">
        <v>161</v>
      </c>
      <c r="O997" t="s">
        <v>28</v>
      </c>
      <c r="P997" t="s">
        <v>21</v>
      </c>
      <c r="Q997" t="s">
        <v>37</v>
      </c>
      <c r="R997">
        <v>0.37</v>
      </c>
      <c r="S997" s="1">
        <v>40151</v>
      </c>
      <c r="T997" t="str">
        <f t="shared" si="31"/>
        <v>04-Dec-2009</v>
      </c>
    </row>
    <row r="998" spans="1:20" x14ac:dyDescent="0.3">
      <c r="A998">
        <v>25157</v>
      </c>
      <c r="B998" s="1">
        <v>40323</v>
      </c>
      <c r="C998" t="s">
        <v>31</v>
      </c>
      <c r="D998" t="str">
        <f t="shared" si="30"/>
        <v>25-May-2010</v>
      </c>
      <c r="E998">
        <v>47</v>
      </c>
      <c r="F998" s="13">
        <v>271.77999999999997</v>
      </c>
      <c r="G998">
        <v>7.0000000000000007E-2</v>
      </c>
      <c r="H998" t="s">
        <v>19</v>
      </c>
      <c r="I998" s="13">
        <v>52.74</v>
      </c>
      <c r="J998">
        <v>5.84</v>
      </c>
      <c r="K998">
        <v>1.2</v>
      </c>
      <c r="L998" t="s">
        <v>244</v>
      </c>
      <c r="M998" t="s">
        <v>161</v>
      </c>
      <c r="N998" s="5" t="s">
        <v>161</v>
      </c>
      <c r="O998" t="s">
        <v>28</v>
      </c>
      <c r="P998" t="s">
        <v>21</v>
      </c>
      <c r="Q998" t="s">
        <v>50</v>
      </c>
      <c r="R998">
        <v>0.55000000000000004</v>
      </c>
      <c r="S998" s="1">
        <v>40324</v>
      </c>
      <c r="T998" t="str">
        <f t="shared" si="31"/>
        <v>26-May-2010</v>
      </c>
    </row>
    <row r="999" spans="1:20" x14ac:dyDescent="0.3">
      <c r="A999">
        <v>21091</v>
      </c>
      <c r="B999" s="1">
        <v>40159</v>
      </c>
      <c r="C999" t="s">
        <v>23</v>
      </c>
      <c r="D999" t="str">
        <f t="shared" si="30"/>
        <v>12-Dec-2009</v>
      </c>
      <c r="E999">
        <v>32</v>
      </c>
      <c r="F999" s="13">
        <v>270.73</v>
      </c>
      <c r="G999">
        <v>0.1</v>
      </c>
      <c r="H999" t="s">
        <v>35</v>
      </c>
      <c r="I999" s="13">
        <v>-54.57</v>
      </c>
      <c r="J999">
        <v>8.8800000000000008</v>
      </c>
      <c r="K999">
        <v>6.28</v>
      </c>
      <c r="L999" t="s">
        <v>169</v>
      </c>
      <c r="M999" t="s">
        <v>161</v>
      </c>
      <c r="N999" s="5" t="s">
        <v>161</v>
      </c>
      <c r="O999" t="s">
        <v>28</v>
      </c>
      <c r="P999" t="s">
        <v>21</v>
      </c>
      <c r="Q999" t="s">
        <v>26</v>
      </c>
      <c r="R999">
        <v>0.35</v>
      </c>
      <c r="S999" s="1">
        <v>40161</v>
      </c>
      <c r="T999" t="str">
        <f t="shared" si="31"/>
        <v>14-Dec-2009</v>
      </c>
    </row>
    <row r="1000" spans="1:20" x14ac:dyDescent="0.3">
      <c r="A1000">
        <v>26691</v>
      </c>
      <c r="B1000" s="1">
        <v>41124</v>
      </c>
      <c r="C1000" t="s">
        <v>31</v>
      </c>
      <c r="D1000" t="str">
        <f t="shared" si="30"/>
        <v>03-Aug-2012</v>
      </c>
      <c r="E1000">
        <v>37</v>
      </c>
      <c r="F1000" s="13">
        <v>270.43</v>
      </c>
      <c r="G1000">
        <v>7.0000000000000007E-2</v>
      </c>
      <c r="H1000" t="s">
        <v>19</v>
      </c>
      <c r="I1000" s="13">
        <v>-83.16</v>
      </c>
      <c r="J1000">
        <v>7.68</v>
      </c>
      <c r="K1000">
        <v>6.16</v>
      </c>
      <c r="L1000" t="s">
        <v>154</v>
      </c>
      <c r="M1000" t="s">
        <v>161</v>
      </c>
      <c r="N1000" s="5" t="s">
        <v>161</v>
      </c>
      <c r="O1000" t="s">
        <v>28</v>
      </c>
      <c r="P1000" t="s">
        <v>21</v>
      </c>
      <c r="Q1000" t="s">
        <v>26</v>
      </c>
      <c r="R1000">
        <v>0.35</v>
      </c>
      <c r="S1000" s="1">
        <v>41125</v>
      </c>
      <c r="T1000" t="str">
        <f t="shared" si="31"/>
        <v>04-Aug-2012</v>
      </c>
    </row>
    <row r="1001" spans="1:20" x14ac:dyDescent="0.3">
      <c r="A1001">
        <v>14693</v>
      </c>
      <c r="B1001" s="1">
        <v>40552</v>
      </c>
      <c r="C1001" t="s">
        <v>43</v>
      </c>
      <c r="D1001" t="str">
        <f t="shared" si="30"/>
        <v>09-Jan-2011</v>
      </c>
      <c r="E1001">
        <v>39</v>
      </c>
      <c r="F1001" s="13">
        <v>268.94</v>
      </c>
      <c r="G1001">
        <v>0.02</v>
      </c>
      <c r="H1001" t="s">
        <v>19</v>
      </c>
      <c r="I1001" s="13">
        <v>-87.52</v>
      </c>
      <c r="J1001">
        <v>6.48</v>
      </c>
      <c r="K1001">
        <v>6.41</v>
      </c>
      <c r="L1001" t="s">
        <v>195</v>
      </c>
      <c r="M1001" t="s">
        <v>161</v>
      </c>
      <c r="N1001" s="5" t="s">
        <v>161</v>
      </c>
      <c r="O1001" t="s">
        <v>28</v>
      </c>
      <c r="P1001" t="s">
        <v>21</v>
      </c>
      <c r="Q1001" t="s">
        <v>37</v>
      </c>
      <c r="R1001">
        <v>0.37</v>
      </c>
      <c r="S1001" s="1">
        <v>40554</v>
      </c>
      <c r="T1001" t="str">
        <f t="shared" si="31"/>
        <v>11-Jan-2011</v>
      </c>
    </row>
    <row r="1002" spans="1:20" x14ac:dyDescent="0.3">
      <c r="A1002">
        <v>33510</v>
      </c>
      <c r="B1002" s="1">
        <v>40879</v>
      </c>
      <c r="C1002" t="s">
        <v>23</v>
      </c>
      <c r="D1002" t="str">
        <f t="shared" si="30"/>
        <v>02-Dec-2011</v>
      </c>
      <c r="E1002">
        <v>42</v>
      </c>
      <c r="F1002" s="13">
        <v>267.06</v>
      </c>
      <c r="G1002">
        <v>0.03</v>
      </c>
      <c r="H1002" t="s">
        <v>19</v>
      </c>
      <c r="I1002" s="13">
        <v>-96.95</v>
      </c>
      <c r="J1002">
        <v>6.24</v>
      </c>
      <c r="K1002">
        <v>5.22</v>
      </c>
      <c r="L1002" t="s">
        <v>298</v>
      </c>
      <c r="M1002" t="s">
        <v>161</v>
      </c>
      <c r="N1002" s="5" t="s">
        <v>161</v>
      </c>
      <c r="O1002" t="s">
        <v>28</v>
      </c>
      <c r="P1002" t="s">
        <v>32</v>
      </c>
      <c r="Q1002" t="s">
        <v>33</v>
      </c>
      <c r="R1002">
        <v>0.6</v>
      </c>
      <c r="S1002" s="1">
        <v>40880</v>
      </c>
      <c r="T1002" t="str">
        <f t="shared" si="31"/>
        <v>03-Dec-2011</v>
      </c>
    </row>
    <row r="1003" spans="1:20" x14ac:dyDescent="0.3">
      <c r="A1003">
        <v>42242</v>
      </c>
      <c r="B1003" s="1">
        <v>39904</v>
      </c>
      <c r="C1003" t="s">
        <v>31</v>
      </c>
      <c r="D1003" t="str">
        <f t="shared" si="30"/>
        <v>01-Apr-2009</v>
      </c>
      <c r="E1003">
        <v>23</v>
      </c>
      <c r="F1003" s="13">
        <v>265.31</v>
      </c>
      <c r="G1003">
        <v>0.09</v>
      </c>
      <c r="H1003" t="s">
        <v>35</v>
      </c>
      <c r="I1003" s="13">
        <v>-33.19</v>
      </c>
      <c r="J1003">
        <v>11.5</v>
      </c>
      <c r="K1003">
        <v>7.19</v>
      </c>
      <c r="L1003" t="s">
        <v>212</v>
      </c>
      <c r="M1003" t="s">
        <v>161</v>
      </c>
      <c r="N1003" s="5" t="s">
        <v>161</v>
      </c>
      <c r="O1003" t="s">
        <v>28</v>
      </c>
      <c r="P1003" t="s">
        <v>21</v>
      </c>
      <c r="Q1003" t="s">
        <v>26</v>
      </c>
      <c r="R1003">
        <v>0.4</v>
      </c>
      <c r="S1003" s="1">
        <v>39905</v>
      </c>
      <c r="T1003" t="str">
        <f t="shared" si="31"/>
        <v>02-Apr-2009</v>
      </c>
    </row>
    <row r="1004" spans="1:20" x14ac:dyDescent="0.3">
      <c r="A1004">
        <v>47168</v>
      </c>
      <c r="B1004" s="1">
        <v>39985</v>
      </c>
      <c r="C1004" t="s">
        <v>31</v>
      </c>
      <c r="D1004" t="str">
        <f t="shared" si="30"/>
        <v>21-Jun-2009</v>
      </c>
      <c r="E1004">
        <v>42</v>
      </c>
      <c r="F1004" s="13">
        <v>262.3</v>
      </c>
      <c r="G1004">
        <v>0.09</v>
      </c>
      <c r="H1004" t="s">
        <v>19</v>
      </c>
      <c r="I1004" s="13">
        <v>-255.2</v>
      </c>
      <c r="J1004">
        <v>6.48</v>
      </c>
      <c r="K1004">
        <v>9.68</v>
      </c>
      <c r="L1004" t="s">
        <v>178</v>
      </c>
      <c r="M1004" t="s">
        <v>161</v>
      </c>
      <c r="N1004" s="5" t="s">
        <v>161</v>
      </c>
      <c r="O1004" t="s">
        <v>28</v>
      </c>
      <c r="P1004" t="s">
        <v>21</v>
      </c>
      <c r="Q1004" t="s">
        <v>37</v>
      </c>
      <c r="R1004">
        <v>0.36</v>
      </c>
      <c r="S1004" s="1">
        <v>39986</v>
      </c>
      <c r="T1004" t="str">
        <f t="shared" si="31"/>
        <v>22-Jun-2009</v>
      </c>
    </row>
    <row r="1005" spans="1:20" x14ac:dyDescent="0.3">
      <c r="A1005">
        <v>32580</v>
      </c>
      <c r="B1005" s="1">
        <v>40801</v>
      </c>
      <c r="C1005" t="s">
        <v>23</v>
      </c>
      <c r="D1005" t="str">
        <f t="shared" si="30"/>
        <v>15-Sep-2011</v>
      </c>
      <c r="E1005">
        <v>38</v>
      </c>
      <c r="F1005" s="13">
        <v>261.38</v>
      </c>
      <c r="G1005">
        <v>0.05</v>
      </c>
      <c r="H1005" t="s">
        <v>19</v>
      </c>
      <c r="I1005" s="13">
        <v>-172.35</v>
      </c>
      <c r="J1005">
        <v>6.48</v>
      </c>
      <c r="K1005">
        <v>8.74</v>
      </c>
      <c r="L1005" t="s">
        <v>137</v>
      </c>
      <c r="M1005" t="s">
        <v>161</v>
      </c>
      <c r="N1005" s="5" t="s">
        <v>161</v>
      </c>
      <c r="O1005" t="s">
        <v>28</v>
      </c>
      <c r="P1005" t="s">
        <v>21</v>
      </c>
      <c r="Q1005" t="s">
        <v>37</v>
      </c>
      <c r="R1005">
        <v>0.36</v>
      </c>
      <c r="S1005" s="1">
        <v>40803</v>
      </c>
      <c r="T1005" t="str">
        <f t="shared" si="31"/>
        <v>17-Sep-2011</v>
      </c>
    </row>
    <row r="1006" spans="1:20" x14ac:dyDescent="0.3">
      <c r="A1006">
        <v>40800</v>
      </c>
      <c r="B1006" s="1">
        <v>40516</v>
      </c>
      <c r="C1006" t="s">
        <v>31</v>
      </c>
      <c r="D1006" t="str">
        <f t="shared" si="30"/>
        <v>04-Dec-2010</v>
      </c>
      <c r="E1006">
        <v>41</v>
      </c>
      <c r="F1006" s="13">
        <v>260.31</v>
      </c>
      <c r="G1006">
        <v>0.05</v>
      </c>
      <c r="H1006" t="s">
        <v>19</v>
      </c>
      <c r="I1006" s="13">
        <v>-175.26</v>
      </c>
      <c r="J1006">
        <v>6.48</v>
      </c>
      <c r="K1006">
        <v>7.91</v>
      </c>
      <c r="L1006" t="s">
        <v>99</v>
      </c>
      <c r="M1006" t="s">
        <v>161</v>
      </c>
      <c r="N1006" s="5" t="s">
        <v>161</v>
      </c>
      <c r="O1006" t="s">
        <v>28</v>
      </c>
      <c r="P1006" t="s">
        <v>21</v>
      </c>
      <c r="Q1006" t="s">
        <v>37</v>
      </c>
      <c r="R1006">
        <v>0.37</v>
      </c>
      <c r="S1006" s="1">
        <v>40516</v>
      </c>
      <c r="T1006" t="str">
        <f t="shared" si="31"/>
        <v>04-Dec-2010</v>
      </c>
    </row>
    <row r="1007" spans="1:20" x14ac:dyDescent="0.3">
      <c r="A1007">
        <v>3585</v>
      </c>
      <c r="B1007" s="1">
        <v>40139</v>
      </c>
      <c r="C1007" t="s">
        <v>23</v>
      </c>
      <c r="D1007" t="str">
        <f t="shared" si="30"/>
        <v>22-Nov-2009</v>
      </c>
      <c r="E1007">
        <v>27</v>
      </c>
      <c r="F1007" s="13">
        <v>259.72000000000003</v>
      </c>
      <c r="G1007">
        <v>7.0000000000000007E-2</v>
      </c>
      <c r="H1007" t="s">
        <v>19</v>
      </c>
      <c r="I1007" s="13">
        <v>78.05</v>
      </c>
      <c r="J1007">
        <v>10.06</v>
      </c>
      <c r="K1007">
        <v>2.06</v>
      </c>
      <c r="L1007" t="s">
        <v>190</v>
      </c>
      <c r="M1007" t="s">
        <v>161</v>
      </c>
      <c r="N1007" s="5" t="s">
        <v>161</v>
      </c>
      <c r="O1007" t="s">
        <v>28</v>
      </c>
      <c r="P1007" t="s">
        <v>21</v>
      </c>
      <c r="Q1007" t="s">
        <v>37</v>
      </c>
      <c r="R1007">
        <v>0.39</v>
      </c>
      <c r="S1007" s="1">
        <v>40139</v>
      </c>
      <c r="T1007" t="str">
        <f t="shared" si="31"/>
        <v>22-Nov-2009</v>
      </c>
    </row>
    <row r="1008" spans="1:20" x14ac:dyDescent="0.3">
      <c r="A1008">
        <v>7072</v>
      </c>
      <c r="B1008" s="1">
        <v>40943</v>
      </c>
      <c r="C1008" t="s">
        <v>43</v>
      </c>
      <c r="D1008" t="str">
        <f t="shared" si="30"/>
        <v>04-Feb-2012</v>
      </c>
      <c r="E1008">
        <v>29</v>
      </c>
      <c r="F1008" s="13">
        <v>258.61</v>
      </c>
      <c r="G1008">
        <v>7.0000000000000007E-2</v>
      </c>
      <c r="H1008" t="s">
        <v>19</v>
      </c>
      <c r="I1008" s="13">
        <v>-15.96</v>
      </c>
      <c r="J1008">
        <v>8.85</v>
      </c>
      <c r="K1008">
        <v>5.6</v>
      </c>
      <c r="L1008" t="s">
        <v>303</v>
      </c>
      <c r="M1008" t="s">
        <v>161</v>
      </c>
      <c r="N1008" s="5" t="s">
        <v>161</v>
      </c>
      <c r="O1008" t="s">
        <v>28</v>
      </c>
      <c r="P1008" t="s">
        <v>21</v>
      </c>
      <c r="Q1008" t="s">
        <v>26</v>
      </c>
      <c r="R1008">
        <v>0.36</v>
      </c>
      <c r="S1008" s="1">
        <v>40943</v>
      </c>
      <c r="T1008" t="str">
        <f t="shared" si="31"/>
        <v>04-Feb-2012</v>
      </c>
    </row>
    <row r="1009" spans="1:20" x14ac:dyDescent="0.3">
      <c r="A1009">
        <v>22181</v>
      </c>
      <c r="B1009" s="1">
        <v>40823</v>
      </c>
      <c r="C1009" t="s">
        <v>18</v>
      </c>
      <c r="D1009" t="str">
        <f t="shared" si="30"/>
        <v>07-Oct-2011</v>
      </c>
      <c r="E1009">
        <v>41</v>
      </c>
      <c r="F1009" s="13">
        <v>258.13</v>
      </c>
      <c r="G1009">
        <v>0.03</v>
      </c>
      <c r="H1009" t="s">
        <v>19</v>
      </c>
      <c r="I1009" s="13">
        <v>84.1</v>
      </c>
      <c r="J1009">
        <v>6.08</v>
      </c>
      <c r="K1009">
        <v>1.82</v>
      </c>
      <c r="L1009" t="s">
        <v>187</v>
      </c>
      <c r="M1009" t="s">
        <v>161</v>
      </c>
      <c r="N1009" s="5" t="s">
        <v>161</v>
      </c>
      <c r="O1009" t="s">
        <v>28</v>
      </c>
      <c r="P1009" t="s">
        <v>21</v>
      </c>
      <c r="Q1009" t="s">
        <v>39</v>
      </c>
      <c r="R1009">
        <v>0.35</v>
      </c>
      <c r="S1009" s="1">
        <v>40832</v>
      </c>
      <c r="T1009" t="str">
        <f t="shared" si="31"/>
        <v>16-Oct-2011</v>
      </c>
    </row>
    <row r="1010" spans="1:20" x14ac:dyDescent="0.3">
      <c r="A1010">
        <v>57447</v>
      </c>
      <c r="B1010" s="1">
        <v>40728</v>
      </c>
      <c r="C1010" t="s">
        <v>31</v>
      </c>
      <c r="D1010" t="str">
        <f t="shared" si="30"/>
        <v>04-Jul-2011</v>
      </c>
      <c r="E1010">
        <v>8</v>
      </c>
      <c r="F1010" s="13">
        <v>258.11</v>
      </c>
      <c r="G1010">
        <v>0.06</v>
      </c>
      <c r="H1010" t="s">
        <v>19</v>
      </c>
      <c r="I1010" s="13">
        <v>-113.6</v>
      </c>
      <c r="J1010">
        <v>30.98</v>
      </c>
      <c r="K1010">
        <v>6.5</v>
      </c>
      <c r="L1010" t="s">
        <v>52</v>
      </c>
      <c r="M1010" t="s">
        <v>161</v>
      </c>
      <c r="N1010" s="5" t="s">
        <v>161</v>
      </c>
      <c r="O1010" t="s">
        <v>28</v>
      </c>
      <c r="P1010" t="s">
        <v>29</v>
      </c>
      <c r="Q1010" t="s">
        <v>41</v>
      </c>
      <c r="R1010">
        <v>0.79</v>
      </c>
      <c r="S1010" s="1">
        <v>40731</v>
      </c>
      <c r="T1010" t="str">
        <f t="shared" si="31"/>
        <v>07-Jul-2011</v>
      </c>
    </row>
    <row r="1011" spans="1:20" x14ac:dyDescent="0.3">
      <c r="A1011">
        <v>29927</v>
      </c>
      <c r="B1011" s="1">
        <v>41220</v>
      </c>
      <c r="C1011" t="s">
        <v>23</v>
      </c>
      <c r="D1011" t="str">
        <f t="shared" si="30"/>
        <v>07-Nov-2012</v>
      </c>
      <c r="E1011">
        <v>19</v>
      </c>
      <c r="F1011" s="13">
        <v>257.97000000000003</v>
      </c>
      <c r="G1011">
        <v>0.03</v>
      </c>
      <c r="H1011" t="s">
        <v>19</v>
      </c>
      <c r="I1011" s="13">
        <v>33.18</v>
      </c>
      <c r="J1011">
        <v>12.95</v>
      </c>
      <c r="K1011">
        <v>4.9800000000000004</v>
      </c>
      <c r="L1011" t="s">
        <v>156</v>
      </c>
      <c r="M1011" t="s">
        <v>161</v>
      </c>
      <c r="N1011" s="5" t="s">
        <v>161</v>
      </c>
      <c r="O1011" t="s">
        <v>28</v>
      </c>
      <c r="P1011" t="s">
        <v>21</v>
      </c>
      <c r="Q1011" t="s">
        <v>26</v>
      </c>
      <c r="R1011">
        <v>0.4</v>
      </c>
      <c r="S1011" s="1">
        <v>41221</v>
      </c>
      <c r="T1011" t="str">
        <f t="shared" si="31"/>
        <v>08-Nov-2012</v>
      </c>
    </row>
    <row r="1012" spans="1:20" x14ac:dyDescent="0.3">
      <c r="A1012">
        <v>58051</v>
      </c>
      <c r="B1012" s="1">
        <v>40988</v>
      </c>
      <c r="C1012" t="s">
        <v>23</v>
      </c>
      <c r="D1012" t="str">
        <f t="shared" si="30"/>
        <v>20-Mar-2012</v>
      </c>
      <c r="E1012">
        <v>6</v>
      </c>
      <c r="F1012" s="13">
        <v>256.60000000000002</v>
      </c>
      <c r="G1012">
        <v>0</v>
      </c>
      <c r="H1012" t="s">
        <v>19</v>
      </c>
      <c r="I1012" s="13">
        <v>-106.76</v>
      </c>
      <c r="J1012">
        <v>39.979999999999997</v>
      </c>
      <c r="K1012">
        <v>7.12</v>
      </c>
      <c r="L1012" t="s">
        <v>174</v>
      </c>
      <c r="M1012" t="s">
        <v>161</v>
      </c>
      <c r="N1012" s="5" t="s">
        <v>161</v>
      </c>
      <c r="O1012" t="s">
        <v>28</v>
      </c>
      <c r="P1012" t="s">
        <v>29</v>
      </c>
      <c r="Q1012" t="s">
        <v>41</v>
      </c>
      <c r="R1012">
        <v>0.67</v>
      </c>
      <c r="S1012" s="1">
        <v>40990</v>
      </c>
      <c r="T1012" t="str">
        <f t="shared" si="31"/>
        <v>22-Mar-2012</v>
      </c>
    </row>
    <row r="1013" spans="1:20" x14ac:dyDescent="0.3">
      <c r="A1013">
        <v>38915</v>
      </c>
      <c r="B1013" s="1">
        <v>40073</v>
      </c>
      <c r="C1013" t="s">
        <v>38</v>
      </c>
      <c r="D1013" t="str">
        <f t="shared" si="30"/>
        <v>17-Sep-2009</v>
      </c>
      <c r="E1013">
        <v>34</v>
      </c>
      <c r="F1013" s="13">
        <v>253.6</v>
      </c>
      <c r="G1013">
        <v>7.0000000000000007E-2</v>
      </c>
      <c r="H1013" t="s">
        <v>19</v>
      </c>
      <c r="I1013" s="13">
        <v>24.39</v>
      </c>
      <c r="J1013">
        <v>7.59</v>
      </c>
      <c r="K1013">
        <v>4</v>
      </c>
      <c r="L1013" t="s">
        <v>299</v>
      </c>
      <c r="M1013" t="s">
        <v>161</v>
      </c>
      <c r="N1013" s="5" t="s">
        <v>161</v>
      </c>
      <c r="O1013" t="s">
        <v>28</v>
      </c>
      <c r="P1013" t="s">
        <v>32</v>
      </c>
      <c r="Q1013" t="s">
        <v>33</v>
      </c>
      <c r="R1013">
        <v>0.42</v>
      </c>
      <c r="S1013" s="1">
        <v>40075</v>
      </c>
      <c r="T1013" t="str">
        <f t="shared" si="31"/>
        <v>19-Sep-2009</v>
      </c>
    </row>
    <row r="1014" spans="1:20" x14ac:dyDescent="0.3">
      <c r="A1014">
        <v>59878</v>
      </c>
      <c r="B1014" s="1">
        <v>41057</v>
      </c>
      <c r="C1014" t="s">
        <v>23</v>
      </c>
      <c r="D1014" t="str">
        <f t="shared" si="30"/>
        <v>28-May-2012</v>
      </c>
      <c r="E1014">
        <v>23</v>
      </c>
      <c r="F1014" s="13">
        <v>249.64</v>
      </c>
      <c r="G1014">
        <v>0.08</v>
      </c>
      <c r="H1014" t="s">
        <v>19</v>
      </c>
      <c r="I1014" s="13">
        <v>-91.65</v>
      </c>
      <c r="J1014">
        <v>10.9</v>
      </c>
      <c r="K1014">
        <v>7.46</v>
      </c>
      <c r="L1014" t="s">
        <v>160</v>
      </c>
      <c r="M1014" t="s">
        <v>161</v>
      </c>
      <c r="N1014" s="5" t="s">
        <v>161</v>
      </c>
      <c r="O1014" t="s">
        <v>28</v>
      </c>
      <c r="P1014" t="s">
        <v>21</v>
      </c>
      <c r="Q1014" t="s">
        <v>22</v>
      </c>
      <c r="R1014">
        <v>0.59</v>
      </c>
      <c r="S1014" s="1">
        <v>41058</v>
      </c>
      <c r="T1014" t="str">
        <f t="shared" si="31"/>
        <v>29-May-2012</v>
      </c>
    </row>
    <row r="1015" spans="1:20" x14ac:dyDescent="0.3">
      <c r="A1015">
        <v>31046</v>
      </c>
      <c r="B1015" s="1">
        <v>40581</v>
      </c>
      <c r="C1015" t="s">
        <v>43</v>
      </c>
      <c r="D1015" t="str">
        <f t="shared" si="30"/>
        <v>07-Feb-2011</v>
      </c>
      <c r="E1015">
        <v>35</v>
      </c>
      <c r="F1015" s="13">
        <v>248.42</v>
      </c>
      <c r="G1015">
        <v>0.02</v>
      </c>
      <c r="H1015" t="s">
        <v>19</v>
      </c>
      <c r="I1015" s="13">
        <v>-58.81</v>
      </c>
      <c r="J1015">
        <v>6.84</v>
      </c>
      <c r="K1015">
        <v>4.42</v>
      </c>
      <c r="L1015" t="s">
        <v>182</v>
      </c>
      <c r="M1015" t="s">
        <v>161</v>
      </c>
      <c r="N1015" s="5" t="s">
        <v>161</v>
      </c>
      <c r="O1015" t="s">
        <v>28</v>
      </c>
      <c r="P1015" t="s">
        <v>21</v>
      </c>
      <c r="Q1015" t="s">
        <v>67</v>
      </c>
      <c r="R1015">
        <v>0.57999999999999996</v>
      </c>
      <c r="S1015" s="1">
        <v>40584</v>
      </c>
      <c r="T1015" t="str">
        <f t="shared" si="31"/>
        <v>10-Feb-2011</v>
      </c>
    </row>
    <row r="1016" spans="1:20" x14ac:dyDescent="0.3">
      <c r="A1016">
        <v>36643</v>
      </c>
      <c r="B1016" s="1">
        <v>39867</v>
      </c>
      <c r="C1016" t="s">
        <v>43</v>
      </c>
      <c r="D1016" t="str">
        <f t="shared" si="30"/>
        <v>23-Feb-2009</v>
      </c>
      <c r="E1016">
        <v>17</v>
      </c>
      <c r="F1016" s="13">
        <v>240.87</v>
      </c>
      <c r="G1016">
        <v>0.01</v>
      </c>
      <c r="H1016" t="s">
        <v>19</v>
      </c>
      <c r="I1016" s="13">
        <v>-36.770000000000003</v>
      </c>
      <c r="J1016">
        <v>13.79</v>
      </c>
      <c r="K1016">
        <v>8.7799999999999994</v>
      </c>
      <c r="L1016" t="s">
        <v>201</v>
      </c>
      <c r="M1016" t="s">
        <v>161</v>
      </c>
      <c r="N1016" s="5" t="s">
        <v>161</v>
      </c>
      <c r="O1016" t="s">
        <v>28</v>
      </c>
      <c r="P1016" t="s">
        <v>32</v>
      </c>
      <c r="Q1016" t="s">
        <v>33</v>
      </c>
      <c r="R1016">
        <v>0.43</v>
      </c>
      <c r="S1016" s="1">
        <v>39869</v>
      </c>
      <c r="T1016" t="str">
        <f t="shared" si="31"/>
        <v>25-Feb-2009</v>
      </c>
    </row>
    <row r="1017" spans="1:20" x14ac:dyDescent="0.3">
      <c r="A1017">
        <v>3136</v>
      </c>
      <c r="B1017" s="1">
        <v>40034</v>
      </c>
      <c r="C1017" t="s">
        <v>31</v>
      </c>
      <c r="D1017" t="str">
        <f t="shared" si="30"/>
        <v>09-Aug-2009</v>
      </c>
      <c r="E1017">
        <v>8</v>
      </c>
      <c r="F1017" s="13">
        <v>238.74</v>
      </c>
      <c r="G1017">
        <v>0.1</v>
      </c>
      <c r="H1017" t="s">
        <v>19</v>
      </c>
      <c r="I1017" s="13">
        <v>-38.89</v>
      </c>
      <c r="J1017">
        <v>30.98</v>
      </c>
      <c r="K1017">
        <v>8.99</v>
      </c>
      <c r="L1017" t="s">
        <v>180</v>
      </c>
      <c r="M1017" t="s">
        <v>161</v>
      </c>
      <c r="N1017" s="5" t="s">
        <v>161</v>
      </c>
      <c r="O1017" t="s">
        <v>28</v>
      </c>
      <c r="P1017" t="s">
        <v>21</v>
      </c>
      <c r="Q1017" t="s">
        <v>50</v>
      </c>
      <c r="R1017">
        <v>0.57999999999999996</v>
      </c>
      <c r="S1017" s="1">
        <v>40036</v>
      </c>
      <c r="T1017" t="str">
        <f t="shared" si="31"/>
        <v>11-Aug-2009</v>
      </c>
    </row>
    <row r="1018" spans="1:20" x14ac:dyDescent="0.3">
      <c r="A1018">
        <v>21573</v>
      </c>
      <c r="B1018" s="1">
        <v>41024</v>
      </c>
      <c r="C1018" t="s">
        <v>43</v>
      </c>
      <c r="D1018" t="str">
        <f t="shared" si="30"/>
        <v>25-Apr-2012</v>
      </c>
      <c r="E1018">
        <v>3</v>
      </c>
      <c r="F1018" s="13">
        <v>234.768</v>
      </c>
      <c r="G1018">
        <v>0.04</v>
      </c>
      <c r="H1018" t="s">
        <v>24</v>
      </c>
      <c r="I1018" s="13">
        <v>54.23</v>
      </c>
      <c r="J1018">
        <v>70.89</v>
      </c>
      <c r="K1018">
        <v>89.3</v>
      </c>
      <c r="L1018" t="s">
        <v>304</v>
      </c>
      <c r="M1018" t="s">
        <v>161</v>
      </c>
      <c r="N1018" s="5" t="s">
        <v>161</v>
      </c>
      <c r="O1018" t="s">
        <v>28</v>
      </c>
      <c r="P1018" t="s">
        <v>32</v>
      </c>
      <c r="Q1018" t="s">
        <v>46</v>
      </c>
      <c r="R1018">
        <v>0.69</v>
      </c>
      <c r="S1018" s="1">
        <v>41026</v>
      </c>
      <c r="T1018" t="str">
        <f t="shared" si="31"/>
        <v>27-Apr-2012</v>
      </c>
    </row>
    <row r="1019" spans="1:20" x14ac:dyDescent="0.3">
      <c r="A1019">
        <v>19204</v>
      </c>
      <c r="B1019" s="1">
        <v>40074</v>
      </c>
      <c r="C1019" t="s">
        <v>38</v>
      </c>
      <c r="D1019" t="str">
        <f t="shared" si="30"/>
        <v>18-Sep-2009</v>
      </c>
      <c r="E1019">
        <v>27</v>
      </c>
      <c r="F1019" s="13">
        <v>233.92</v>
      </c>
      <c r="G1019">
        <v>0.1</v>
      </c>
      <c r="H1019" t="s">
        <v>19</v>
      </c>
      <c r="I1019" s="13">
        <v>-80.75</v>
      </c>
      <c r="J1019">
        <v>8.75</v>
      </c>
      <c r="K1019">
        <v>8.5399999999999991</v>
      </c>
      <c r="L1019" t="s">
        <v>202</v>
      </c>
      <c r="M1019" t="s">
        <v>161</v>
      </c>
      <c r="N1019" s="5" t="s">
        <v>161</v>
      </c>
      <c r="O1019" t="s">
        <v>28</v>
      </c>
      <c r="P1019" t="s">
        <v>32</v>
      </c>
      <c r="Q1019" t="s">
        <v>33</v>
      </c>
      <c r="R1019">
        <v>0.43</v>
      </c>
      <c r="S1019" s="1">
        <v>40075</v>
      </c>
      <c r="T1019" t="str">
        <f t="shared" si="31"/>
        <v>19-Sep-2009</v>
      </c>
    </row>
    <row r="1020" spans="1:20" x14ac:dyDescent="0.3">
      <c r="A1020">
        <v>22373</v>
      </c>
      <c r="B1020" s="1">
        <v>40996</v>
      </c>
      <c r="C1020" t="s">
        <v>23</v>
      </c>
      <c r="D1020" t="str">
        <f t="shared" si="30"/>
        <v>28-Mar-2012</v>
      </c>
      <c r="E1020">
        <v>26</v>
      </c>
      <c r="F1020" s="13">
        <v>233.03</v>
      </c>
      <c r="G1020">
        <v>0.05</v>
      </c>
      <c r="H1020" t="s">
        <v>35</v>
      </c>
      <c r="I1020" s="13">
        <v>-86.34</v>
      </c>
      <c r="J1020">
        <v>8.74</v>
      </c>
      <c r="K1020">
        <v>8.2899999999999991</v>
      </c>
      <c r="L1020" t="s">
        <v>183</v>
      </c>
      <c r="M1020" t="s">
        <v>161</v>
      </c>
      <c r="N1020" s="5" t="s">
        <v>161</v>
      </c>
      <c r="O1020" t="s">
        <v>28</v>
      </c>
      <c r="P1020" t="s">
        <v>21</v>
      </c>
      <c r="Q1020" t="s">
        <v>42</v>
      </c>
      <c r="R1020">
        <v>0.38</v>
      </c>
      <c r="S1020" s="1">
        <v>40997</v>
      </c>
      <c r="T1020" t="str">
        <f t="shared" si="31"/>
        <v>29-Mar-2012</v>
      </c>
    </row>
    <row r="1021" spans="1:20" x14ac:dyDescent="0.3">
      <c r="A1021">
        <v>35142</v>
      </c>
      <c r="B1021" s="1">
        <v>40290</v>
      </c>
      <c r="C1021" t="s">
        <v>18</v>
      </c>
      <c r="D1021" t="str">
        <f t="shared" si="30"/>
        <v>22-Apr-2010</v>
      </c>
      <c r="E1021">
        <v>11</v>
      </c>
      <c r="F1021" s="13">
        <v>231.27</v>
      </c>
      <c r="G1021">
        <v>0.03</v>
      </c>
      <c r="H1021" t="s">
        <v>19</v>
      </c>
      <c r="I1021" s="13">
        <v>89.29</v>
      </c>
      <c r="J1021">
        <v>20.239999999999998</v>
      </c>
      <c r="K1021">
        <v>6.67</v>
      </c>
      <c r="L1021" t="s">
        <v>152</v>
      </c>
      <c r="M1021" t="s">
        <v>161</v>
      </c>
      <c r="N1021" s="5" t="s">
        <v>161</v>
      </c>
      <c r="O1021" t="s">
        <v>28</v>
      </c>
      <c r="P1021" t="s">
        <v>32</v>
      </c>
      <c r="Q1021" t="s">
        <v>33</v>
      </c>
      <c r="R1021">
        <v>0.49</v>
      </c>
      <c r="S1021" s="1">
        <v>40292</v>
      </c>
      <c r="T1021" t="str">
        <f t="shared" si="31"/>
        <v>24-Apr-2010</v>
      </c>
    </row>
    <row r="1022" spans="1:20" x14ac:dyDescent="0.3">
      <c r="A1022">
        <v>28642</v>
      </c>
      <c r="B1022" s="1">
        <v>40561</v>
      </c>
      <c r="C1022" t="s">
        <v>23</v>
      </c>
      <c r="D1022" t="str">
        <f t="shared" si="30"/>
        <v>18-Jan-2011</v>
      </c>
      <c r="E1022">
        <v>41</v>
      </c>
      <c r="F1022" s="13">
        <v>230.29</v>
      </c>
      <c r="G1022">
        <v>0</v>
      </c>
      <c r="H1022" t="s">
        <v>19</v>
      </c>
      <c r="I1022" s="13">
        <v>14.48</v>
      </c>
      <c r="J1022">
        <v>5.28</v>
      </c>
      <c r="K1022">
        <v>2.99</v>
      </c>
      <c r="L1022" t="s">
        <v>174</v>
      </c>
      <c r="M1022" t="s">
        <v>161</v>
      </c>
      <c r="N1022" s="5" t="s">
        <v>161</v>
      </c>
      <c r="O1022" t="s">
        <v>28</v>
      </c>
      <c r="P1022" t="s">
        <v>21</v>
      </c>
      <c r="Q1022" t="s">
        <v>26</v>
      </c>
      <c r="R1022">
        <v>0.37</v>
      </c>
      <c r="S1022" s="1">
        <v>40563</v>
      </c>
      <c r="T1022" t="str">
        <f t="shared" si="31"/>
        <v>20-Jan-2011</v>
      </c>
    </row>
    <row r="1023" spans="1:20" x14ac:dyDescent="0.3">
      <c r="A1023">
        <v>41474</v>
      </c>
      <c r="B1023" s="1">
        <v>39923</v>
      </c>
      <c r="C1023" t="s">
        <v>31</v>
      </c>
      <c r="D1023" t="str">
        <f t="shared" si="30"/>
        <v>20-Apr-2009</v>
      </c>
      <c r="E1023">
        <v>50</v>
      </c>
      <c r="F1023" s="13">
        <v>225.94</v>
      </c>
      <c r="G1023">
        <v>0.09</v>
      </c>
      <c r="H1023" t="s">
        <v>19</v>
      </c>
      <c r="I1023" s="13">
        <v>-89.13</v>
      </c>
      <c r="J1023">
        <v>4.7699999999999996</v>
      </c>
      <c r="K1023">
        <v>2.39</v>
      </c>
      <c r="L1023" t="s">
        <v>297</v>
      </c>
      <c r="M1023" t="s">
        <v>161</v>
      </c>
      <c r="N1023" s="5" t="s">
        <v>161</v>
      </c>
      <c r="O1023" t="s">
        <v>28</v>
      </c>
      <c r="P1023" t="s">
        <v>29</v>
      </c>
      <c r="Q1023" t="s">
        <v>41</v>
      </c>
      <c r="R1023">
        <v>0.72</v>
      </c>
      <c r="S1023" s="1">
        <v>39925</v>
      </c>
      <c r="T1023" t="str">
        <f t="shared" si="31"/>
        <v>22-Apr-2009</v>
      </c>
    </row>
    <row r="1024" spans="1:20" x14ac:dyDescent="0.3">
      <c r="A1024">
        <v>6438</v>
      </c>
      <c r="B1024" s="1">
        <v>40314</v>
      </c>
      <c r="C1024" t="s">
        <v>31</v>
      </c>
      <c r="D1024" t="str">
        <f t="shared" si="30"/>
        <v>16-May-2010</v>
      </c>
      <c r="E1024">
        <v>38</v>
      </c>
      <c r="F1024" s="13">
        <v>225.21</v>
      </c>
      <c r="G1024">
        <v>0.06</v>
      </c>
      <c r="H1024" t="s">
        <v>19</v>
      </c>
      <c r="I1024" s="13">
        <v>-66.16</v>
      </c>
      <c r="J1024">
        <v>5.98</v>
      </c>
      <c r="K1024">
        <v>5.2</v>
      </c>
      <c r="L1024" t="s">
        <v>191</v>
      </c>
      <c r="M1024" t="s">
        <v>161</v>
      </c>
      <c r="N1024" s="5" t="s">
        <v>161</v>
      </c>
      <c r="O1024" t="s">
        <v>28</v>
      </c>
      <c r="P1024" t="s">
        <v>21</v>
      </c>
      <c r="Q1024" t="s">
        <v>37</v>
      </c>
      <c r="R1024">
        <v>0.36</v>
      </c>
      <c r="S1024" s="1">
        <v>40315</v>
      </c>
      <c r="T1024" t="str">
        <f t="shared" si="31"/>
        <v>17-May-2010</v>
      </c>
    </row>
    <row r="1025" spans="1:20" x14ac:dyDescent="0.3">
      <c r="A1025">
        <v>52930</v>
      </c>
      <c r="B1025" s="1">
        <v>40855</v>
      </c>
      <c r="C1025" t="s">
        <v>18</v>
      </c>
      <c r="D1025" t="str">
        <f t="shared" si="30"/>
        <v>08-Nov-2011</v>
      </c>
      <c r="E1025">
        <v>39</v>
      </c>
      <c r="F1025" s="13">
        <v>225.17</v>
      </c>
      <c r="G1025">
        <v>0.1</v>
      </c>
      <c r="H1025" t="s">
        <v>19</v>
      </c>
      <c r="I1025" s="13">
        <v>-183.05</v>
      </c>
      <c r="J1025">
        <v>5.78</v>
      </c>
      <c r="K1025">
        <v>8.09</v>
      </c>
      <c r="L1025" t="s">
        <v>118</v>
      </c>
      <c r="M1025" t="s">
        <v>161</v>
      </c>
      <c r="N1025" s="5" t="s">
        <v>161</v>
      </c>
      <c r="O1025" t="s">
        <v>28</v>
      </c>
      <c r="P1025" t="s">
        <v>21</v>
      </c>
      <c r="Q1025" t="s">
        <v>37</v>
      </c>
      <c r="R1025">
        <v>0.36</v>
      </c>
      <c r="S1025" s="1">
        <v>40860</v>
      </c>
      <c r="T1025" t="str">
        <f t="shared" si="31"/>
        <v>13-Nov-2011</v>
      </c>
    </row>
    <row r="1026" spans="1:20" x14ac:dyDescent="0.3">
      <c r="A1026">
        <v>11173</v>
      </c>
      <c r="B1026" s="1">
        <v>40998</v>
      </c>
      <c r="C1026" t="s">
        <v>43</v>
      </c>
      <c r="D1026" t="str">
        <f t="shared" ref="D1026:D1089" si="32">TEXT(B1026, "dd-mmm-yyyy" )</f>
        <v>30-Mar-2012</v>
      </c>
      <c r="E1026">
        <v>37</v>
      </c>
      <c r="F1026" s="13">
        <v>221.66</v>
      </c>
      <c r="G1026">
        <v>0.08</v>
      </c>
      <c r="H1026" t="s">
        <v>19</v>
      </c>
      <c r="I1026" s="13">
        <v>-95.17</v>
      </c>
      <c r="J1026">
        <v>5.98</v>
      </c>
      <c r="K1026">
        <v>3.85</v>
      </c>
      <c r="L1026" t="s">
        <v>165</v>
      </c>
      <c r="M1026" t="s">
        <v>161</v>
      </c>
      <c r="N1026" s="5" t="s">
        <v>161</v>
      </c>
      <c r="O1026" t="s">
        <v>28</v>
      </c>
      <c r="P1026" t="s">
        <v>29</v>
      </c>
      <c r="Q1026" t="s">
        <v>41</v>
      </c>
      <c r="R1026">
        <v>0.68</v>
      </c>
      <c r="S1026" s="1">
        <v>41000</v>
      </c>
      <c r="T1026" t="str">
        <f t="shared" ref="T1026:T1089" si="33">TEXT(S1026, "dd-mmm-yyyy")</f>
        <v>01-Apr-2012</v>
      </c>
    </row>
    <row r="1027" spans="1:20" x14ac:dyDescent="0.3">
      <c r="A1027">
        <v>29383</v>
      </c>
      <c r="B1027" s="1">
        <v>40865</v>
      </c>
      <c r="C1027" t="s">
        <v>38</v>
      </c>
      <c r="D1027" t="str">
        <f t="shared" si="32"/>
        <v>18-Nov-2011</v>
      </c>
      <c r="E1027">
        <v>30</v>
      </c>
      <c r="F1027" s="13">
        <v>217.42</v>
      </c>
      <c r="G1027">
        <v>0.09</v>
      </c>
      <c r="H1027" t="s">
        <v>19</v>
      </c>
      <c r="I1027" s="13">
        <v>16.97</v>
      </c>
      <c r="J1027">
        <v>7.59</v>
      </c>
      <c r="K1027">
        <v>4</v>
      </c>
      <c r="L1027" t="s">
        <v>179</v>
      </c>
      <c r="M1027" t="s">
        <v>161</v>
      </c>
      <c r="N1027" s="5" t="s">
        <v>161</v>
      </c>
      <c r="O1027" t="s">
        <v>28</v>
      </c>
      <c r="P1027" t="s">
        <v>32</v>
      </c>
      <c r="Q1027" t="s">
        <v>33</v>
      </c>
      <c r="R1027">
        <v>0.42</v>
      </c>
      <c r="S1027" s="1">
        <v>40866</v>
      </c>
      <c r="T1027" t="str">
        <f t="shared" si="33"/>
        <v>19-Nov-2011</v>
      </c>
    </row>
    <row r="1028" spans="1:20" x14ac:dyDescent="0.3">
      <c r="A1028">
        <v>12261</v>
      </c>
      <c r="B1028" s="1">
        <v>40474</v>
      </c>
      <c r="C1028" t="s">
        <v>18</v>
      </c>
      <c r="D1028" t="str">
        <f t="shared" si="32"/>
        <v>23-Oct-2010</v>
      </c>
      <c r="E1028">
        <v>23</v>
      </c>
      <c r="F1028" s="13">
        <v>217.35</v>
      </c>
      <c r="G1028">
        <v>0</v>
      </c>
      <c r="H1028" t="s">
        <v>19</v>
      </c>
      <c r="I1028" s="13">
        <v>-67.19</v>
      </c>
      <c r="J1028">
        <v>8.74</v>
      </c>
      <c r="K1028">
        <v>8.2899999999999991</v>
      </c>
      <c r="L1028" t="s">
        <v>175</v>
      </c>
      <c r="M1028" t="s">
        <v>161</v>
      </c>
      <c r="N1028" s="5" t="s">
        <v>161</v>
      </c>
      <c r="O1028" t="s">
        <v>28</v>
      </c>
      <c r="P1028" t="s">
        <v>21</v>
      </c>
      <c r="Q1028" t="s">
        <v>42</v>
      </c>
      <c r="R1028">
        <v>0.38</v>
      </c>
      <c r="S1028" s="1">
        <v>40481</v>
      </c>
      <c r="T1028" t="str">
        <f t="shared" si="33"/>
        <v>30-Oct-2010</v>
      </c>
    </row>
    <row r="1029" spans="1:20" x14ac:dyDescent="0.3">
      <c r="A1029">
        <v>16103</v>
      </c>
      <c r="B1029" s="1">
        <v>41105</v>
      </c>
      <c r="C1029" t="s">
        <v>31</v>
      </c>
      <c r="D1029" t="str">
        <f t="shared" si="32"/>
        <v>15-Jul-2012</v>
      </c>
      <c r="E1029">
        <v>31</v>
      </c>
      <c r="F1029" s="13">
        <v>217.14</v>
      </c>
      <c r="G1029">
        <v>0</v>
      </c>
      <c r="H1029" t="s">
        <v>19</v>
      </c>
      <c r="I1029" s="13">
        <v>-62.97</v>
      </c>
      <c r="J1029">
        <v>6.48</v>
      </c>
      <c r="K1029">
        <v>6.22</v>
      </c>
      <c r="L1029" t="s">
        <v>215</v>
      </c>
      <c r="M1029" t="s">
        <v>161</v>
      </c>
      <c r="N1029" s="5" t="s">
        <v>161</v>
      </c>
      <c r="O1029" t="s">
        <v>28</v>
      </c>
      <c r="P1029" t="s">
        <v>21</v>
      </c>
      <c r="Q1029" t="s">
        <v>37</v>
      </c>
      <c r="R1029">
        <v>0.37</v>
      </c>
      <c r="S1029" s="1">
        <v>41107</v>
      </c>
      <c r="T1029" t="str">
        <f t="shared" si="33"/>
        <v>17-Jul-2012</v>
      </c>
    </row>
    <row r="1030" spans="1:20" x14ac:dyDescent="0.3">
      <c r="A1030">
        <v>22054</v>
      </c>
      <c r="B1030" s="1">
        <v>40388</v>
      </c>
      <c r="C1030" t="s">
        <v>38</v>
      </c>
      <c r="D1030" t="str">
        <f t="shared" si="32"/>
        <v>29-Jul-2010</v>
      </c>
      <c r="E1030">
        <v>32</v>
      </c>
      <c r="F1030" s="13">
        <v>216.79</v>
      </c>
      <c r="G1030">
        <v>7.0000000000000007E-2</v>
      </c>
      <c r="H1030" t="s">
        <v>19</v>
      </c>
      <c r="I1030" s="13">
        <v>57.55</v>
      </c>
      <c r="J1030">
        <v>6.98</v>
      </c>
      <c r="K1030">
        <v>2.83</v>
      </c>
      <c r="L1030" t="s">
        <v>183</v>
      </c>
      <c r="M1030" t="s">
        <v>161</v>
      </c>
      <c r="N1030" s="5" t="s">
        <v>161</v>
      </c>
      <c r="O1030" t="s">
        <v>28</v>
      </c>
      <c r="P1030" t="s">
        <v>32</v>
      </c>
      <c r="Q1030" t="s">
        <v>33</v>
      </c>
      <c r="R1030">
        <v>0.37</v>
      </c>
      <c r="S1030" s="1">
        <v>40390</v>
      </c>
      <c r="T1030" t="str">
        <f t="shared" si="33"/>
        <v>31-Jul-2010</v>
      </c>
    </row>
    <row r="1031" spans="1:20" x14ac:dyDescent="0.3">
      <c r="A1031">
        <v>29862</v>
      </c>
      <c r="B1031" s="1">
        <v>40713</v>
      </c>
      <c r="C1031" t="s">
        <v>38</v>
      </c>
      <c r="D1031" t="str">
        <f t="shared" si="32"/>
        <v>19-Jun-2011</v>
      </c>
      <c r="E1031">
        <v>34</v>
      </c>
      <c r="F1031" s="13">
        <v>214.64</v>
      </c>
      <c r="G1031">
        <v>0.08</v>
      </c>
      <c r="H1031" t="s">
        <v>19</v>
      </c>
      <c r="I1031" s="13">
        <v>-76.88</v>
      </c>
      <c r="J1031">
        <v>6.48</v>
      </c>
      <c r="K1031">
        <v>5.86</v>
      </c>
      <c r="L1031" t="s">
        <v>215</v>
      </c>
      <c r="M1031" t="s">
        <v>161</v>
      </c>
      <c r="N1031" s="5" t="s">
        <v>161</v>
      </c>
      <c r="O1031" t="s">
        <v>28</v>
      </c>
      <c r="P1031" t="s">
        <v>21</v>
      </c>
      <c r="Q1031" t="s">
        <v>37</v>
      </c>
      <c r="R1031">
        <v>0.36</v>
      </c>
      <c r="S1031" s="1">
        <v>40715</v>
      </c>
      <c r="T1031" t="str">
        <f t="shared" si="33"/>
        <v>21-Jun-2011</v>
      </c>
    </row>
    <row r="1032" spans="1:20" x14ac:dyDescent="0.3">
      <c r="A1032">
        <v>36807</v>
      </c>
      <c r="B1032" s="1">
        <v>39888</v>
      </c>
      <c r="C1032" t="s">
        <v>38</v>
      </c>
      <c r="D1032" t="str">
        <f t="shared" si="32"/>
        <v>16-Mar-2009</v>
      </c>
      <c r="E1032">
        <v>14</v>
      </c>
      <c r="F1032" s="13">
        <v>211.88</v>
      </c>
      <c r="G1032">
        <v>0.1</v>
      </c>
      <c r="H1032" t="s">
        <v>19</v>
      </c>
      <c r="I1032" s="13">
        <v>78.45</v>
      </c>
      <c r="J1032">
        <v>15.57</v>
      </c>
      <c r="K1032">
        <v>1.39</v>
      </c>
      <c r="L1032" t="s">
        <v>177</v>
      </c>
      <c r="M1032" t="s">
        <v>161</v>
      </c>
      <c r="N1032" s="5" t="s">
        <v>161</v>
      </c>
      <c r="O1032" t="s">
        <v>28</v>
      </c>
      <c r="P1032" t="s">
        <v>21</v>
      </c>
      <c r="Q1032" t="s">
        <v>42</v>
      </c>
      <c r="R1032">
        <v>0.38</v>
      </c>
      <c r="S1032" s="1">
        <v>39889</v>
      </c>
      <c r="T1032" t="str">
        <f t="shared" si="33"/>
        <v>17-Mar-2009</v>
      </c>
    </row>
    <row r="1033" spans="1:20" x14ac:dyDescent="0.3">
      <c r="A1033">
        <v>12897</v>
      </c>
      <c r="B1033" s="1">
        <v>40742</v>
      </c>
      <c r="C1033" t="s">
        <v>31</v>
      </c>
      <c r="D1033" t="str">
        <f t="shared" si="32"/>
        <v>18-Jul-2011</v>
      </c>
      <c r="E1033">
        <v>31</v>
      </c>
      <c r="F1033" s="13">
        <v>211.55</v>
      </c>
      <c r="G1033">
        <v>0.05</v>
      </c>
      <c r="H1033" t="s">
        <v>35</v>
      </c>
      <c r="I1033" s="13">
        <v>-120.95</v>
      </c>
      <c r="J1033">
        <v>6.48</v>
      </c>
      <c r="K1033">
        <v>7.91</v>
      </c>
      <c r="L1033" t="s">
        <v>189</v>
      </c>
      <c r="M1033" t="s">
        <v>161</v>
      </c>
      <c r="N1033" s="5" t="s">
        <v>161</v>
      </c>
      <c r="O1033" t="s">
        <v>28</v>
      </c>
      <c r="P1033" t="s">
        <v>21</v>
      </c>
      <c r="Q1033" t="s">
        <v>37</v>
      </c>
      <c r="R1033">
        <v>0.37</v>
      </c>
      <c r="S1033" s="1">
        <v>40743</v>
      </c>
      <c r="T1033" t="str">
        <f t="shared" si="33"/>
        <v>19-Jul-2011</v>
      </c>
    </row>
    <row r="1034" spans="1:20" x14ac:dyDescent="0.3">
      <c r="A1034">
        <v>36418</v>
      </c>
      <c r="B1034" s="1">
        <v>40935</v>
      </c>
      <c r="C1034" t="s">
        <v>31</v>
      </c>
      <c r="D1034" t="str">
        <f t="shared" si="32"/>
        <v>27-Jan-2012</v>
      </c>
      <c r="E1034">
        <v>33</v>
      </c>
      <c r="F1034" s="13">
        <v>207.92</v>
      </c>
      <c r="G1034">
        <v>0.08</v>
      </c>
      <c r="H1034" t="s">
        <v>35</v>
      </c>
      <c r="I1034" s="13">
        <v>-124.84</v>
      </c>
      <c r="J1034">
        <v>6.23</v>
      </c>
      <c r="K1034">
        <v>6.97</v>
      </c>
      <c r="L1034" t="s">
        <v>295</v>
      </c>
      <c r="M1034" t="s">
        <v>161</v>
      </c>
      <c r="N1034" s="5" t="s">
        <v>161</v>
      </c>
      <c r="O1034" t="s">
        <v>28</v>
      </c>
      <c r="P1034" t="s">
        <v>21</v>
      </c>
      <c r="Q1034" t="s">
        <v>26</v>
      </c>
      <c r="R1034">
        <v>0.36</v>
      </c>
      <c r="S1034" s="1">
        <v>40936</v>
      </c>
      <c r="T1034" t="str">
        <f t="shared" si="33"/>
        <v>28-Jan-2012</v>
      </c>
    </row>
    <row r="1035" spans="1:20" x14ac:dyDescent="0.3">
      <c r="A1035">
        <v>15078</v>
      </c>
      <c r="B1035" s="1">
        <v>40491</v>
      </c>
      <c r="C1035" t="s">
        <v>23</v>
      </c>
      <c r="D1035" t="str">
        <f t="shared" si="32"/>
        <v>09-Nov-2010</v>
      </c>
      <c r="E1035">
        <v>33</v>
      </c>
      <c r="F1035" s="13">
        <v>207.01</v>
      </c>
      <c r="G1035">
        <v>0.01</v>
      </c>
      <c r="H1035" t="s">
        <v>19</v>
      </c>
      <c r="I1035" s="13">
        <v>-36.9</v>
      </c>
      <c r="J1035">
        <v>5.78</v>
      </c>
      <c r="K1035">
        <v>4.96</v>
      </c>
      <c r="L1035" t="s">
        <v>278</v>
      </c>
      <c r="M1035" t="s">
        <v>161</v>
      </c>
      <c r="N1035" s="5" t="s">
        <v>161</v>
      </c>
      <c r="O1035" t="s">
        <v>28</v>
      </c>
      <c r="P1035" t="s">
        <v>21</v>
      </c>
      <c r="Q1035" t="s">
        <v>37</v>
      </c>
      <c r="R1035">
        <v>0.36</v>
      </c>
      <c r="S1035" s="1">
        <v>40492</v>
      </c>
      <c r="T1035" t="str">
        <f t="shared" si="33"/>
        <v>10-Nov-2010</v>
      </c>
    </row>
    <row r="1036" spans="1:20" x14ac:dyDescent="0.3">
      <c r="A1036">
        <v>37828</v>
      </c>
      <c r="B1036" s="1">
        <v>40653</v>
      </c>
      <c r="C1036" t="s">
        <v>18</v>
      </c>
      <c r="D1036" t="str">
        <f t="shared" si="32"/>
        <v>20-Apr-2011</v>
      </c>
      <c r="E1036">
        <v>42</v>
      </c>
      <c r="F1036" s="13">
        <v>206.2</v>
      </c>
      <c r="G1036">
        <v>0.01</v>
      </c>
      <c r="H1036" t="s">
        <v>19</v>
      </c>
      <c r="I1036" s="13">
        <v>101.14</v>
      </c>
      <c r="J1036">
        <v>4.91</v>
      </c>
      <c r="K1036">
        <v>0.5</v>
      </c>
      <c r="L1036" t="s">
        <v>204</v>
      </c>
      <c r="M1036" t="s">
        <v>161</v>
      </c>
      <c r="N1036" s="5" t="s">
        <v>161</v>
      </c>
      <c r="O1036" t="s">
        <v>28</v>
      </c>
      <c r="P1036" t="s">
        <v>21</v>
      </c>
      <c r="Q1036" t="s">
        <v>48</v>
      </c>
      <c r="R1036">
        <v>0.36</v>
      </c>
      <c r="S1036" s="1">
        <v>40655</v>
      </c>
      <c r="T1036" t="str">
        <f t="shared" si="33"/>
        <v>22-Apr-2011</v>
      </c>
    </row>
    <row r="1037" spans="1:20" x14ac:dyDescent="0.3">
      <c r="A1037">
        <v>34918</v>
      </c>
      <c r="B1037" s="1">
        <v>40109</v>
      </c>
      <c r="C1037" t="s">
        <v>38</v>
      </c>
      <c r="D1037" t="str">
        <f t="shared" si="32"/>
        <v>23-Oct-2009</v>
      </c>
      <c r="E1037">
        <v>25</v>
      </c>
      <c r="F1037" s="13">
        <v>200.77</v>
      </c>
      <c r="G1037">
        <v>0.01</v>
      </c>
      <c r="H1037" t="s">
        <v>19</v>
      </c>
      <c r="I1037" s="13">
        <v>-60.61</v>
      </c>
      <c r="J1037">
        <v>7.28</v>
      </c>
      <c r="K1037">
        <v>7.98</v>
      </c>
      <c r="L1037" t="s">
        <v>207</v>
      </c>
      <c r="M1037" t="s">
        <v>161</v>
      </c>
      <c r="N1037" s="5" t="s">
        <v>161</v>
      </c>
      <c r="O1037" t="s">
        <v>28</v>
      </c>
      <c r="P1037" t="s">
        <v>32</v>
      </c>
      <c r="Q1037" t="s">
        <v>33</v>
      </c>
      <c r="R1037">
        <v>0.42</v>
      </c>
      <c r="S1037" s="1">
        <v>40111</v>
      </c>
      <c r="T1037" t="str">
        <f t="shared" si="33"/>
        <v>25-Oct-2009</v>
      </c>
    </row>
    <row r="1038" spans="1:20" x14ac:dyDescent="0.3">
      <c r="A1038">
        <v>9478</v>
      </c>
      <c r="B1038" s="1">
        <v>39900</v>
      </c>
      <c r="C1038" t="s">
        <v>23</v>
      </c>
      <c r="D1038" t="str">
        <f t="shared" si="32"/>
        <v>28-Mar-2009</v>
      </c>
      <c r="E1038">
        <v>48</v>
      </c>
      <c r="F1038" s="13">
        <v>199.46</v>
      </c>
      <c r="G1038">
        <v>0.08</v>
      </c>
      <c r="H1038" t="s">
        <v>19</v>
      </c>
      <c r="I1038" s="13">
        <v>-121.2</v>
      </c>
      <c r="J1038">
        <v>4.28</v>
      </c>
      <c r="K1038">
        <v>4.79</v>
      </c>
      <c r="L1038" t="s">
        <v>98</v>
      </c>
      <c r="M1038" t="s">
        <v>161</v>
      </c>
      <c r="N1038" s="5" t="s">
        <v>161</v>
      </c>
      <c r="O1038" t="s">
        <v>28</v>
      </c>
      <c r="P1038" t="s">
        <v>21</v>
      </c>
      <c r="Q1038" t="s">
        <v>37</v>
      </c>
      <c r="R1038">
        <v>0.4</v>
      </c>
      <c r="S1038" s="1">
        <v>39902</v>
      </c>
      <c r="T1038" t="str">
        <f t="shared" si="33"/>
        <v>30-Mar-2009</v>
      </c>
    </row>
    <row r="1039" spans="1:20" x14ac:dyDescent="0.3">
      <c r="A1039">
        <v>14596</v>
      </c>
      <c r="B1039" s="1">
        <v>39823</v>
      </c>
      <c r="C1039" t="s">
        <v>43</v>
      </c>
      <c r="D1039" t="str">
        <f t="shared" si="32"/>
        <v>10-Jan-2009</v>
      </c>
      <c r="E1039">
        <v>24</v>
      </c>
      <c r="F1039" s="13">
        <v>199.12</v>
      </c>
      <c r="G1039">
        <v>0.01</v>
      </c>
      <c r="H1039" t="s">
        <v>19</v>
      </c>
      <c r="I1039" s="13">
        <v>73.33</v>
      </c>
      <c r="J1039">
        <v>8.34</v>
      </c>
      <c r="K1039">
        <v>0.96</v>
      </c>
      <c r="L1039" t="s">
        <v>195</v>
      </c>
      <c r="M1039" t="s">
        <v>161</v>
      </c>
      <c r="N1039" s="5" t="s">
        <v>161</v>
      </c>
      <c r="O1039" t="s">
        <v>28</v>
      </c>
      <c r="P1039" t="s">
        <v>32</v>
      </c>
      <c r="Q1039" t="s">
        <v>33</v>
      </c>
      <c r="R1039">
        <v>0.43</v>
      </c>
      <c r="S1039" s="1">
        <v>39825</v>
      </c>
      <c r="T1039" t="str">
        <f t="shared" si="33"/>
        <v>12-Jan-2009</v>
      </c>
    </row>
    <row r="1040" spans="1:20" x14ac:dyDescent="0.3">
      <c r="A1040">
        <v>22849</v>
      </c>
      <c r="B1040" s="1">
        <v>40588</v>
      </c>
      <c r="C1040" t="s">
        <v>31</v>
      </c>
      <c r="D1040" t="str">
        <f t="shared" si="32"/>
        <v>14-Feb-2011</v>
      </c>
      <c r="E1040">
        <v>27</v>
      </c>
      <c r="F1040" s="13">
        <v>198.13</v>
      </c>
      <c r="G1040">
        <v>0.01</v>
      </c>
      <c r="H1040" t="s">
        <v>19</v>
      </c>
      <c r="I1040" s="13">
        <v>-219.92</v>
      </c>
      <c r="J1040">
        <v>6.98</v>
      </c>
      <c r="K1040">
        <v>9.69</v>
      </c>
      <c r="L1040" t="s">
        <v>182</v>
      </c>
      <c r="M1040" t="s">
        <v>161</v>
      </c>
      <c r="N1040" s="5" t="s">
        <v>161</v>
      </c>
      <c r="O1040" t="s">
        <v>28</v>
      </c>
      <c r="P1040" t="s">
        <v>21</v>
      </c>
      <c r="Q1040" t="s">
        <v>22</v>
      </c>
      <c r="R1040">
        <v>0.83</v>
      </c>
      <c r="S1040" s="1">
        <v>40590</v>
      </c>
      <c r="T1040" t="str">
        <f t="shared" si="33"/>
        <v>16-Feb-2011</v>
      </c>
    </row>
    <row r="1041" spans="1:20" x14ac:dyDescent="0.3">
      <c r="A1041">
        <v>39265</v>
      </c>
      <c r="B1041" s="1">
        <v>40305</v>
      </c>
      <c r="C1041" t="s">
        <v>43</v>
      </c>
      <c r="D1041" t="str">
        <f t="shared" si="32"/>
        <v>07-May-2010</v>
      </c>
      <c r="E1041">
        <v>47</v>
      </c>
      <c r="F1041" s="13">
        <v>198.08</v>
      </c>
      <c r="G1041">
        <v>0.02</v>
      </c>
      <c r="H1041" t="s">
        <v>19</v>
      </c>
      <c r="I1041" s="13">
        <v>32.69</v>
      </c>
      <c r="J1041">
        <v>4.28</v>
      </c>
      <c r="K1041">
        <v>0.94</v>
      </c>
      <c r="L1041" t="s">
        <v>164</v>
      </c>
      <c r="M1041" t="s">
        <v>161</v>
      </c>
      <c r="N1041" s="5" t="s">
        <v>161</v>
      </c>
      <c r="O1041" t="s">
        <v>28</v>
      </c>
      <c r="P1041" t="s">
        <v>21</v>
      </c>
      <c r="Q1041" t="s">
        <v>50</v>
      </c>
      <c r="R1041">
        <v>0.56000000000000005</v>
      </c>
      <c r="S1041" s="1">
        <v>40306</v>
      </c>
      <c r="T1041" t="str">
        <f t="shared" si="33"/>
        <v>08-May-2010</v>
      </c>
    </row>
    <row r="1042" spans="1:20" x14ac:dyDescent="0.3">
      <c r="A1042">
        <v>53152</v>
      </c>
      <c r="B1042" s="1">
        <v>39877</v>
      </c>
      <c r="C1042" t="s">
        <v>38</v>
      </c>
      <c r="D1042" t="str">
        <f t="shared" si="32"/>
        <v>05-Mar-2009</v>
      </c>
      <c r="E1042">
        <v>9</v>
      </c>
      <c r="F1042" s="13">
        <v>196.41</v>
      </c>
      <c r="G1042">
        <v>0.01</v>
      </c>
      <c r="H1042" t="s">
        <v>19</v>
      </c>
      <c r="I1042" s="13">
        <v>27.91</v>
      </c>
      <c r="J1042">
        <v>19.989999999999998</v>
      </c>
      <c r="K1042">
        <v>11.17</v>
      </c>
      <c r="L1042" t="s">
        <v>133</v>
      </c>
      <c r="M1042" t="s">
        <v>161</v>
      </c>
      <c r="N1042" s="5" t="s">
        <v>161</v>
      </c>
      <c r="O1042" t="s">
        <v>28</v>
      </c>
      <c r="P1042" t="s">
        <v>32</v>
      </c>
      <c r="Q1042" t="s">
        <v>33</v>
      </c>
      <c r="R1042">
        <v>0.6</v>
      </c>
      <c r="S1042" s="1">
        <v>39880</v>
      </c>
      <c r="T1042" t="str">
        <f t="shared" si="33"/>
        <v>08-Mar-2009</v>
      </c>
    </row>
    <row r="1043" spans="1:20" x14ac:dyDescent="0.3">
      <c r="A1043">
        <v>25152</v>
      </c>
      <c r="B1043" s="1">
        <v>41197</v>
      </c>
      <c r="C1043" t="s">
        <v>43</v>
      </c>
      <c r="D1043" t="str">
        <f t="shared" si="32"/>
        <v>15-Oct-2012</v>
      </c>
      <c r="E1043">
        <v>29</v>
      </c>
      <c r="F1043" s="13">
        <v>195.21</v>
      </c>
      <c r="G1043">
        <v>7.0000000000000007E-2</v>
      </c>
      <c r="H1043" t="s">
        <v>19</v>
      </c>
      <c r="I1043" s="13">
        <v>16.399999999999999</v>
      </c>
      <c r="J1043">
        <v>7.08</v>
      </c>
      <c r="K1043">
        <v>2.35</v>
      </c>
      <c r="L1043" t="s">
        <v>297</v>
      </c>
      <c r="M1043" t="s">
        <v>161</v>
      </c>
      <c r="N1043" s="5" t="s">
        <v>161</v>
      </c>
      <c r="O1043" t="s">
        <v>28</v>
      </c>
      <c r="P1043" t="s">
        <v>21</v>
      </c>
      <c r="Q1043" t="s">
        <v>50</v>
      </c>
      <c r="R1043">
        <v>0.47</v>
      </c>
      <c r="S1043" s="1">
        <v>41199</v>
      </c>
      <c r="T1043" t="str">
        <f t="shared" si="33"/>
        <v>17-Oct-2012</v>
      </c>
    </row>
    <row r="1044" spans="1:20" x14ac:dyDescent="0.3">
      <c r="A1044">
        <v>29383</v>
      </c>
      <c r="B1044" s="1">
        <v>40865</v>
      </c>
      <c r="C1044" t="s">
        <v>38</v>
      </c>
      <c r="D1044" t="str">
        <f t="shared" si="32"/>
        <v>18-Nov-2011</v>
      </c>
      <c r="E1044">
        <v>28</v>
      </c>
      <c r="F1044" s="13">
        <v>195.11</v>
      </c>
      <c r="G1044">
        <v>0.04</v>
      </c>
      <c r="H1044" t="s">
        <v>19</v>
      </c>
      <c r="I1044" s="13">
        <v>-129.41999999999999</v>
      </c>
      <c r="J1044">
        <v>6.48</v>
      </c>
      <c r="K1044">
        <v>8.73</v>
      </c>
      <c r="L1044" t="s">
        <v>179</v>
      </c>
      <c r="M1044" t="s">
        <v>161</v>
      </c>
      <c r="N1044" s="5" t="s">
        <v>161</v>
      </c>
      <c r="O1044" t="s">
        <v>28</v>
      </c>
      <c r="P1044" t="s">
        <v>21</v>
      </c>
      <c r="Q1044" t="s">
        <v>37</v>
      </c>
      <c r="R1044">
        <v>0.37</v>
      </c>
      <c r="S1044" s="1">
        <v>40866</v>
      </c>
      <c r="T1044" t="str">
        <f t="shared" si="33"/>
        <v>19-Nov-2011</v>
      </c>
    </row>
    <row r="1045" spans="1:20" x14ac:dyDescent="0.3">
      <c r="A1045">
        <v>52516</v>
      </c>
      <c r="B1045" s="1">
        <v>40913</v>
      </c>
      <c r="C1045" t="s">
        <v>23</v>
      </c>
      <c r="D1045" t="str">
        <f t="shared" si="32"/>
        <v>05-Jan-2012</v>
      </c>
      <c r="E1045">
        <v>19</v>
      </c>
      <c r="F1045" s="13">
        <v>192.39</v>
      </c>
      <c r="G1045">
        <v>0.08</v>
      </c>
      <c r="H1045" t="s">
        <v>35</v>
      </c>
      <c r="I1045" s="13">
        <v>-31.67</v>
      </c>
      <c r="J1045">
        <v>10.23</v>
      </c>
      <c r="K1045">
        <v>4.68</v>
      </c>
      <c r="L1045" t="s">
        <v>214</v>
      </c>
      <c r="M1045" t="s">
        <v>161</v>
      </c>
      <c r="N1045" s="5" t="s">
        <v>161</v>
      </c>
      <c r="O1045" t="s">
        <v>28</v>
      </c>
      <c r="P1045" t="s">
        <v>21</v>
      </c>
      <c r="Q1045" t="s">
        <v>67</v>
      </c>
      <c r="R1045">
        <v>0.59</v>
      </c>
      <c r="S1045" s="1">
        <v>40916</v>
      </c>
      <c r="T1045" t="str">
        <f t="shared" si="33"/>
        <v>08-Jan-2012</v>
      </c>
    </row>
    <row r="1046" spans="1:20" x14ac:dyDescent="0.3">
      <c r="A1046">
        <v>1600</v>
      </c>
      <c r="B1046" s="1">
        <v>40239</v>
      </c>
      <c r="C1046" t="s">
        <v>38</v>
      </c>
      <c r="D1046" t="str">
        <f t="shared" si="32"/>
        <v>02-Mar-2010</v>
      </c>
      <c r="E1046">
        <v>36</v>
      </c>
      <c r="F1046" s="13">
        <v>191.6</v>
      </c>
      <c r="G1046">
        <v>0.04</v>
      </c>
      <c r="H1046" t="s">
        <v>19</v>
      </c>
      <c r="I1046" s="13">
        <v>-150.74</v>
      </c>
      <c r="J1046">
        <v>4.9800000000000004</v>
      </c>
      <c r="K1046">
        <v>7.44</v>
      </c>
      <c r="L1046" t="s">
        <v>167</v>
      </c>
      <c r="M1046" t="s">
        <v>161</v>
      </c>
      <c r="N1046" s="5" t="s">
        <v>161</v>
      </c>
      <c r="O1046" t="s">
        <v>28</v>
      </c>
      <c r="P1046" t="s">
        <v>21</v>
      </c>
      <c r="Q1046" t="s">
        <v>37</v>
      </c>
      <c r="R1046">
        <v>0.36</v>
      </c>
      <c r="S1046" s="1">
        <v>40240</v>
      </c>
      <c r="T1046" t="str">
        <f t="shared" si="33"/>
        <v>03-Mar-2010</v>
      </c>
    </row>
    <row r="1047" spans="1:20" x14ac:dyDescent="0.3">
      <c r="A1047">
        <v>36517</v>
      </c>
      <c r="B1047" s="1">
        <v>40238</v>
      </c>
      <c r="C1047" t="s">
        <v>31</v>
      </c>
      <c r="D1047" t="str">
        <f t="shared" si="32"/>
        <v>01-Mar-2010</v>
      </c>
      <c r="E1047">
        <v>9</v>
      </c>
      <c r="F1047" s="13">
        <v>190.1</v>
      </c>
      <c r="G1047">
        <v>0.06</v>
      </c>
      <c r="H1047" t="s">
        <v>19</v>
      </c>
      <c r="I1047" s="13">
        <v>-63.78</v>
      </c>
      <c r="J1047">
        <v>20.95</v>
      </c>
      <c r="K1047">
        <v>4</v>
      </c>
      <c r="L1047" t="s">
        <v>278</v>
      </c>
      <c r="M1047" t="s">
        <v>161</v>
      </c>
      <c r="N1047" s="5" t="s">
        <v>161</v>
      </c>
      <c r="O1047" t="s">
        <v>28</v>
      </c>
      <c r="P1047" t="s">
        <v>29</v>
      </c>
      <c r="Q1047" t="s">
        <v>41</v>
      </c>
      <c r="R1047">
        <v>0.6</v>
      </c>
      <c r="S1047" s="1">
        <v>40240</v>
      </c>
      <c r="T1047" t="str">
        <f t="shared" si="33"/>
        <v>03-Mar-2010</v>
      </c>
    </row>
    <row r="1048" spans="1:20" x14ac:dyDescent="0.3">
      <c r="A1048">
        <v>13088</v>
      </c>
      <c r="B1048" s="1">
        <v>40290</v>
      </c>
      <c r="C1048" t="s">
        <v>31</v>
      </c>
      <c r="D1048" t="str">
        <f t="shared" si="32"/>
        <v>22-Apr-2010</v>
      </c>
      <c r="E1048">
        <v>46</v>
      </c>
      <c r="F1048" s="13">
        <v>187.92</v>
      </c>
      <c r="G1048">
        <v>0.08</v>
      </c>
      <c r="H1048" t="s">
        <v>19</v>
      </c>
      <c r="I1048" s="13">
        <v>-2149.8000000000002</v>
      </c>
      <c r="J1048">
        <v>3.25</v>
      </c>
      <c r="K1048">
        <v>49</v>
      </c>
      <c r="L1048" t="s">
        <v>299</v>
      </c>
      <c r="M1048" t="s">
        <v>161</v>
      </c>
      <c r="N1048" s="5" t="s">
        <v>161</v>
      </c>
      <c r="O1048" t="s">
        <v>28</v>
      </c>
      <c r="P1048" t="s">
        <v>21</v>
      </c>
      <c r="Q1048" t="s">
        <v>25</v>
      </c>
      <c r="R1048">
        <v>0.56000000000000005</v>
      </c>
      <c r="S1048" s="1">
        <v>40292</v>
      </c>
      <c r="T1048" t="str">
        <f t="shared" si="33"/>
        <v>24-Apr-2010</v>
      </c>
    </row>
    <row r="1049" spans="1:20" x14ac:dyDescent="0.3">
      <c r="A1049">
        <v>44864</v>
      </c>
      <c r="B1049" s="1">
        <v>40346</v>
      </c>
      <c r="C1049" t="s">
        <v>18</v>
      </c>
      <c r="D1049" t="str">
        <f t="shared" si="32"/>
        <v>17-Jun-2010</v>
      </c>
      <c r="E1049">
        <v>25</v>
      </c>
      <c r="F1049" s="13">
        <v>187.55</v>
      </c>
      <c r="G1049">
        <v>0.1</v>
      </c>
      <c r="H1049" t="s">
        <v>19</v>
      </c>
      <c r="I1049" s="13">
        <v>-171.41</v>
      </c>
      <c r="J1049">
        <v>7.77</v>
      </c>
      <c r="K1049">
        <v>9.23</v>
      </c>
      <c r="L1049" t="s">
        <v>210</v>
      </c>
      <c r="M1049" t="s">
        <v>161</v>
      </c>
      <c r="N1049" s="5" t="s">
        <v>161</v>
      </c>
      <c r="O1049" t="s">
        <v>28</v>
      </c>
      <c r="P1049" t="s">
        <v>21</v>
      </c>
      <c r="Q1049" t="s">
        <v>25</v>
      </c>
      <c r="R1049">
        <v>0.57999999999999996</v>
      </c>
      <c r="S1049" s="1">
        <v>40353</v>
      </c>
      <c r="T1049" t="str">
        <f t="shared" si="33"/>
        <v>24-Jun-2010</v>
      </c>
    </row>
    <row r="1050" spans="1:20" x14ac:dyDescent="0.3">
      <c r="A1050">
        <v>53024</v>
      </c>
      <c r="B1050" s="1">
        <v>41041</v>
      </c>
      <c r="C1050" t="s">
        <v>31</v>
      </c>
      <c r="D1050" t="str">
        <f t="shared" si="32"/>
        <v>12-May-2012</v>
      </c>
      <c r="E1050">
        <v>9</v>
      </c>
      <c r="F1050" s="13">
        <v>187.13</v>
      </c>
      <c r="G1050">
        <v>0.09</v>
      </c>
      <c r="H1050" t="s">
        <v>19</v>
      </c>
      <c r="I1050" s="13">
        <v>12.4</v>
      </c>
      <c r="J1050">
        <v>20.28</v>
      </c>
      <c r="K1050">
        <v>14.39</v>
      </c>
      <c r="L1050" t="s">
        <v>175</v>
      </c>
      <c r="M1050" t="s">
        <v>161</v>
      </c>
      <c r="N1050" s="5" t="s">
        <v>161</v>
      </c>
      <c r="O1050" t="s">
        <v>28</v>
      </c>
      <c r="P1050" t="s">
        <v>32</v>
      </c>
      <c r="Q1050" t="s">
        <v>33</v>
      </c>
      <c r="R1050">
        <v>0.47</v>
      </c>
      <c r="S1050" s="1">
        <v>41042</v>
      </c>
      <c r="T1050" t="str">
        <f t="shared" si="33"/>
        <v>13-May-2012</v>
      </c>
    </row>
    <row r="1051" spans="1:20" x14ac:dyDescent="0.3">
      <c r="A1051">
        <v>53152</v>
      </c>
      <c r="B1051" s="1">
        <v>39877</v>
      </c>
      <c r="C1051" t="s">
        <v>38</v>
      </c>
      <c r="D1051" t="str">
        <f t="shared" si="32"/>
        <v>05-Mar-2009</v>
      </c>
      <c r="E1051">
        <v>9</v>
      </c>
      <c r="F1051" s="13">
        <v>186.67</v>
      </c>
      <c r="G1051">
        <v>0.02</v>
      </c>
      <c r="H1051" t="s">
        <v>19</v>
      </c>
      <c r="I1051" s="13">
        <v>2.06</v>
      </c>
      <c r="J1051">
        <v>19.98</v>
      </c>
      <c r="K1051">
        <v>8.68</v>
      </c>
      <c r="L1051" t="s">
        <v>133</v>
      </c>
      <c r="M1051" t="s">
        <v>161</v>
      </c>
      <c r="N1051" s="5" t="s">
        <v>161</v>
      </c>
      <c r="O1051" t="s">
        <v>28</v>
      </c>
      <c r="P1051" t="s">
        <v>21</v>
      </c>
      <c r="Q1051" t="s">
        <v>37</v>
      </c>
      <c r="R1051">
        <v>0.37</v>
      </c>
      <c r="S1051" s="1">
        <v>39879</v>
      </c>
      <c r="T1051" t="str">
        <f t="shared" si="33"/>
        <v>07-Mar-2009</v>
      </c>
    </row>
    <row r="1052" spans="1:20" x14ac:dyDescent="0.3">
      <c r="A1052">
        <v>2022</v>
      </c>
      <c r="B1052" s="1">
        <v>40982</v>
      </c>
      <c r="C1052" t="s">
        <v>43</v>
      </c>
      <c r="D1052" t="str">
        <f t="shared" si="32"/>
        <v>14-Mar-2012</v>
      </c>
      <c r="E1052">
        <v>45</v>
      </c>
      <c r="F1052" s="13">
        <v>186.44</v>
      </c>
      <c r="G1052">
        <v>0</v>
      </c>
      <c r="H1052" t="s">
        <v>19</v>
      </c>
      <c r="I1052" s="13">
        <v>-157.18</v>
      </c>
      <c r="J1052">
        <v>3.95</v>
      </c>
      <c r="K1052">
        <v>5.13</v>
      </c>
      <c r="L1052" t="s">
        <v>187</v>
      </c>
      <c r="M1052" t="s">
        <v>161</v>
      </c>
      <c r="N1052" s="5" t="s">
        <v>161</v>
      </c>
      <c r="O1052" t="s">
        <v>28</v>
      </c>
      <c r="P1052" t="s">
        <v>21</v>
      </c>
      <c r="Q1052" t="s">
        <v>25</v>
      </c>
      <c r="R1052">
        <v>0.59</v>
      </c>
      <c r="S1052" s="1">
        <v>40983</v>
      </c>
      <c r="T1052" t="str">
        <f t="shared" si="33"/>
        <v>15-Mar-2012</v>
      </c>
    </row>
    <row r="1053" spans="1:20" x14ac:dyDescent="0.3">
      <c r="A1053">
        <v>53152</v>
      </c>
      <c r="B1053" s="1">
        <v>39877</v>
      </c>
      <c r="C1053" t="s">
        <v>38</v>
      </c>
      <c r="D1053" t="str">
        <f t="shared" si="32"/>
        <v>05-Mar-2009</v>
      </c>
      <c r="E1053">
        <v>5</v>
      </c>
      <c r="F1053" s="13">
        <v>185.79</v>
      </c>
      <c r="G1053">
        <v>0.02</v>
      </c>
      <c r="H1053" t="s">
        <v>19</v>
      </c>
      <c r="I1053" s="13">
        <v>-159.68</v>
      </c>
      <c r="J1053">
        <v>34.979999999999997</v>
      </c>
      <c r="K1053">
        <v>7.53</v>
      </c>
      <c r="L1053" t="s">
        <v>133</v>
      </c>
      <c r="M1053" t="s">
        <v>161</v>
      </c>
      <c r="N1053" s="5" t="s">
        <v>161</v>
      </c>
      <c r="O1053" t="s">
        <v>28</v>
      </c>
      <c r="P1053" t="s">
        <v>29</v>
      </c>
      <c r="Q1053" t="s">
        <v>41</v>
      </c>
      <c r="R1053">
        <v>0.76</v>
      </c>
      <c r="S1053" s="1">
        <v>39879</v>
      </c>
      <c r="T1053" t="str">
        <f t="shared" si="33"/>
        <v>07-Mar-2009</v>
      </c>
    </row>
    <row r="1054" spans="1:20" x14ac:dyDescent="0.3">
      <c r="A1054">
        <v>50051</v>
      </c>
      <c r="B1054" s="1">
        <v>40090</v>
      </c>
      <c r="C1054" t="s">
        <v>38</v>
      </c>
      <c r="D1054" t="str">
        <f t="shared" si="32"/>
        <v>04-Oct-2009</v>
      </c>
      <c r="E1054">
        <v>4</v>
      </c>
      <c r="F1054" s="13">
        <v>185.15</v>
      </c>
      <c r="G1054">
        <v>0.09</v>
      </c>
      <c r="H1054" t="s">
        <v>19</v>
      </c>
      <c r="I1054" s="13">
        <v>10.199999999999999</v>
      </c>
      <c r="J1054">
        <v>41.47</v>
      </c>
      <c r="K1054">
        <v>34.200000000000003</v>
      </c>
      <c r="L1054" t="s">
        <v>179</v>
      </c>
      <c r="M1054" t="s">
        <v>161</v>
      </c>
      <c r="N1054" s="5" t="s">
        <v>161</v>
      </c>
      <c r="O1054" t="s">
        <v>28</v>
      </c>
      <c r="P1054" t="s">
        <v>32</v>
      </c>
      <c r="Q1054" t="s">
        <v>33</v>
      </c>
      <c r="R1054">
        <v>0.73</v>
      </c>
      <c r="S1054" s="1">
        <v>40092</v>
      </c>
      <c r="T1054" t="str">
        <f t="shared" si="33"/>
        <v>06-Oct-2009</v>
      </c>
    </row>
    <row r="1055" spans="1:20" x14ac:dyDescent="0.3">
      <c r="A1055">
        <v>39330</v>
      </c>
      <c r="B1055" s="1">
        <v>40376</v>
      </c>
      <c r="C1055" t="s">
        <v>43</v>
      </c>
      <c r="D1055" t="str">
        <f t="shared" si="32"/>
        <v>17-Jul-2010</v>
      </c>
      <c r="E1055">
        <v>29</v>
      </c>
      <c r="F1055" s="13">
        <v>184.77</v>
      </c>
      <c r="G1055">
        <v>0</v>
      </c>
      <c r="H1055" t="s">
        <v>35</v>
      </c>
      <c r="I1055" s="13">
        <v>-71.959999999999994</v>
      </c>
      <c r="J1055">
        <v>5.74</v>
      </c>
      <c r="K1055">
        <v>5.3</v>
      </c>
      <c r="L1055" t="s">
        <v>199</v>
      </c>
      <c r="M1055" t="s">
        <v>161</v>
      </c>
      <c r="N1055" s="5" t="s">
        <v>161</v>
      </c>
      <c r="O1055" t="s">
        <v>28</v>
      </c>
      <c r="P1055" t="s">
        <v>21</v>
      </c>
      <c r="Q1055" t="s">
        <v>67</v>
      </c>
      <c r="R1055">
        <v>0.55000000000000004</v>
      </c>
      <c r="S1055" s="1">
        <v>40377</v>
      </c>
      <c r="T1055" t="str">
        <f t="shared" si="33"/>
        <v>18-Jul-2010</v>
      </c>
    </row>
    <row r="1056" spans="1:20" x14ac:dyDescent="0.3">
      <c r="A1056">
        <v>25280</v>
      </c>
      <c r="B1056" s="1">
        <v>40684</v>
      </c>
      <c r="C1056" t="s">
        <v>31</v>
      </c>
      <c r="D1056" t="str">
        <f t="shared" si="32"/>
        <v>21-May-2011</v>
      </c>
      <c r="E1056">
        <v>16</v>
      </c>
      <c r="F1056" s="13">
        <v>179.26</v>
      </c>
      <c r="G1056">
        <v>0.01</v>
      </c>
      <c r="H1056" t="s">
        <v>19</v>
      </c>
      <c r="I1056" s="13">
        <v>36.78</v>
      </c>
      <c r="J1056">
        <v>10.91</v>
      </c>
      <c r="K1056">
        <v>2.99</v>
      </c>
      <c r="L1056" t="s">
        <v>239</v>
      </c>
      <c r="M1056" t="s">
        <v>161</v>
      </c>
      <c r="N1056" s="5" t="s">
        <v>161</v>
      </c>
      <c r="O1056" t="s">
        <v>28</v>
      </c>
      <c r="P1056" t="s">
        <v>21</v>
      </c>
      <c r="Q1056" t="s">
        <v>26</v>
      </c>
      <c r="R1056">
        <v>0.38</v>
      </c>
      <c r="S1056" s="1">
        <v>40686</v>
      </c>
      <c r="T1056" t="str">
        <f t="shared" si="33"/>
        <v>23-May-2011</v>
      </c>
    </row>
    <row r="1057" spans="1:20" x14ac:dyDescent="0.3">
      <c r="A1057">
        <v>49125</v>
      </c>
      <c r="B1057" s="1">
        <v>39901</v>
      </c>
      <c r="C1057" t="s">
        <v>31</v>
      </c>
      <c r="D1057" t="str">
        <f t="shared" si="32"/>
        <v>29-Mar-2009</v>
      </c>
      <c r="E1057">
        <v>29</v>
      </c>
      <c r="F1057" s="13">
        <v>177.41</v>
      </c>
      <c r="G1057">
        <v>0.05</v>
      </c>
      <c r="H1057" t="s">
        <v>35</v>
      </c>
      <c r="I1057" s="13">
        <v>-116.05</v>
      </c>
      <c r="J1057">
        <v>5.78</v>
      </c>
      <c r="K1057">
        <v>7.64</v>
      </c>
      <c r="L1057" t="s">
        <v>189</v>
      </c>
      <c r="M1057" t="s">
        <v>161</v>
      </c>
      <c r="N1057" s="5" t="s">
        <v>161</v>
      </c>
      <c r="O1057" t="s">
        <v>28</v>
      </c>
      <c r="P1057" t="s">
        <v>21</v>
      </c>
      <c r="Q1057" t="s">
        <v>37</v>
      </c>
      <c r="R1057">
        <v>0.36</v>
      </c>
      <c r="S1057" s="1">
        <v>39903</v>
      </c>
      <c r="T1057" t="str">
        <f t="shared" si="33"/>
        <v>31-Mar-2009</v>
      </c>
    </row>
    <row r="1058" spans="1:20" x14ac:dyDescent="0.3">
      <c r="A1058">
        <v>11111</v>
      </c>
      <c r="B1058" s="1">
        <v>40560</v>
      </c>
      <c r="C1058" t="s">
        <v>38</v>
      </c>
      <c r="D1058" t="str">
        <f t="shared" si="32"/>
        <v>17-Jan-2011</v>
      </c>
      <c r="E1058">
        <v>29</v>
      </c>
      <c r="F1058" s="13">
        <v>176.5</v>
      </c>
      <c r="G1058">
        <v>0.1</v>
      </c>
      <c r="H1058" t="s">
        <v>19</v>
      </c>
      <c r="I1058" s="13">
        <v>-119.72</v>
      </c>
      <c r="J1058">
        <v>6.48</v>
      </c>
      <c r="K1058">
        <v>7.37</v>
      </c>
      <c r="L1058" t="s">
        <v>296</v>
      </c>
      <c r="M1058" t="s">
        <v>161</v>
      </c>
      <c r="N1058" s="5" t="s">
        <v>161</v>
      </c>
      <c r="O1058" t="s">
        <v>28</v>
      </c>
      <c r="P1058" t="s">
        <v>21</v>
      </c>
      <c r="Q1058" t="s">
        <v>37</v>
      </c>
      <c r="R1058">
        <v>0.37</v>
      </c>
      <c r="S1058" s="1">
        <v>40562</v>
      </c>
      <c r="T1058" t="str">
        <f t="shared" si="33"/>
        <v>19-Jan-2011</v>
      </c>
    </row>
    <row r="1059" spans="1:20" x14ac:dyDescent="0.3">
      <c r="A1059">
        <v>39078</v>
      </c>
      <c r="B1059" s="1">
        <v>39987</v>
      </c>
      <c r="C1059" t="s">
        <v>18</v>
      </c>
      <c r="D1059" t="str">
        <f t="shared" si="32"/>
        <v>23-Jun-2009</v>
      </c>
      <c r="E1059">
        <v>26</v>
      </c>
      <c r="F1059" s="13">
        <v>175.27</v>
      </c>
      <c r="G1059">
        <v>0.01</v>
      </c>
      <c r="H1059" t="s">
        <v>19</v>
      </c>
      <c r="I1059" s="13">
        <v>-33.67</v>
      </c>
      <c r="J1059">
        <v>6.48</v>
      </c>
      <c r="K1059">
        <v>5.14</v>
      </c>
      <c r="L1059" t="s">
        <v>297</v>
      </c>
      <c r="M1059" t="s">
        <v>161</v>
      </c>
      <c r="N1059" s="5" t="s">
        <v>161</v>
      </c>
      <c r="O1059" t="s">
        <v>28</v>
      </c>
      <c r="P1059" t="s">
        <v>21</v>
      </c>
      <c r="Q1059" t="s">
        <v>37</v>
      </c>
      <c r="R1059">
        <v>0.37</v>
      </c>
      <c r="S1059" s="1">
        <v>39989</v>
      </c>
      <c r="T1059" t="str">
        <f t="shared" si="33"/>
        <v>25-Jun-2009</v>
      </c>
    </row>
    <row r="1060" spans="1:20" x14ac:dyDescent="0.3">
      <c r="A1060">
        <v>38021</v>
      </c>
      <c r="B1060" s="1">
        <v>39834</v>
      </c>
      <c r="C1060" t="s">
        <v>38</v>
      </c>
      <c r="D1060" t="str">
        <f t="shared" si="32"/>
        <v>21-Jan-2009</v>
      </c>
      <c r="E1060">
        <v>36</v>
      </c>
      <c r="F1060" s="13">
        <v>173.22</v>
      </c>
      <c r="G1060">
        <v>0.02</v>
      </c>
      <c r="H1060" t="s">
        <v>19</v>
      </c>
      <c r="I1060" s="13">
        <v>81.77</v>
      </c>
      <c r="J1060">
        <v>4.91</v>
      </c>
      <c r="K1060">
        <v>0.5</v>
      </c>
      <c r="L1060" t="s">
        <v>108</v>
      </c>
      <c r="M1060" t="s">
        <v>161</v>
      </c>
      <c r="N1060" s="5" t="s">
        <v>161</v>
      </c>
      <c r="O1060" t="s">
        <v>28</v>
      </c>
      <c r="P1060" t="s">
        <v>21</v>
      </c>
      <c r="Q1060" t="s">
        <v>48</v>
      </c>
      <c r="R1060">
        <v>0.36</v>
      </c>
      <c r="S1060" s="1">
        <v>39835</v>
      </c>
      <c r="T1060" t="str">
        <f t="shared" si="33"/>
        <v>22-Jan-2009</v>
      </c>
    </row>
    <row r="1061" spans="1:20" x14ac:dyDescent="0.3">
      <c r="A1061">
        <v>46243</v>
      </c>
      <c r="B1061" s="1">
        <v>40932</v>
      </c>
      <c r="C1061" t="s">
        <v>18</v>
      </c>
      <c r="D1061" t="str">
        <f t="shared" si="32"/>
        <v>24-Jan-2012</v>
      </c>
      <c r="E1061">
        <v>31</v>
      </c>
      <c r="F1061" s="13">
        <v>172.99</v>
      </c>
      <c r="G1061">
        <v>0.05</v>
      </c>
      <c r="H1061" t="s">
        <v>19</v>
      </c>
      <c r="I1061" s="13">
        <v>61.51</v>
      </c>
      <c r="J1061">
        <v>5.84</v>
      </c>
      <c r="K1061">
        <v>1</v>
      </c>
      <c r="L1061" t="s">
        <v>159</v>
      </c>
      <c r="M1061" t="s">
        <v>161</v>
      </c>
      <c r="N1061" s="5" t="s">
        <v>161</v>
      </c>
      <c r="O1061" t="s">
        <v>28</v>
      </c>
      <c r="P1061" t="s">
        <v>21</v>
      </c>
      <c r="Q1061" t="s">
        <v>50</v>
      </c>
      <c r="R1061">
        <v>0.38</v>
      </c>
      <c r="S1061" s="1">
        <v>40939</v>
      </c>
      <c r="T1061" t="str">
        <f t="shared" si="33"/>
        <v>31-Jan-2012</v>
      </c>
    </row>
    <row r="1062" spans="1:20" x14ac:dyDescent="0.3">
      <c r="A1062">
        <v>53984</v>
      </c>
      <c r="B1062" s="1">
        <v>41253</v>
      </c>
      <c r="C1062" t="s">
        <v>38</v>
      </c>
      <c r="D1062" t="str">
        <f t="shared" si="32"/>
        <v>10-Dec-2012</v>
      </c>
      <c r="E1062">
        <v>23</v>
      </c>
      <c r="F1062" s="13">
        <v>172.9</v>
      </c>
      <c r="G1062">
        <v>0</v>
      </c>
      <c r="H1062" t="s">
        <v>19</v>
      </c>
      <c r="I1062" s="13">
        <v>51.43</v>
      </c>
      <c r="J1062">
        <v>6.88</v>
      </c>
      <c r="K1062">
        <v>2</v>
      </c>
      <c r="L1062" t="s">
        <v>173</v>
      </c>
      <c r="M1062" t="s">
        <v>161</v>
      </c>
      <c r="N1062" s="5" t="s">
        <v>161</v>
      </c>
      <c r="O1062" t="s">
        <v>28</v>
      </c>
      <c r="P1062" t="s">
        <v>21</v>
      </c>
      <c r="Q1062" t="s">
        <v>37</v>
      </c>
      <c r="R1062">
        <v>0.39</v>
      </c>
      <c r="S1062" s="1">
        <v>41254</v>
      </c>
      <c r="T1062" t="str">
        <f t="shared" si="33"/>
        <v>11-Dec-2012</v>
      </c>
    </row>
    <row r="1063" spans="1:20" x14ac:dyDescent="0.3">
      <c r="A1063">
        <v>39492</v>
      </c>
      <c r="B1063" s="1">
        <v>40650</v>
      </c>
      <c r="C1063" t="s">
        <v>31</v>
      </c>
      <c r="D1063" t="str">
        <f t="shared" si="32"/>
        <v>17-Apr-2011</v>
      </c>
      <c r="E1063">
        <v>40</v>
      </c>
      <c r="F1063" s="13">
        <v>169.48</v>
      </c>
      <c r="G1063">
        <v>0.08</v>
      </c>
      <c r="H1063" t="s">
        <v>19</v>
      </c>
      <c r="I1063" s="13">
        <v>-134.76</v>
      </c>
      <c r="J1063">
        <v>4.28</v>
      </c>
      <c r="K1063">
        <v>5.68</v>
      </c>
      <c r="L1063" t="s">
        <v>312</v>
      </c>
      <c r="M1063" t="s">
        <v>161</v>
      </c>
      <c r="N1063" s="5" t="s">
        <v>161</v>
      </c>
      <c r="O1063" t="s">
        <v>28</v>
      </c>
      <c r="P1063" t="s">
        <v>21</v>
      </c>
      <c r="Q1063" t="s">
        <v>37</v>
      </c>
      <c r="R1063">
        <v>0.4</v>
      </c>
      <c r="S1063" s="1">
        <v>40652</v>
      </c>
      <c r="T1063" t="str">
        <f t="shared" si="33"/>
        <v>19-Apr-2011</v>
      </c>
    </row>
    <row r="1064" spans="1:20" x14ac:dyDescent="0.3">
      <c r="A1064">
        <v>38370</v>
      </c>
      <c r="B1064" s="1">
        <v>40636</v>
      </c>
      <c r="C1064" t="s">
        <v>23</v>
      </c>
      <c r="D1064" t="str">
        <f t="shared" si="32"/>
        <v>03-Apr-2011</v>
      </c>
      <c r="E1064">
        <v>50</v>
      </c>
      <c r="F1064" s="13">
        <v>169.13</v>
      </c>
      <c r="G1064">
        <v>0</v>
      </c>
      <c r="H1064" t="s">
        <v>19</v>
      </c>
      <c r="I1064" s="13">
        <v>43.05</v>
      </c>
      <c r="J1064">
        <v>3.14</v>
      </c>
      <c r="K1064">
        <v>1.1399999999999999</v>
      </c>
      <c r="L1064" t="s">
        <v>171</v>
      </c>
      <c r="M1064" t="s">
        <v>161</v>
      </c>
      <c r="N1064" s="5" t="s">
        <v>161</v>
      </c>
      <c r="O1064" t="s">
        <v>28</v>
      </c>
      <c r="P1064" t="s">
        <v>21</v>
      </c>
      <c r="Q1064" t="s">
        <v>37</v>
      </c>
      <c r="R1064">
        <v>0.4</v>
      </c>
      <c r="S1064" s="1">
        <v>40638</v>
      </c>
      <c r="T1064" t="str">
        <f t="shared" si="33"/>
        <v>05-Apr-2011</v>
      </c>
    </row>
    <row r="1065" spans="1:20" x14ac:dyDescent="0.3">
      <c r="A1065">
        <v>32580</v>
      </c>
      <c r="B1065" s="1">
        <v>40801</v>
      </c>
      <c r="C1065" t="s">
        <v>23</v>
      </c>
      <c r="D1065" t="str">
        <f t="shared" si="32"/>
        <v>15-Sep-2011</v>
      </c>
      <c r="E1065">
        <v>23</v>
      </c>
      <c r="F1065" s="13">
        <v>166.8</v>
      </c>
      <c r="G1065">
        <v>0.03</v>
      </c>
      <c r="H1065" t="s">
        <v>19</v>
      </c>
      <c r="I1065" s="13">
        <v>44.59</v>
      </c>
      <c r="J1065">
        <v>7.4</v>
      </c>
      <c r="K1065">
        <v>1.71</v>
      </c>
      <c r="L1065" t="s">
        <v>137</v>
      </c>
      <c r="M1065" t="s">
        <v>161</v>
      </c>
      <c r="N1065" s="5" t="s">
        <v>161</v>
      </c>
      <c r="O1065" t="s">
        <v>28</v>
      </c>
      <c r="P1065" t="s">
        <v>21</v>
      </c>
      <c r="Q1065" t="s">
        <v>37</v>
      </c>
      <c r="R1065">
        <v>0.4</v>
      </c>
      <c r="S1065" s="1">
        <v>40801</v>
      </c>
      <c r="T1065" t="str">
        <f t="shared" si="33"/>
        <v>15-Sep-2011</v>
      </c>
    </row>
    <row r="1066" spans="1:20" x14ac:dyDescent="0.3">
      <c r="A1066">
        <v>20486</v>
      </c>
      <c r="B1066" s="1">
        <v>40607</v>
      </c>
      <c r="C1066" t="s">
        <v>23</v>
      </c>
      <c r="D1066" t="str">
        <f t="shared" si="32"/>
        <v>05-Mar-2011</v>
      </c>
      <c r="E1066">
        <v>42</v>
      </c>
      <c r="F1066" s="13">
        <v>163.98</v>
      </c>
      <c r="G1066">
        <v>0.01</v>
      </c>
      <c r="H1066" t="s">
        <v>19</v>
      </c>
      <c r="I1066" s="13">
        <v>55.73</v>
      </c>
      <c r="J1066">
        <v>3.85</v>
      </c>
      <c r="K1066">
        <v>0.7</v>
      </c>
      <c r="L1066" t="s">
        <v>290</v>
      </c>
      <c r="M1066" t="s">
        <v>161</v>
      </c>
      <c r="N1066" s="5" t="s">
        <v>161</v>
      </c>
      <c r="O1066" t="s">
        <v>28</v>
      </c>
      <c r="P1066" t="s">
        <v>21</v>
      </c>
      <c r="Q1066" t="s">
        <v>50</v>
      </c>
      <c r="R1066">
        <v>0.44</v>
      </c>
      <c r="S1066" s="1">
        <v>40608</v>
      </c>
      <c r="T1066" t="str">
        <f t="shared" si="33"/>
        <v>06-Mar-2011</v>
      </c>
    </row>
    <row r="1067" spans="1:20" x14ac:dyDescent="0.3">
      <c r="A1067">
        <v>35878</v>
      </c>
      <c r="B1067" s="1">
        <v>40403</v>
      </c>
      <c r="C1067" t="s">
        <v>38</v>
      </c>
      <c r="D1067" t="str">
        <f t="shared" si="32"/>
        <v>13-Aug-2010</v>
      </c>
      <c r="E1067">
        <v>45</v>
      </c>
      <c r="F1067" s="13">
        <v>161.66999999999999</v>
      </c>
      <c r="G1067">
        <v>0.08</v>
      </c>
      <c r="H1067" t="s">
        <v>19</v>
      </c>
      <c r="I1067" s="13">
        <v>-7.71</v>
      </c>
      <c r="J1067">
        <v>3.6</v>
      </c>
      <c r="K1067">
        <v>2.2000000000000002</v>
      </c>
      <c r="L1067" t="s">
        <v>208</v>
      </c>
      <c r="M1067" t="s">
        <v>161</v>
      </c>
      <c r="N1067" s="5" t="s">
        <v>161</v>
      </c>
      <c r="O1067" t="s">
        <v>28</v>
      </c>
      <c r="P1067" t="s">
        <v>21</v>
      </c>
      <c r="Q1067" t="s">
        <v>37</v>
      </c>
      <c r="R1067">
        <v>0.39</v>
      </c>
      <c r="S1067" s="1">
        <v>40405</v>
      </c>
      <c r="T1067" t="str">
        <f t="shared" si="33"/>
        <v>15-Aug-2010</v>
      </c>
    </row>
    <row r="1068" spans="1:20" x14ac:dyDescent="0.3">
      <c r="A1068">
        <v>58528</v>
      </c>
      <c r="B1068" s="1">
        <v>40478</v>
      </c>
      <c r="C1068" t="s">
        <v>38</v>
      </c>
      <c r="D1068" t="str">
        <f t="shared" si="32"/>
        <v>27-Oct-2010</v>
      </c>
      <c r="E1068">
        <v>41</v>
      </c>
      <c r="F1068" s="13">
        <v>159.74</v>
      </c>
      <c r="G1068">
        <v>0.08</v>
      </c>
      <c r="H1068" t="s">
        <v>35</v>
      </c>
      <c r="I1068" s="13">
        <v>-9.14</v>
      </c>
      <c r="J1068">
        <v>3.69</v>
      </c>
      <c r="K1068">
        <v>2.5</v>
      </c>
      <c r="L1068" t="s">
        <v>211</v>
      </c>
      <c r="M1068" t="s">
        <v>161</v>
      </c>
      <c r="N1068" s="5" t="s">
        <v>161</v>
      </c>
      <c r="O1068" t="s">
        <v>28</v>
      </c>
      <c r="P1068" t="s">
        <v>21</v>
      </c>
      <c r="Q1068" t="s">
        <v>42</v>
      </c>
      <c r="R1068">
        <v>0.39</v>
      </c>
      <c r="S1068" s="1">
        <v>40479</v>
      </c>
      <c r="T1068" t="str">
        <f t="shared" si="33"/>
        <v>28-Oct-2010</v>
      </c>
    </row>
    <row r="1069" spans="1:20" x14ac:dyDescent="0.3">
      <c r="A1069">
        <v>56995</v>
      </c>
      <c r="B1069" s="1">
        <v>40101</v>
      </c>
      <c r="C1069" t="s">
        <v>38</v>
      </c>
      <c r="D1069" t="str">
        <f t="shared" si="32"/>
        <v>15-Oct-2009</v>
      </c>
      <c r="E1069">
        <v>27</v>
      </c>
      <c r="F1069" s="13">
        <v>157.57</v>
      </c>
      <c r="G1069">
        <v>0.08</v>
      </c>
      <c r="H1069" t="s">
        <v>35</v>
      </c>
      <c r="I1069" s="13">
        <v>-57.06</v>
      </c>
      <c r="J1069">
        <v>5.74</v>
      </c>
      <c r="K1069">
        <v>5.01</v>
      </c>
      <c r="L1069" t="s">
        <v>118</v>
      </c>
      <c r="M1069" t="s">
        <v>161</v>
      </c>
      <c r="N1069" s="5" t="s">
        <v>161</v>
      </c>
      <c r="O1069" t="s">
        <v>28</v>
      </c>
      <c r="P1069" t="s">
        <v>21</v>
      </c>
      <c r="Q1069" t="s">
        <v>26</v>
      </c>
      <c r="R1069">
        <v>0.39</v>
      </c>
      <c r="S1069" s="1">
        <v>40103</v>
      </c>
      <c r="T1069" t="str">
        <f t="shared" si="33"/>
        <v>17-Oct-2009</v>
      </c>
    </row>
    <row r="1070" spans="1:20" x14ac:dyDescent="0.3">
      <c r="A1070">
        <v>21922</v>
      </c>
      <c r="B1070" s="1">
        <v>40128</v>
      </c>
      <c r="C1070" t="s">
        <v>23</v>
      </c>
      <c r="D1070" t="str">
        <f t="shared" si="32"/>
        <v>11-Nov-2009</v>
      </c>
      <c r="E1070">
        <v>49</v>
      </c>
      <c r="F1070" s="13">
        <v>157.47</v>
      </c>
      <c r="G1070">
        <v>0.09</v>
      </c>
      <c r="H1070" t="s">
        <v>19</v>
      </c>
      <c r="I1070" s="13">
        <v>8.07</v>
      </c>
      <c r="J1070">
        <v>3.28</v>
      </c>
      <c r="K1070">
        <v>0.98</v>
      </c>
      <c r="L1070" t="s">
        <v>312</v>
      </c>
      <c r="M1070" t="s">
        <v>161</v>
      </c>
      <c r="N1070" s="5" t="s">
        <v>161</v>
      </c>
      <c r="O1070" t="s">
        <v>28</v>
      </c>
      <c r="P1070" t="s">
        <v>21</v>
      </c>
      <c r="Q1070" t="s">
        <v>50</v>
      </c>
      <c r="R1070">
        <v>0.59</v>
      </c>
      <c r="S1070" s="1">
        <v>40130</v>
      </c>
      <c r="T1070" t="str">
        <f t="shared" si="33"/>
        <v>13-Nov-2009</v>
      </c>
    </row>
    <row r="1071" spans="1:20" x14ac:dyDescent="0.3">
      <c r="A1071">
        <v>28454</v>
      </c>
      <c r="B1071" s="1">
        <v>41127</v>
      </c>
      <c r="C1071" t="s">
        <v>38</v>
      </c>
      <c r="D1071" t="str">
        <f t="shared" si="32"/>
        <v>06-Aug-2012</v>
      </c>
      <c r="E1071">
        <v>25</v>
      </c>
      <c r="F1071" s="13">
        <v>157.4</v>
      </c>
      <c r="G1071">
        <v>7.0000000000000007E-2</v>
      </c>
      <c r="H1071" t="s">
        <v>19</v>
      </c>
      <c r="I1071" s="13">
        <v>-84</v>
      </c>
      <c r="J1071">
        <v>6.48</v>
      </c>
      <c r="K1071">
        <v>6.74</v>
      </c>
      <c r="L1071" t="s">
        <v>171</v>
      </c>
      <c r="M1071" t="s">
        <v>161</v>
      </c>
      <c r="N1071" s="5" t="s">
        <v>161</v>
      </c>
      <c r="O1071" t="s">
        <v>28</v>
      </c>
      <c r="P1071" t="s">
        <v>21</v>
      </c>
      <c r="Q1071" t="s">
        <v>37</v>
      </c>
      <c r="R1071">
        <v>0.37</v>
      </c>
      <c r="S1071" s="1">
        <v>41128</v>
      </c>
      <c r="T1071" t="str">
        <f t="shared" si="33"/>
        <v>07-Aug-2012</v>
      </c>
    </row>
    <row r="1072" spans="1:20" x14ac:dyDescent="0.3">
      <c r="A1072">
        <v>29383</v>
      </c>
      <c r="B1072" s="1">
        <v>40865</v>
      </c>
      <c r="C1072" t="s">
        <v>38</v>
      </c>
      <c r="D1072" t="str">
        <f t="shared" si="32"/>
        <v>18-Nov-2011</v>
      </c>
      <c r="E1072">
        <v>20</v>
      </c>
      <c r="F1072" s="13">
        <v>157.13</v>
      </c>
      <c r="G1072">
        <v>7.0000000000000007E-2</v>
      </c>
      <c r="H1072" t="s">
        <v>19</v>
      </c>
      <c r="I1072" s="13">
        <v>-46.89</v>
      </c>
      <c r="J1072">
        <v>8.32</v>
      </c>
      <c r="K1072">
        <v>2.38</v>
      </c>
      <c r="L1072" t="s">
        <v>179</v>
      </c>
      <c r="M1072" t="s">
        <v>161</v>
      </c>
      <c r="N1072" s="5" t="s">
        <v>161</v>
      </c>
      <c r="O1072" t="s">
        <v>28</v>
      </c>
      <c r="P1072" t="s">
        <v>29</v>
      </c>
      <c r="Q1072" t="s">
        <v>41</v>
      </c>
      <c r="R1072">
        <v>0.74</v>
      </c>
      <c r="S1072" s="1">
        <v>40867</v>
      </c>
      <c r="T1072" t="str">
        <f t="shared" si="33"/>
        <v>20-Nov-2011</v>
      </c>
    </row>
    <row r="1073" spans="1:20" x14ac:dyDescent="0.3">
      <c r="A1073">
        <v>25091</v>
      </c>
      <c r="B1073" s="1">
        <v>40228</v>
      </c>
      <c r="C1073" t="s">
        <v>38</v>
      </c>
      <c r="D1073" t="str">
        <f t="shared" si="32"/>
        <v>19-Feb-2010</v>
      </c>
      <c r="E1073">
        <v>4</v>
      </c>
      <c r="F1073" s="13">
        <v>156.97</v>
      </c>
      <c r="G1073">
        <v>0.01</v>
      </c>
      <c r="H1073" t="s">
        <v>19</v>
      </c>
      <c r="I1073" s="13">
        <v>-25.43</v>
      </c>
      <c r="J1073">
        <v>34.54</v>
      </c>
      <c r="K1073">
        <v>14.72</v>
      </c>
      <c r="L1073" t="s">
        <v>210</v>
      </c>
      <c r="M1073" t="s">
        <v>161</v>
      </c>
      <c r="N1073" s="5" t="s">
        <v>161</v>
      </c>
      <c r="O1073" t="s">
        <v>28</v>
      </c>
      <c r="P1073" t="s">
        <v>21</v>
      </c>
      <c r="Q1073" t="s">
        <v>26</v>
      </c>
      <c r="R1073">
        <v>0.37</v>
      </c>
      <c r="S1073" s="1">
        <v>40231</v>
      </c>
      <c r="T1073" t="str">
        <f t="shared" si="33"/>
        <v>22-Feb-2010</v>
      </c>
    </row>
    <row r="1074" spans="1:20" x14ac:dyDescent="0.3">
      <c r="A1074">
        <v>39268</v>
      </c>
      <c r="B1074" s="1">
        <v>40655</v>
      </c>
      <c r="C1074" t="s">
        <v>31</v>
      </c>
      <c r="D1074" t="str">
        <f t="shared" si="32"/>
        <v>22-Apr-2011</v>
      </c>
      <c r="E1074">
        <v>45</v>
      </c>
      <c r="F1074" s="13">
        <v>156.94999999999999</v>
      </c>
      <c r="G1074">
        <v>0.1</v>
      </c>
      <c r="H1074" t="s">
        <v>19</v>
      </c>
      <c r="I1074" s="13">
        <v>-32.520000000000003</v>
      </c>
      <c r="J1074">
        <v>3.74</v>
      </c>
      <c r="K1074">
        <v>0.94</v>
      </c>
      <c r="L1074" t="s">
        <v>303</v>
      </c>
      <c r="M1074" t="s">
        <v>161</v>
      </c>
      <c r="N1074" s="5" t="s">
        <v>161</v>
      </c>
      <c r="O1074" t="s">
        <v>28</v>
      </c>
      <c r="P1074" t="s">
        <v>21</v>
      </c>
      <c r="Q1074" t="s">
        <v>39</v>
      </c>
      <c r="R1074">
        <v>0.83</v>
      </c>
      <c r="S1074" s="1">
        <v>40658</v>
      </c>
      <c r="T1074" t="str">
        <f t="shared" si="33"/>
        <v>25-Apr-2011</v>
      </c>
    </row>
    <row r="1075" spans="1:20" x14ac:dyDescent="0.3">
      <c r="A1075">
        <v>10371</v>
      </c>
      <c r="B1075" s="1">
        <v>40072</v>
      </c>
      <c r="C1075" t="s">
        <v>23</v>
      </c>
      <c r="D1075" t="str">
        <f t="shared" si="32"/>
        <v>16-Sep-2009</v>
      </c>
      <c r="E1075">
        <v>10</v>
      </c>
      <c r="F1075" s="13">
        <v>156.15</v>
      </c>
      <c r="G1075">
        <v>0.08</v>
      </c>
      <c r="H1075" t="s">
        <v>35</v>
      </c>
      <c r="I1075" s="13">
        <v>-37.6</v>
      </c>
      <c r="J1075">
        <v>15.73</v>
      </c>
      <c r="K1075">
        <v>7.42</v>
      </c>
      <c r="L1075" t="s">
        <v>194</v>
      </c>
      <c r="M1075" t="s">
        <v>161</v>
      </c>
      <c r="N1075" s="5" t="s">
        <v>161</v>
      </c>
      <c r="O1075" t="s">
        <v>28</v>
      </c>
      <c r="P1075" t="s">
        <v>21</v>
      </c>
      <c r="Q1075" t="s">
        <v>67</v>
      </c>
      <c r="R1075">
        <v>0.56000000000000005</v>
      </c>
      <c r="S1075" s="1">
        <v>40074</v>
      </c>
      <c r="T1075" t="str">
        <f t="shared" si="33"/>
        <v>18-Sep-2009</v>
      </c>
    </row>
    <row r="1076" spans="1:20" x14ac:dyDescent="0.3">
      <c r="A1076">
        <v>19523</v>
      </c>
      <c r="B1076" s="1">
        <v>40877</v>
      </c>
      <c r="C1076" t="s">
        <v>23</v>
      </c>
      <c r="D1076" t="str">
        <f t="shared" si="32"/>
        <v>30-Nov-2011</v>
      </c>
      <c r="E1076">
        <v>44</v>
      </c>
      <c r="F1076" s="13">
        <v>155.78</v>
      </c>
      <c r="G1076">
        <v>0.04</v>
      </c>
      <c r="H1076" t="s">
        <v>19</v>
      </c>
      <c r="I1076" s="13">
        <v>-10</v>
      </c>
      <c r="J1076">
        <v>3.6</v>
      </c>
      <c r="K1076">
        <v>2.2000000000000002</v>
      </c>
      <c r="L1076" t="s">
        <v>99</v>
      </c>
      <c r="M1076" t="s">
        <v>161</v>
      </c>
      <c r="N1076" s="5" t="s">
        <v>161</v>
      </c>
      <c r="O1076" t="s">
        <v>28</v>
      </c>
      <c r="P1076" t="s">
        <v>21</v>
      </c>
      <c r="Q1076" t="s">
        <v>37</v>
      </c>
      <c r="R1076">
        <v>0.39</v>
      </c>
      <c r="S1076" s="1">
        <v>40878</v>
      </c>
      <c r="T1076" t="str">
        <f t="shared" si="33"/>
        <v>01-Dec-2011</v>
      </c>
    </row>
    <row r="1077" spans="1:20" x14ac:dyDescent="0.3">
      <c r="A1077">
        <v>23429</v>
      </c>
      <c r="B1077" s="1">
        <v>39891</v>
      </c>
      <c r="C1077" t="s">
        <v>43</v>
      </c>
      <c r="D1077" t="str">
        <f t="shared" si="32"/>
        <v>19-Mar-2009</v>
      </c>
      <c r="E1077">
        <v>28</v>
      </c>
      <c r="F1077" s="13">
        <v>154.61000000000001</v>
      </c>
      <c r="G1077">
        <v>0.06</v>
      </c>
      <c r="H1077" t="s">
        <v>19</v>
      </c>
      <c r="I1077" s="13">
        <v>-82.82</v>
      </c>
      <c r="J1077">
        <v>5.34</v>
      </c>
      <c r="K1077">
        <v>5.63</v>
      </c>
      <c r="L1077" t="s">
        <v>62</v>
      </c>
      <c r="M1077" t="s">
        <v>161</v>
      </c>
      <c r="N1077" s="5" t="s">
        <v>161</v>
      </c>
      <c r="O1077" t="s">
        <v>28</v>
      </c>
      <c r="P1077" t="s">
        <v>21</v>
      </c>
      <c r="Q1077" t="s">
        <v>26</v>
      </c>
      <c r="R1077">
        <v>0.39</v>
      </c>
      <c r="S1077" s="1">
        <v>39891</v>
      </c>
      <c r="T1077" t="str">
        <f t="shared" si="33"/>
        <v>19-Mar-2009</v>
      </c>
    </row>
    <row r="1078" spans="1:20" x14ac:dyDescent="0.3">
      <c r="A1078">
        <v>8835</v>
      </c>
      <c r="B1078" s="1">
        <v>40099</v>
      </c>
      <c r="C1078" t="s">
        <v>43</v>
      </c>
      <c r="D1078" t="str">
        <f t="shared" si="32"/>
        <v>13-Oct-2009</v>
      </c>
      <c r="E1078">
        <v>12</v>
      </c>
      <c r="F1078" s="13">
        <v>153.44</v>
      </c>
      <c r="G1078">
        <v>0.05</v>
      </c>
      <c r="H1078" t="s">
        <v>19</v>
      </c>
      <c r="I1078" s="13">
        <v>-6.15</v>
      </c>
      <c r="J1078">
        <v>12.2</v>
      </c>
      <c r="K1078">
        <v>6.02</v>
      </c>
      <c r="L1078" t="s">
        <v>188</v>
      </c>
      <c r="M1078" t="s">
        <v>161</v>
      </c>
      <c r="N1078" s="5" t="s">
        <v>161</v>
      </c>
      <c r="O1078" t="s">
        <v>28</v>
      </c>
      <c r="P1078" t="s">
        <v>32</v>
      </c>
      <c r="Q1078" t="s">
        <v>33</v>
      </c>
      <c r="R1078">
        <v>0.43</v>
      </c>
      <c r="S1078" s="1">
        <v>40100</v>
      </c>
      <c r="T1078" t="str">
        <f t="shared" si="33"/>
        <v>14-Oct-2009</v>
      </c>
    </row>
    <row r="1079" spans="1:20" x14ac:dyDescent="0.3">
      <c r="A1079">
        <v>8710</v>
      </c>
      <c r="B1079" s="1">
        <v>39817</v>
      </c>
      <c r="C1079" t="s">
        <v>43</v>
      </c>
      <c r="D1079" t="str">
        <f t="shared" si="32"/>
        <v>04-Jan-2009</v>
      </c>
      <c r="E1079">
        <v>42</v>
      </c>
      <c r="F1079" s="13">
        <v>151.35</v>
      </c>
      <c r="G1079">
        <v>7.0000000000000007E-2</v>
      </c>
      <c r="H1079" t="s">
        <v>35</v>
      </c>
      <c r="I1079" s="13">
        <v>8.33</v>
      </c>
      <c r="J1079">
        <v>3.71</v>
      </c>
      <c r="K1079">
        <v>1.93</v>
      </c>
      <c r="L1079" t="s">
        <v>181</v>
      </c>
      <c r="M1079" t="s">
        <v>161</v>
      </c>
      <c r="N1079" s="5" t="s">
        <v>161</v>
      </c>
      <c r="O1079" t="s">
        <v>28</v>
      </c>
      <c r="P1079" t="s">
        <v>21</v>
      </c>
      <c r="Q1079" t="s">
        <v>37</v>
      </c>
      <c r="R1079">
        <v>0.35</v>
      </c>
      <c r="S1079" s="1">
        <v>39819</v>
      </c>
      <c r="T1079" t="str">
        <f t="shared" si="33"/>
        <v>06-Jan-2009</v>
      </c>
    </row>
    <row r="1080" spans="1:20" x14ac:dyDescent="0.3">
      <c r="A1080">
        <v>35584</v>
      </c>
      <c r="B1080" s="1">
        <v>40666</v>
      </c>
      <c r="C1080" t="s">
        <v>38</v>
      </c>
      <c r="D1080" t="str">
        <f t="shared" si="32"/>
        <v>03-May-2011</v>
      </c>
      <c r="E1080">
        <v>15</v>
      </c>
      <c r="F1080" s="13">
        <v>150.33000000000001</v>
      </c>
      <c r="G1080">
        <v>0.08</v>
      </c>
      <c r="H1080" t="s">
        <v>35</v>
      </c>
      <c r="I1080" s="13">
        <v>-98.23</v>
      </c>
      <c r="J1080">
        <v>9.7100000000000009</v>
      </c>
      <c r="K1080">
        <v>9.4499999999999993</v>
      </c>
      <c r="L1080" t="s">
        <v>152</v>
      </c>
      <c r="M1080" t="s">
        <v>161</v>
      </c>
      <c r="N1080" s="5" t="s">
        <v>161</v>
      </c>
      <c r="O1080" t="s">
        <v>28</v>
      </c>
      <c r="P1080" t="s">
        <v>21</v>
      </c>
      <c r="Q1080" t="s">
        <v>22</v>
      </c>
      <c r="R1080">
        <v>0.6</v>
      </c>
      <c r="S1080" s="1">
        <v>40666</v>
      </c>
      <c r="T1080" t="str">
        <f t="shared" si="33"/>
        <v>03-May-2011</v>
      </c>
    </row>
    <row r="1081" spans="1:20" x14ac:dyDescent="0.3">
      <c r="A1081">
        <v>29380</v>
      </c>
      <c r="B1081" s="1">
        <v>39930</v>
      </c>
      <c r="C1081" t="s">
        <v>31</v>
      </c>
      <c r="D1081" t="str">
        <f t="shared" si="32"/>
        <v>27-Apr-2009</v>
      </c>
      <c r="E1081">
        <v>13</v>
      </c>
      <c r="F1081" s="13">
        <v>150.13</v>
      </c>
      <c r="G1081">
        <v>0.09</v>
      </c>
      <c r="H1081" t="s">
        <v>19</v>
      </c>
      <c r="I1081" s="13">
        <v>1.73</v>
      </c>
      <c r="J1081">
        <v>12.28</v>
      </c>
      <c r="K1081">
        <v>4.8600000000000003</v>
      </c>
      <c r="L1081" t="s">
        <v>176</v>
      </c>
      <c r="M1081" t="s">
        <v>161</v>
      </c>
      <c r="N1081" s="5" t="s">
        <v>161</v>
      </c>
      <c r="O1081" t="s">
        <v>28</v>
      </c>
      <c r="P1081" t="s">
        <v>21</v>
      </c>
      <c r="Q1081" t="s">
        <v>37</v>
      </c>
      <c r="R1081">
        <v>0.38</v>
      </c>
      <c r="S1081" s="1">
        <v>39931</v>
      </c>
      <c r="T1081" t="str">
        <f t="shared" si="33"/>
        <v>28-Apr-2009</v>
      </c>
    </row>
    <row r="1082" spans="1:20" x14ac:dyDescent="0.3">
      <c r="A1082">
        <v>11808</v>
      </c>
      <c r="B1082" s="1">
        <v>41121</v>
      </c>
      <c r="C1082" t="s">
        <v>31</v>
      </c>
      <c r="D1082" t="str">
        <f t="shared" si="32"/>
        <v>31-Jul-2012</v>
      </c>
      <c r="E1082">
        <v>1</v>
      </c>
      <c r="F1082" s="13">
        <v>148.34399999999999</v>
      </c>
      <c r="G1082">
        <v>0.06</v>
      </c>
      <c r="H1082" t="s">
        <v>24</v>
      </c>
      <c r="I1082" s="13">
        <v>25.21</v>
      </c>
      <c r="J1082">
        <v>150.97999999999999</v>
      </c>
      <c r="K1082">
        <v>39.25</v>
      </c>
      <c r="L1082" t="s">
        <v>235</v>
      </c>
      <c r="M1082" t="s">
        <v>161</v>
      </c>
      <c r="N1082" s="5" t="s">
        <v>161</v>
      </c>
      <c r="O1082" t="s">
        <v>28</v>
      </c>
      <c r="P1082" t="s">
        <v>32</v>
      </c>
      <c r="Q1082" t="s">
        <v>46</v>
      </c>
      <c r="R1082">
        <v>0.75</v>
      </c>
      <c r="S1082" s="1">
        <v>41122</v>
      </c>
      <c r="T1082" t="str">
        <f t="shared" si="33"/>
        <v>01-Aug-2012</v>
      </c>
    </row>
    <row r="1083" spans="1:20" x14ac:dyDescent="0.3">
      <c r="A1083">
        <v>58725</v>
      </c>
      <c r="B1083" s="1">
        <v>40318</v>
      </c>
      <c r="C1083" t="s">
        <v>31</v>
      </c>
      <c r="D1083" t="str">
        <f t="shared" si="32"/>
        <v>20-May-2010</v>
      </c>
      <c r="E1083">
        <v>20</v>
      </c>
      <c r="F1083" s="13">
        <v>148.31</v>
      </c>
      <c r="G1083">
        <v>0.03</v>
      </c>
      <c r="H1083" t="s">
        <v>19</v>
      </c>
      <c r="I1083" s="13">
        <v>37.33</v>
      </c>
      <c r="J1083">
        <v>7.04</v>
      </c>
      <c r="K1083">
        <v>2.17</v>
      </c>
      <c r="L1083" t="s">
        <v>152</v>
      </c>
      <c r="M1083" t="s">
        <v>161</v>
      </c>
      <c r="N1083" s="5" t="s">
        <v>161</v>
      </c>
      <c r="O1083" t="s">
        <v>28</v>
      </c>
      <c r="P1083" t="s">
        <v>21</v>
      </c>
      <c r="Q1083" t="s">
        <v>37</v>
      </c>
      <c r="R1083">
        <v>0.38</v>
      </c>
      <c r="S1083" s="1">
        <v>40319</v>
      </c>
      <c r="T1083" t="str">
        <f t="shared" si="33"/>
        <v>21-May-2010</v>
      </c>
    </row>
    <row r="1084" spans="1:20" x14ac:dyDescent="0.3">
      <c r="A1084">
        <v>16326</v>
      </c>
      <c r="B1084" s="1">
        <v>40308</v>
      </c>
      <c r="C1084" t="s">
        <v>23</v>
      </c>
      <c r="D1084" t="str">
        <f t="shared" si="32"/>
        <v>10-May-2010</v>
      </c>
      <c r="E1084">
        <v>39</v>
      </c>
      <c r="F1084" s="13">
        <v>147.46</v>
      </c>
      <c r="G1084">
        <v>0.06</v>
      </c>
      <c r="H1084" t="s">
        <v>19</v>
      </c>
      <c r="I1084" s="13">
        <v>14.13</v>
      </c>
      <c r="J1084">
        <v>3.71</v>
      </c>
      <c r="K1084">
        <v>1.93</v>
      </c>
      <c r="L1084" t="s">
        <v>169</v>
      </c>
      <c r="M1084" t="s">
        <v>161</v>
      </c>
      <c r="N1084" s="5" t="s">
        <v>161</v>
      </c>
      <c r="O1084" t="s">
        <v>28</v>
      </c>
      <c r="P1084" t="s">
        <v>21</v>
      </c>
      <c r="Q1084" t="s">
        <v>37</v>
      </c>
      <c r="R1084">
        <v>0.35</v>
      </c>
      <c r="S1084" s="1">
        <v>40308</v>
      </c>
      <c r="T1084" t="str">
        <f t="shared" si="33"/>
        <v>10-May-2010</v>
      </c>
    </row>
    <row r="1085" spans="1:20" x14ac:dyDescent="0.3">
      <c r="A1085">
        <v>21382</v>
      </c>
      <c r="B1085" s="1">
        <v>40920</v>
      </c>
      <c r="C1085" t="s">
        <v>43</v>
      </c>
      <c r="D1085" t="str">
        <f t="shared" si="32"/>
        <v>12-Jan-2012</v>
      </c>
      <c r="E1085">
        <v>27</v>
      </c>
      <c r="F1085" s="13">
        <v>145.93</v>
      </c>
      <c r="G1085">
        <v>0</v>
      </c>
      <c r="H1085" t="s">
        <v>19</v>
      </c>
      <c r="I1085" s="13">
        <v>-113.32</v>
      </c>
      <c r="J1085">
        <v>4.9800000000000004</v>
      </c>
      <c r="K1085">
        <v>7.44</v>
      </c>
      <c r="L1085" t="s">
        <v>203</v>
      </c>
      <c r="M1085" t="s">
        <v>161</v>
      </c>
      <c r="N1085" s="5" t="s">
        <v>161</v>
      </c>
      <c r="O1085" t="s">
        <v>28</v>
      </c>
      <c r="P1085" t="s">
        <v>21</v>
      </c>
      <c r="Q1085" t="s">
        <v>37</v>
      </c>
      <c r="R1085">
        <v>0.36</v>
      </c>
      <c r="S1085" s="1">
        <v>40923</v>
      </c>
      <c r="T1085" t="str">
        <f t="shared" si="33"/>
        <v>15-Jan-2012</v>
      </c>
    </row>
    <row r="1086" spans="1:20" x14ac:dyDescent="0.3">
      <c r="A1086">
        <v>3235</v>
      </c>
      <c r="B1086" s="1">
        <v>40861</v>
      </c>
      <c r="C1086" t="s">
        <v>18</v>
      </c>
      <c r="D1086" t="str">
        <f t="shared" si="32"/>
        <v>14-Nov-2011</v>
      </c>
      <c r="E1086">
        <v>31</v>
      </c>
      <c r="F1086" s="13">
        <v>142.97</v>
      </c>
      <c r="G1086">
        <v>0.1</v>
      </c>
      <c r="H1086" t="s">
        <v>35</v>
      </c>
      <c r="I1086" s="13">
        <v>-12.26</v>
      </c>
      <c r="J1086">
        <v>4.71</v>
      </c>
      <c r="K1086">
        <v>0.7</v>
      </c>
      <c r="L1086" t="s">
        <v>188</v>
      </c>
      <c r="M1086" t="s">
        <v>161</v>
      </c>
      <c r="N1086" s="5" t="s">
        <v>161</v>
      </c>
      <c r="O1086" t="s">
        <v>28</v>
      </c>
      <c r="P1086" t="s">
        <v>21</v>
      </c>
      <c r="Q1086" t="s">
        <v>39</v>
      </c>
      <c r="R1086">
        <v>0.85</v>
      </c>
      <c r="S1086" s="1">
        <v>40863</v>
      </c>
      <c r="T1086" t="str">
        <f t="shared" si="33"/>
        <v>16-Nov-2011</v>
      </c>
    </row>
    <row r="1087" spans="1:20" x14ac:dyDescent="0.3">
      <c r="A1087">
        <v>26535</v>
      </c>
      <c r="B1087" s="1">
        <v>40988</v>
      </c>
      <c r="C1087" t="s">
        <v>31</v>
      </c>
      <c r="D1087" t="str">
        <f t="shared" si="32"/>
        <v>20-Mar-2012</v>
      </c>
      <c r="E1087">
        <v>33</v>
      </c>
      <c r="F1087" s="13">
        <v>141.69999999999999</v>
      </c>
      <c r="G1087">
        <v>0.02</v>
      </c>
      <c r="H1087" t="s">
        <v>19</v>
      </c>
      <c r="I1087" s="13">
        <v>-103.21</v>
      </c>
      <c r="J1087">
        <v>3.98</v>
      </c>
      <c r="K1087">
        <v>5.26</v>
      </c>
      <c r="L1087" t="s">
        <v>183</v>
      </c>
      <c r="M1087" t="s">
        <v>161</v>
      </c>
      <c r="N1087" s="5" t="s">
        <v>161</v>
      </c>
      <c r="O1087" t="s">
        <v>28</v>
      </c>
      <c r="P1087" t="s">
        <v>21</v>
      </c>
      <c r="Q1087" t="s">
        <v>26</v>
      </c>
      <c r="R1087">
        <v>0.38</v>
      </c>
      <c r="S1087" s="1">
        <v>40990</v>
      </c>
      <c r="T1087" t="str">
        <f t="shared" si="33"/>
        <v>22-Mar-2012</v>
      </c>
    </row>
    <row r="1088" spans="1:20" x14ac:dyDescent="0.3">
      <c r="A1088">
        <v>42820</v>
      </c>
      <c r="B1088" s="1">
        <v>40225</v>
      </c>
      <c r="C1088" t="s">
        <v>18</v>
      </c>
      <c r="D1088" t="str">
        <f t="shared" si="32"/>
        <v>16-Feb-2010</v>
      </c>
      <c r="E1088">
        <v>27</v>
      </c>
      <c r="F1088" s="13">
        <v>141.56</v>
      </c>
      <c r="G1088">
        <v>0.1</v>
      </c>
      <c r="H1088" t="s">
        <v>19</v>
      </c>
      <c r="I1088" s="13">
        <v>-2.85</v>
      </c>
      <c r="J1088">
        <v>5.28</v>
      </c>
      <c r="K1088">
        <v>2.99</v>
      </c>
      <c r="L1088" t="s">
        <v>186</v>
      </c>
      <c r="M1088" t="s">
        <v>161</v>
      </c>
      <c r="N1088" s="5" t="s">
        <v>161</v>
      </c>
      <c r="O1088" t="s">
        <v>28</v>
      </c>
      <c r="P1088" t="s">
        <v>21</v>
      </c>
      <c r="Q1088" t="s">
        <v>26</v>
      </c>
      <c r="R1088">
        <v>0.37</v>
      </c>
      <c r="S1088" s="1">
        <v>40232</v>
      </c>
      <c r="T1088" t="str">
        <f t="shared" si="33"/>
        <v>23-Feb-2010</v>
      </c>
    </row>
    <row r="1089" spans="1:20" x14ac:dyDescent="0.3">
      <c r="A1089">
        <v>12897</v>
      </c>
      <c r="B1089" s="1">
        <v>40742</v>
      </c>
      <c r="C1089" t="s">
        <v>31</v>
      </c>
      <c r="D1089" t="str">
        <f t="shared" si="32"/>
        <v>18-Jul-2011</v>
      </c>
      <c r="E1089">
        <v>39</v>
      </c>
      <c r="F1089" s="13">
        <v>141.49</v>
      </c>
      <c r="G1089">
        <v>0.03</v>
      </c>
      <c r="H1089" t="s">
        <v>19</v>
      </c>
      <c r="I1089" s="13">
        <v>59.92</v>
      </c>
      <c r="J1089">
        <v>3.69</v>
      </c>
      <c r="K1089">
        <v>0.5</v>
      </c>
      <c r="L1089" t="s">
        <v>189</v>
      </c>
      <c r="M1089" t="s">
        <v>161</v>
      </c>
      <c r="N1089" s="5" t="s">
        <v>161</v>
      </c>
      <c r="O1089" t="s">
        <v>28</v>
      </c>
      <c r="P1089" t="s">
        <v>21</v>
      </c>
      <c r="Q1089" t="s">
        <v>48</v>
      </c>
      <c r="R1089">
        <v>0.38</v>
      </c>
      <c r="S1089" s="1">
        <v>40743</v>
      </c>
      <c r="T1089" t="str">
        <f t="shared" si="33"/>
        <v>19-Jul-2011</v>
      </c>
    </row>
    <row r="1090" spans="1:20" x14ac:dyDescent="0.3">
      <c r="A1090">
        <v>41604</v>
      </c>
      <c r="B1090" s="1">
        <v>39854</v>
      </c>
      <c r="C1090" t="s">
        <v>38</v>
      </c>
      <c r="D1090" t="str">
        <f t="shared" ref="D1090:D1153" si="34">TEXT(B1090, "dd-mmm-yyyy" )</f>
        <v>10-Feb-2009</v>
      </c>
      <c r="E1090">
        <v>22</v>
      </c>
      <c r="F1090" s="13">
        <v>138.24</v>
      </c>
      <c r="G1090">
        <v>0.06</v>
      </c>
      <c r="H1090" t="s">
        <v>19</v>
      </c>
      <c r="I1090" s="13">
        <v>-48.22</v>
      </c>
      <c r="J1090">
        <v>6.37</v>
      </c>
      <c r="K1090">
        <v>5.19</v>
      </c>
      <c r="L1090" t="s">
        <v>189</v>
      </c>
      <c r="M1090" t="s">
        <v>161</v>
      </c>
      <c r="N1090" s="5" t="s">
        <v>161</v>
      </c>
      <c r="O1090" t="s">
        <v>28</v>
      </c>
      <c r="P1090" t="s">
        <v>21</v>
      </c>
      <c r="Q1090" t="s">
        <v>26</v>
      </c>
      <c r="R1090">
        <v>0.38</v>
      </c>
      <c r="S1090" s="1">
        <v>39855</v>
      </c>
      <c r="T1090" t="str">
        <f t="shared" ref="T1090:T1153" si="35">TEXT(S1090, "dd-mmm-yyyy")</f>
        <v>11-Feb-2009</v>
      </c>
    </row>
    <row r="1091" spans="1:20" x14ac:dyDescent="0.3">
      <c r="A1091">
        <v>50854</v>
      </c>
      <c r="B1091" s="1">
        <v>40894</v>
      </c>
      <c r="C1091" t="s">
        <v>43</v>
      </c>
      <c r="D1091" t="str">
        <f t="shared" si="34"/>
        <v>17-Dec-2011</v>
      </c>
      <c r="E1091">
        <v>27</v>
      </c>
      <c r="F1091" s="13">
        <v>137.5</v>
      </c>
      <c r="G1091">
        <v>7.0000000000000007E-2</v>
      </c>
      <c r="H1091" t="s">
        <v>19</v>
      </c>
      <c r="I1091" s="13">
        <v>-64.239999999999995</v>
      </c>
      <c r="J1091">
        <v>4.9800000000000004</v>
      </c>
      <c r="K1091">
        <v>4.95</v>
      </c>
      <c r="L1091" t="s">
        <v>196</v>
      </c>
      <c r="M1091" t="s">
        <v>161</v>
      </c>
      <c r="N1091" s="5" t="s">
        <v>161</v>
      </c>
      <c r="O1091" t="s">
        <v>28</v>
      </c>
      <c r="P1091" t="s">
        <v>21</v>
      </c>
      <c r="Q1091" t="s">
        <v>26</v>
      </c>
      <c r="R1091">
        <v>0.37</v>
      </c>
      <c r="S1091" s="1">
        <v>40894</v>
      </c>
      <c r="T1091" t="str">
        <f t="shared" si="35"/>
        <v>17-Dec-2011</v>
      </c>
    </row>
    <row r="1092" spans="1:20" x14ac:dyDescent="0.3">
      <c r="A1092">
        <v>10470</v>
      </c>
      <c r="B1092" s="1">
        <v>41033</v>
      </c>
      <c r="C1092" t="s">
        <v>18</v>
      </c>
      <c r="D1092" t="str">
        <f t="shared" si="34"/>
        <v>04-May-2012</v>
      </c>
      <c r="E1092">
        <v>8</v>
      </c>
      <c r="F1092" s="13">
        <v>137.26</v>
      </c>
      <c r="G1092">
        <v>0.03</v>
      </c>
      <c r="H1092" t="s">
        <v>19</v>
      </c>
      <c r="I1092" s="13">
        <v>-54.61</v>
      </c>
      <c r="J1092">
        <v>15.99</v>
      </c>
      <c r="K1092">
        <v>13.18</v>
      </c>
      <c r="L1092" t="s">
        <v>296</v>
      </c>
      <c r="M1092" t="s">
        <v>161</v>
      </c>
      <c r="N1092" s="5" t="s">
        <v>161</v>
      </c>
      <c r="O1092" t="s">
        <v>28</v>
      </c>
      <c r="P1092" t="s">
        <v>21</v>
      </c>
      <c r="Q1092" t="s">
        <v>26</v>
      </c>
      <c r="R1092">
        <v>0.37</v>
      </c>
      <c r="S1092" s="1">
        <v>41040</v>
      </c>
      <c r="T1092" t="str">
        <f t="shared" si="35"/>
        <v>11-May-2012</v>
      </c>
    </row>
    <row r="1093" spans="1:20" x14ac:dyDescent="0.3">
      <c r="A1093">
        <v>52930</v>
      </c>
      <c r="B1093" s="1">
        <v>40855</v>
      </c>
      <c r="C1093" t="s">
        <v>18</v>
      </c>
      <c r="D1093" t="str">
        <f t="shared" si="34"/>
        <v>08-Nov-2011</v>
      </c>
      <c r="E1093">
        <v>16</v>
      </c>
      <c r="F1093" s="13">
        <v>136.97999999999999</v>
      </c>
      <c r="G1093">
        <v>0.04</v>
      </c>
      <c r="H1093" t="s">
        <v>19</v>
      </c>
      <c r="I1093" s="13">
        <v>44.12</v>
      </c>
      <c r="J1093">
        <v>8.74</v>
      </c>
      <c r="K1093">
        <v>1.39</v>
      </c>
      <c r="L1093" t="s">
        <v>118</v>
      </c>
      <c r="M1093" t="s">
        <v>161</v>
      </c>
      <c r="N1093" s="5" t="s">
        <v>161</v>
      </c>
      <c r="O1093" t="s">
        <v>28</v>
      </c>
      <c r="P1093" t="s">
        <v>21</v>
      </c>
      <c r="Q1093" t="s">
        <v>42</v>
      </c>
      <c r="R1093">
        <v>0.38</v>
      </c>
      <c r="S1093" s="1">
        <v>40859</v>
      </c>
      <c r="T1093" t="str">
        <f t="shared" si="35"/>
        <v>12-Nov-2011</v>
      </c>
    </row>
    <row r="1094" spans="1:20" x14ac:dyDescent="0.3">
      <c r="A1094">
        <v>18528</v>
      </c>
      <c r="B1094" s="1">
        <v>40663</v>
      </c>
      <c r="C1094" t="s">
        <v>43</v>
      </c>
      <c r="D1094" t="str">
        <f t="shared" si="34"/>
        <v>30-Apr-2011</v>
      </c>
      <c r="E1094">
        <v>22</v>
      </c>
      <c r="F1094" s="13">
        <v>136.24</v>
      </c>
      <c r="G1094">
        <v>0.03</v>
      </c>
      <c r="H1094" t="s">
        <v>19</v>
      </c>
      <c r="I1094" s="13">
        <v>-96.22</v>
      </c>
      <c r="J1094">
        <v>5.78</v>
      </c>
      <c r="K1094">
        <v>7.96</v>
      </c>
      <c r="L1094" t="s">
        <v>179</v>
      </c>
      <c r="M1094" t="s">
        <v>161</v>
      </c>
      <c r="N1094" s="5" t="s">
        <v>161</v>
      </c>
      <c r="O1094" t="s">
        <v>28</v>
      </c>
      <c r="P1094" t="s">
        <v>21</v>
      </c>
      <c r="Q1094" t="s">
        <v>37</v>
      </c>
      <c r="R1094">
        <v>0.36</v>
      </c>
      <c r="S1094" s="1">
        <v>40665</v>
      </c>
      <c r="T1094" t="str">
        <f t="shared" si="35"/>
        <v>02-May-2011</v>
      </c>
    </row>
    <row r="1095" spans="1:20" x14ac:dyDescent="0.3">
      <c r="A1095">
        <v>38466</v>
      </c>
      <c r="B1095" s="1">
        <v>40772</v>
      </c>
      <c r="C1095" t="s">
        <v>43</v>
      </c>
      <c r="D1095" t="str">
        <f t="shared" si="34"/>
        <v>17-Aug-2011</v>
      </c>
      <c r="E1095">
        <v>22</v>
      </c>
      <c r="F1095" s="13">
        <v>136.18</v>
      </c>
      <c r="G1095">
        <v>0.08</v>
      </c>
      <c r="H1095" t="s">
        <v>19</v>
      </c>
      <c r="I1095" s="13">
        <v>-43.26</v>
      </c>
      <c r="J1095">
        <v>5.98</v>
      </c>
      <c r="K1095">
        <v>5.46</v>
      </c>
      <c r="L1095" t="s">
        <v>291</v>
      </c>
      <c r="M1095" t="s">
        <v>161</v>
      </c>
      <c r="N1095" s="5" t="s">
        <v>161</v>
      </c>
      <c r="O1095" t="s">
        <v>28</v>
      </c>
      <c r="P1095" t="s">
        <v>21</v>
      </c>
      <c r="Q1095" t="s">
        <v>37</v>
      </c>
      <c r="R1095">
        <v>0.36</v>
      </c>
      <c r="S1095" s="1">
        <v>40773</v>
      </c>
      <c r="T1095" t="str">
        <f t="shared" si="35"/>
        <v>18-Aug-2011</v>
      </c>
    </row>
    <row r="1096" spans="1:20" x14ac:dyDescent="0.3">
      <c r="A1096">
        <v>51713</v>
      </c>
      <c r="B1096" s="1">
        <v>40621</v>
      </c>
      <c r="C1096" t="s">
        <v>31</v>
      </c>
      <c r="D1096" t="str">
        <f t="shared" si="34"/>
        <v>19-Mar-2011</v>
      </c>
      <c r="E1096">
        <v>35</v>
      </c>
      <c r="F1096" s="13">
        <v>133.07</v>
      </c>
      <c r="G1096">
        <v>0.02</v>
      </c>
      <c r="H1096" t="s">
        <v>19</v>
      </c>
      <c r="I1096" s="13">
        <v>-15.96</v>
      </c>
      <c r="J1096">
        <v>3.74</v>
      </c>
      <c r="K1096">
        <v>0.94</v>
      </c>
      <c r="L1096" t="s">
        <v>294</v>
      </c>
      <c r="M1096" t="s">
        <v>161</v>
      </c>
      <c r="N1096" s="5" t="s">
        <v>161</v>
      </c>
      <c r="O1096" t="s">
        <v>28</v>
      </c>
      <c r="P1096" t="s">
        <v>21</v>
      </c>
      <c r="Q1096" t="s">
        <v>39</v>
      </c>
      <c r="R1096">
        <v>0.83</v>
      </c>
      <c r="S1096" s="1">
        <v>40622</v>
      </c>
      <c r="T1096" t="str">
        <f t="shared" si="35"/>
        <v>20-Mar-2011</v>
      </c>
    </row>
    <row r="1097" spans="1:20" x14ac:dyDescent="0.3">
      <c r="A1097">
        <v>19777</v>
      </c>
      <c r="B1097" s="1">
        <v>41201</v>
      </c>
      <c r="C1097" t="s">
        <v>31</v>
      </c>
      <c r="D1097" t="str">
        <f t="shared" si="34"/>
        <v>19-Oct-2012</v>
      </c>
      <c r="E1097">
        <v>2</v>
      </c>
      <c r="F1097" s="13">
        <v>132.96</v>
      </c>
      <c r="G1097">
        <v>0.05</v>
      </c>
      <c r="H1097" t="s">
        <v>19</v>
      </c>
      <c r="I1097" s="13">
        <v>-61.88</v>
      </c>
      <c r="J1097">
        <v>59.78</v>
      </c>
      <c r="K1097">
        <v>10.29</v>
      </c>
      <c r="L1097" t="s">
        <v>174</v>
      </c>
      <c r="M1097" t="s">
        <v>161</v>
      </c>
      <c r="N1097" s="5" t="s">
        <v>161</v>
      </c>
      <c r="O1097" t="s">
        <v>28</v>
      </c>
      <c r="P1097" t="s">
        <v>21</v>
      </c>
      <c r="Q1097" t="s">
        <v>26</v>
      </c>
      <c r="R1097">
        <v>0.39</v>
      </c>
      <c r="S1097" s="1">
        <v>41203</v>
      </c>
      <c r="T1097" t="str">
        <f t="shared" si="35"/>
        <v>21-Oct-2012</v>
      </c>
    </row>
    <row r="1098" spans="1:20" x14ac:dyDescent="0.3">
      <c r="A1098">
        <v>57479</v>
      </c>
      <c r="B1098" s="1">
        <v>40617</v>
      </c>
      <c r="C1098" t="s">
        <v>23</v>
      </c>
      <c r="D1098" t="str">
        <f t="shared" si="34"/>
        <v>15-Mar-2011</v>
      </c>
      <c r="E1098">
        <v>37</v>
      </c>
      <c r="F1098" s="13">
        <v>132.12</v>
      </c>
      <c r="G1098">
        <v>7.0000000000000007E-2</v>
      </c>
      <c r="H1098" t="s">
        <v>19</v>
      </c>
      <c r="I1098" s="13">
        <v>54.78</v>
      </c>
      <c r="J1098">
        <v>3.75</v>
      </c>
      <c r="K1098">
        <v>0.5</v>
      </c>
      <c r="L1098" t="s">
        <v>207</v>
      </c>
      <c r="M1098" t="s">
        <v>161</v>
      </c>
      <c r="N1098" s="5" t="s">
        <v>161</v>
      </c>
      <c r="O1098" t="s">
        <v>28</v>
      </c>
      <c r="P1098" t="s">
        <v>21</v>
      </c>
      <c r="Q1098" t="s">
        <v>48</v>
      </c>
      <c r="R1098">
        <v>0.37</v>
      </c>
      <c r="S1098" s="1">
        <v>40618</v>
      </c>
      <c r="T1098" t="str">
        <f t="shared" si="35"/>
        <v>16-Mar-2011</v>
      </c>
    </row>
    <row r="1099" spans="1:20" x14ac:dyDescent="0.3">
      <c r="A1099">
        <v>994</v>
      </c>
      <c r="B1099" s="1">
        <v>39922</v>
      </c>
      <c r="C1099" t="s">
        <v>18</v>
      </c>
      <c r="D1099" t="str">
        <f t="shared" si="34"/>
        <v>19-Apr-2009</v>
      </c>
      <c r="E1099">
        <v>38</v>
      </c>
      <c r="F1099" s="13">
        <v>132.07</v>
      </c>
      <c r="G1099">
        <v>0.06</v>
      </c>
      <c r="H1099" t="s">
        <v>19</v>
      </c>
      <c r="I1099" s="13">
        <v>14</v>
      </c>
      <c r="J1099">
        <v>3.58</v>
      </c>
      <c r="K1099">
        <v>1.63</v>
      </c>
      <c r="L1099" t="s">
        <v>184</v>
      </c>
      <c r="M1099" t="s">
        <v>161</v>
      </c>
      <c r="N1099" s="5" t="s">
        <v>161</v>
      </c>
      <c r="O1099" t="s">
        <v>28</v>
      </c>
      <c r="P1099" t="s">
        <v>21</v>
      </c>
      <c r="Q1099" t="s">
        <v>39</v>
      </c>
      <c r="R1099">
        <v>0.36</v>
      </c>
      <c r="S1099" s="1">
        <v>39926</v>
      </c>
      <c r="T1099" t="str">
        <f t="shared" si="35"/>
        <v>23-Apr-2009</v>
      </c>
    </row>
    <row r="1100" spans="1:20" x14ac:dyDescent="0.3">
      <c r="A1100">
        <v>36416</v>
      </c>
      <c r="B1100" s="1">
        <v>40147</v>
      </c>
      <c r="C1100" t="s">
        <v>18</v>
      </c>
      <c r="D1100" t="str">
        <f t="shared" si="34"/>
        <v>30-Nov-2009</v>
      </c>
      <c r="E1100">
        <v>46</v>
      </c>
      <c r="F1100" s="13">
        <v>132.01</v>
      </c>
      <c r="G1100">
        <v>0.04</v>
      </c>
      <c r="H1100" t="s">
        <v>19</v>
      </c>
      <c r="I1100" s="13">
        <v>6.93</v>
      </c>
      <c r="J1100">
        <v>2.88</v>
      </c>
      <c r="K1100">
        <v>1.01</v>
      </c>
      <c r="L1100" t="s">
        <v>171</v>
      </c>
      <c r="M1100" t="s">
        <v>161</v>
      </c>
      <c r="N1100" s="5" t="s">
        <v>161</v>
      </c>
      <c r="O1100" t="s">
        <v>28</v>
      </c>
      <c r="P1100" t="s">
        <v>21</v>
      </c>
      <c r="Q1100" t="s">
        <v>50</v>
      </c>
      <c r="R1100">
        <v>0.55000000000000004</v>
      </c>
      <c r="S1100" s="1">
        <v>40151</v>
      </c>
      <c r="T1100" t="str">
        <f t="shared" si="35"/>
        <v>04-Dec-2009</v>
      </c>
    </row>
    <row r="1101" spans="1:20" x14ac:dyDescent="0.3">
      <c r="A1101">
        <v>51140</v>
      </c>
      <c r="B1101" s="1">
        <v>41166</v>
      </c>
      <c r="C1101" t="s">
        <v>18</v>
      </c>
      <c r="D1101" t="str">
        <f t="shared" si="34"/>
        <v>14-Sep-2012</v>
      </c>
      <c r="E1101">
        <v>28</v>
      </c>
      <c r="F1101" s="13">
        <v>132.01</v>
      </c>
      <c r="G1101">
        <v>0.04</v>
      </c>
      <c r="H1101" t="s">
        <v>19</v>
      </c>
      <c r="I1101" s="13">
        <v>-93.12</v>
      </c>
      <c r="J1101">
        <v>4.37</v>
      </c>
      <c r="K1101">
        <v>5.15</v>
      </c>
      <c r="L1101" t="s">
        <v>171</v>
      </c>
      <c r="M1101" t="s">
        <v>161</v>
      </c>
      <c r="N1101" s="5" t="s">
        <v>161</v>
      </c>
      <c r="O1101" t="s">
        <v>28</v>
      </c>
      <c r="P1101" t="s">
        <v>21</v>
      </c>
      <c r="Q1101" t="s">
        <v>25</v>
      </c>
      <c r="R1101">
        <v>0.59</v>
      </c>
      <c r="S1101" s="1">
        <v>41166</v>
      </c>
      <c r="T1101" t="str">
        <f t="shared" si="35"/>
        <v>14-Sep-2012</v>
      </c>
    </row>
    <row r="1102" spans="1:20" x14ac:dyDescent="0.3">
      <c r="A1102">
        <v>38337</v>
      </c>
      <c r="B1102" s="1">
        <v>40482</v>
      </c>
      <c r="C1102" t="s">
        <v>38</v>
      </c>
      <c r="D1102" t="str">
        <f t="shared" si="34"/>
        <v>31-Oct-2010</v>
      </c>
      <c r="E1102">
        <v>46</v>
      </c>
      <c r="F1102" s="13">
        <v>130.9</v>
      </c>
      <c r="G1102">
        <v>0.09</v>
      </c>
      <c r="H1102" t="s">
        <v>19</v>
      </c>
      <c r="I1102" s="13">
        <v>18.75</v>
      </c>
      <c r="J1102">
        <v>2.88</v>
      </c>
      <c r="K1102">
        <v>0.7</v>
      </c>
      <c r="L1102" t="s">
        <v>235</v>
      </c>
      <c r="M1102" t="s">
        <v>161</v>
      </c>
      <c r="N1102" s="5" t="s">
        <v>161</v>
      </c>
      <c r="O1102" t="s">
        <v>28</v>
      </c>
      <c r="P1102" t="s">
        <v>21</v>
      </c>
      <c r="Q1102" t="s">
        <v>50</v>
      </c>
      <c r="R1102">
        <v>0.56000000000000005</v>
      </c>
      <c r="S1102" s="1">
        <v>40484</v>
      </c>
      <c r="T1102" t="str">
        <f t="shared" si="35"/>
        <v>02-Nov-2010</v>
      </c>
    </row>
    <row r="1103" spans="1:20" x14ac:dyDescent="0.3">
      <c r="A1103">
        <v>35877</v>
      </c>
      <c r="B1103" s="1">
        <v>40323</v>
      </c>
      <c r="C1103" t="s">
        <v>23</v>
      </c>
      <c r="D1103" t="str">
        <f t="shared" si="34"/>
        <v>25-May-2010</v>
      </c>
      <c r="E1103">
        <v>30</v>
      </c>
      <c r="F1103" s="13">
        <v>129.71</v>
      </c>
      <c r="G1103">
        <v>0.08</v>
      </c>
      <c r="H1103" t="s">
        <v>19</v>
      </c>
      <c r="I1103" s="13">
        <v>-100.61</v>
      </c>
      <c r="J1103">
        <v>4.28</v>
      </c>
      <c r="K1103">
        <v>5.68</v>
      </c>
      <c r="L1103" t="s">
        <v>182</v>
      </c>
      <c r="M1103" t="s">
        <v>161</v>
      </c>
      <c r="N1103" s="5" t="s">
        <v>161</v>
      </c>
      <c r="O1103" t="s">
        <v>28</v>
      </c>
      <c r="P1103" t="s">
        <v>21</v>
      </c>
      <c r="Q1103" t="s">
        <v>37</v>
      </c>
      <c r="R1103">
        <v>0.4</v>
      </c>
      <c r="S1103" s="1">
        <v>40326</v>
      </c>
      <c r="T1103" t="str">
        <f t="shared" si="35"/>
        <v>28-May-2010</v>
      </c>
    </row>
    <row r="1104" spans="1:20" x14ac:dyDescent="0.3">
      <c r="A1104">
        <v>41059</v>
      </c>
      <c r="B1104" s="1">
        <v>40435</v>
      </c>
      <c r="C1104" t="s">
        <v>38</v>
      </c>
      <c r="D1104" t="str">
        <f t="shared" si="34"/>
        <v>14-Sep-2010</v>
      </c>
      <c r="E1104">
        <v>21</v>
      </c>
      <c r="F1104" s="13">
        <v>128.86000000000001</v>
      </c>
      <c r="G1104">
        <v>0</v>
      </c>
      <c r="H1104" t="s">
        <v>35</v>
      </c>
      <c r="I1104" s="13">
        <v>24.53</v>
      </c>
      <c r="J1104">
        <v>5.84</v>
      </c>
      <c r="K1104">
        <v>1.2</v>
      </c>
      <c r="L1104" t="s">
        <v>163</v>
      </c>
      <c r="M1104" t="s">
        <v>161</v>
      </c>
      <c r="N1104" s="5" t="s">
        <v>161</v>
      </c>
      <c r="O1104" t="s">
        <v>28</v>
      </c>
      <c r="P1104" t="s">
        <v>21</v>
      </c>
      <c r="Q1104" t="s">
        <v>50</v>
      </c>
      <c r="R1104">
        <v>0.55000000000000004</v>
      </c>
      <c r="S1104" s="1">
        <v>40437</v>
      </c>
      <c r="T1104" t="str">
        <f t="shared" si="35"/>
        <v>16-Sep-2010</v>
      </c>
    </row>
    <row r="1105" spans="1:20" x14ac:dyDescent="0.3">
      <c r="A1105">
        <v>50758</v>
      </c>
      <c r="B1105" s="1">
        <v>41102</v>
      </c>
      <c r="C1105" t="s">
        <v>38</v>
      </c>
      <c r="D1105" t="str">
        <f t="shared" si="34"/>
        <v>12-Jul-2012</v>
      </c>
      <c r="E1105">
        <v>17</v>
      </c>
      <c r="F1105" s="13">
        <v>128.5</v>
      </c>
      <c r="G1105">
        <v>0.02</v>
      </c>
      <c r="H1105" t="s">
        <v>35</v>
      </c>
      <c r="I1105" s="13">
        <v>-44.69</v>
      </c>
      <c r="J1105">
        <v>6.68</v>
      </c>
      <c r="K1105">
        <v>6.93</v>
      </c>
      <c r="L1105" t="s">
        <v>175</v>
      </c>
      <c r="M1105" t="s">
        <v>161</v>
      </c>
      <c r="N1105" s="5" t="s">
        <v>161</v>
      </c>
      <c r="O1105" t="s">
        <v>28</v>
      </c>
      <c r="P1105" t="s">
        <v>21</v>
      </c>
      <c r="Q1105" t="s">
        <v>37</v>
      </c>
      <c r="R1105">
        <v>0.37</v>
      </c>
      <c r="S1105" s="1">
        <v>41104</v>
      </c>
      <c r="T1105" t="str">
        <f t="shared" si="35"/>
        <v>14-Jul-2012</v>
      </c>
    </row>
    <row r="1106" spans="1:20" x14ac:dyDescent="0.3">
      <c r="A1106">
        <v>38532</v>
      </c>
      <c r="B1106" s="1">
        <v>41107</v>
      </c>
      <c r="C1106" t="s">
        <v>23</v>
      </c>
      <c r="D1106" t="str">
        <f t="shared" si="34"/>
        <v>17-Jul-2012</v>
      </c>
      <c r="E1106">
        <v>44</v>
      </c>
      <c r="F1106" s="13">
        <v>128.22</v>
      </c>
      <c r="G1106">
        <v>7.0000000000000007E-2</v>
      </c>
      <c r="H1106" t="s">
        <v>19</v>
      </c>
      <c r="I1106" s="13">
        <v>16.510000000000002</v>
      </c>
      <c r="J1106">
        <v>2.94</v>
      </c>
      <c r="K1106">
        <v>0.7</v>
      </c>
      <c r="L1106" t="s">
        <v>300</v>
      </c>
      <c r="M1106" t="s">
        <v>161</v>
      </c>
      <c r="N1106" s="5" t="s">
        <v>161</v>
      </c>
      <c r="O1106" t="s">
        <v>28</v>
      </c>
      <c r="P1106" t="s">
        <v>21</v>
      </c>
      <c r="Q1106" t="s">
        <v>50</v>
      </c>
      <c r="R1106">
        <v>0.57999999999999996</v>
      </c>
      <c r="S1106" s="1">
        <v>41109</v>
      </c>
      <c r="T1106" t="str">
        <f t="shared" si="35"/>
        <v>19-Jul-2012</v>
      </c>
    </row>
    <row r="1107" spans="1:20" x14ac:dyDescent="0.3">
      <c r="A1107">
        <v>28033</v>
      </c>
      <c r="B1107" s="1">
        <v>40435</v>
      </c>
      <c r="C1107" t="s">
        <v>23</v>
      </c>
      <c r="D1107" t="str">
        <f t="shared" si="34"/>
        <v>14-Sep-2010</v>
      </c>
      <c r="E1107">
        <v>18</v>
      </c>
      <c r="F1107" s="13">
        <v>127.56</v>
      </c>
      <c r="G1107">
        <v>0.01</v>
      </c>
      <c r="H1107" t="s">
        <v>19</v>
      </c>
      <c r="I1107" s="13">
        <v>-57.11</v>
      </c>
      <c r="J1107">
        <v>6.6</v>
      </c>
      <c r="K1107">
        <v>4.07</v>
      </c>
      <c r="L1107" t="s">
        <v>196</v>
      </c>
      <c r="M1107" t="s">
        <v>161</v>
      </c>
      <c r="N1107" s="5" t="s">
        <v>161</v>
      </c>
      <c r="O1107" t="s">
        <v>28</v>
      </c>
      <c r="P1107" t="s">
        <v>29</v>
      </c>
      <c r="Q1107" t="s">
        <v>41</v>
      </c>
      <c r="R1107">
        <v>0.66</v>
      </c>
      <c r="S1107" s="1">
        <v>40438</v>
      </c>
      <c r="T1107" t="str">
        <f t="shared" si="35"/>
        <v>17-Sep-2010</v>
      </c>
    </row>
    <row r="1108" spans="1:20" x14ac:dyDescent="0.3">
      <c r="A1108">
        <v>1059</v>
      </c>
      <c r="B1108" s="1">
        <v>39870</v>
      </c>
      <c r="C1108" t="s">
        <v>43</v>
      </c>
      <c r="D1108" t="str">
        <f t="shared" si="34"/>
        <v>26-Feb-2009</v>
      </c>
      <c r="E1108">
        <v>22</v>
      </c>
      <c r="F1108" s="13">
        <v>127.33</v>
      </c>
      <c r="G1108">
        <v>0.02</v>
      </c>
      <c r="H1108" t="s">
        <v>19</v>
      </c>
      <c r="I1108" s="13">
        <v>5.3</v>
      </c>
      <c r="J1108">
        <v>5.34</v>
      </c>
      <c r="K1108">
        <v>2.99</v>
      </c>
      <c r="L1108" t="s">
        <v>171</v>
      </c>
      <c r="M1108" t="s">
        <v>161</v>
      </c>
      <c r="N1108" s="5" t="s">
        <v>161</v>
      </c>
      <c r="O1108" t="s">
        <v>28</v>
      </c>
      <c r="P1108" t="s">
        <v>21</v>
      </c>
      <c r="Q1108" t="s">
        <v>26</v>
      </c>
      <c r="R1108">
        <v>0.38</v>
      </c>
      <c r="S1108" s="1">
        <v>39872</v>
      </c>
      <c r="T1108" t="str">
        <f t="shared" si="35"/>
        <v>28-Feb-2009</v>
      </c>
    </row>
    <row r="1109" spans="1:20" x14ac:dyDescent="0.3">
      <c r="A1109">
        <v>15808</v>
      </c>
      <c r="B1109" s="1">
        <v>40526</v>
      </c>
      <c r="C1109" t="s">
        <v>43</v>
      </c>
      <c r="D1109" t="str">
        <f t="shared" si="34"/>
        <v>14-Dec-2010</v>
      </c>
      <c r="E1109">
        <v>33</v>
      </c>
      <c r="F1109" s="13">
        <v>126.88</v>
      </c>
      <c r="G1109">
        <v>0.05</v>
      </c>
      <c r="H1109" t="s">
        <v>19</v>
      </c>
      <c r="I1109" s="13">
        <v>12.63</v>
      </c>
      <c r="J1109">
        <v>3.7</v>
      </c>
      <c r="K1109">
        <v>1.61</v>
      </c>
      <c r="L1109" t="s">
        <v>169</v>
      </c>
      <c r="M1109" t="s">
        <v>161</v>
      </c>
      <c r="N1109" s="5" t="s">
        <v>161</v>
      </c>
      <c r="O1109" t="s">
        <v>28</v>
      </c>
      <c r="P1109" t="s">
        <v>32</v>
      </c>
      <c r="Q1109" t="s">
        <v>33</v>
      </c>
      <c r="R1109">
        <v>0.44</v>
      </c>
      <c r="S1109" s="1">
        <v>40526</v>
      </c>
      <c r="T1109" t="str">
        <f t="shared" si="35"/>
        <v>14-Dec-2010</v>
      </c>
    </row>
    <row r="1110" spans="1:20" x14ac:dyDescent="0.3">
      <c r="A1110">
        <v>35012</v>
      </c>
      <c r="B1110" s="1">
        <v>41068</v>
      </c>
      <c r="C1110" t="s">
        <v>38</v>
      </c>
      <c r="D1110" t="str">
        <f t="shared" si="34"/>
        <v>08-Jun-2012</v>
      </c>
      <c r="E1110">
        <v>10</v>
      </c>
      <c r="F1110" s="13">
        <v>126.79</v>
      </c>
      <c r="G1110">
        <v>0.04</v>
      </c>
      <c r="H1110" t="s">
        <v>19</v>
      </c>
      <c r="I1110" s="13">
        <v>-16.38</v>
      </c>
      <c r="J1110">
        <v>11.97</v>
      </c>
      <c r="K1110">
        <v>4.9800000000000004</v>
      </c>
      <c r="L1110" t="s">
        <v>212</v>
      </c>
      <c r="M1110" t="s">
        <v>161</v>
      </c>
      <c r="N1110" s="5" t="s">
        <v>161</v>
      </c>
      <c r="O1110" t="s">
        <v>28</v>
      </c>
      <c r="P1110" t="s">
        <v>21</v>
      </c>
      <c r="Q1110" t="s">
        <v>25</v>
      </c>
      <c r="R1110">
        <v>0.57999999999999996</v>
      </c>
      <c r="S1110" s="1">
        <v>41068</v>
      </c>
      <c r="T1110" t="str">
        <f t="shared" si="35"/>
        <v>08-Jun-2012</v>
      </c>
    </row>
    <row r="1111" spans="1:20" x14ac:dyDescent="0.3">
      <c r="A1111">
        <v>43399</v>
      </c>
      <c r="B1111" s="1">
        <v>40024</v>
      </c>
      <c r="C1111" t="s">
        <v>23</v>
      </c>
      <c r="D1111" t="str">
        <f t="shared" si="34"/>
        <v>30-Jul-2009</v>
      </c>
      <c r="E1111">
        <v>8</v>
      </c>
      <c r="F1111" s="13">
        <v>124.7</v>
      </c>
      <c r="G1111">
        <v>0</v>
      </c>
      <c r="H1111" t="s">
        <v>19</v>
      </c>
      <c r="I1111" s="13">
        <v>31.94</v>
      </c>
      <c r="J1111">
        <v>15.04</v>
      </c>
      <c r="K1111">
        <v>1.97</v>
      </c>
      <c r="L1111" t="s">
        <v>208</v>
      </c>
      <c r="M1111" t="s">
        <v>161</v>
      </c>
      <c r="N1111" s="5" t="s">
        <v>161</v>
      </c>
      <c r="O1111" t="s">
        <v>28</v>
      </c>
      <c r="P1111" t="s">
        <v>21</v>
      </c>
      <c r="Q1111" t="s">
        <v>37</v>
      </c>
      <c r="R1111">
        <v>0.39</v>
      </c>
      <c r="S1111" s="1">
        <v>40026</v>
      </c>
      <c r="T1111" t="str">
        <f t="shared" si="35"/>
        <v>01-Aug-2009</v>
      </c>
    </row>
    <row r="1112" spans="1:20" x14ac:dyDescent="0.3">
      <c r="A1112">
        <v>37572</v>
      </c>
      <c r="B1112" s="1">
        <v>40393</v>
      </c>
      <c r="C1112" t="s">
        <v>23</v>
      </c>
      <c r="D1112" t="str">
        <f t="shared" si="34"/>
        <v>03-Aug-2010</v>
      </c>
      <c r="E1112">
        <v>22</v>
      </c>
      <c r="F1112" s="13">
        <v>123.95</v>
      </c>
      <c r="G1112">
        <v>0.01</v>
      </c>
      <c r="H1112" t="s">
        <v>19</v>
      </c>
      <c r="I1112" s="13">
        <v>2.42</v>
      </c>
      <c r="J1112">
        <v>5.34</v>
      </c>
      <c r="K1112">
        <v>2.99</v>
      </c>
      <c r="L1112" t="s">
        <v>179</v>
      </c>
      <c r="M1112" t="s">
        <v>161</v>
      </c>
      <c r="N1112" s="5" t="s">
        <v>161</v>
      </c>
      <c r="O1112" t="s">
        <v>28</v>
      </c>
      <c r="P1112" t="s">
        <v>21</v>
      </c>
      <c r="Q1112" t="s">
        <v>26</v>
      </c>
      <c r="R1112">
        <v>0.38</v>
      </c>
      <c r="S1112" s="1">
        <v>40395</v>
      </c>
      <c r="T1112" t="str">
        <f t="shared" si="35"/>
        <v>05-Aug-2010</v>
      </c>
    </row>
    <row r="1113" spans="1:20" x14ac:dyDescent="0.3">
      <c r="A1113">
        <v>22916</v>
      </c>
      <c r="B1113" s="1">
        <v>40941</v>
      </c>
      <c r="C1113" t="s">
        <v>38</v>
      </c>
      <c r="D1113" t="str">
        <f t="shared" si="34"/>
        <v>02-Feb-2012</v>
      </c>
      <c r="E1113">
        <v>18</v>
      </c>
      <c r="F1113" s="13">
        <v>122.02</v>
      </c>
      <c r="G1113">
        <v>0.04</v>
      </c>
      <c r="H1113" t="s">
        <v>19</v>
      </c>
      <c r="I1113" s="13">
        <v>-115</v>
      </c>
      <c r="J1113">
        <v>6.48</v>
      </c>
      <c r="K1113">
        <v>10.050000000000001</v>
      </c>
      <c r="L1113" t="s">
        <v>262</v>
      </c>
      <c r="M1113" t="s">
        <v>161</v>
      </c>
      <c r="N1113" s="5" t="s">
        <v>161</v>
      </c>
      <c r="O1113" t="s">
        <v>28</v>
      </c>
      <c r="P1113" t="s">
        <v>21</v>
      </c>
      <c r="Q1113" t="s">
        <v>37</v>
      </c>
      <c r="R1113">
        <v>0.37</v>
      </c>
      <c r="S1113" s="1">
        <v>40942</v>
      </c>
      <c r="T1113" t="str">
        <f t="shared" si="35"/>
        <v>03-Feb-2012</v>
      </c>
    </row>
    <row r="1114" spans="1:20" x14ac:dyDescent="0.3">
      <c r="A1114">
        <v>27461</v>
      </c>
      <c r="B1114" s="1">
        <v>40235</v>
      </c>
      <c r="C1114" t="s">
        <v>43</v>
      </c>
      <c r="D1114" t="str">
        <f t="shared" si="34"/>
        <v>26-Feb-2010</v>
      </c>
      <c r="E1114">
        <v>40</v>
      </c>
      <c r="F1114" s="13">
        <v>121.92</v>
      </c>
      <c r="G1114">
        <v>0.09</v>
      </c>
      <c r="H1114" t="s">
        <v>35</v>
      </c>
      <c r="I1114" s="13">
        <v>51.23</v>
      </c>
      <c r="J1114">
        <v>2.88</v>
      </c>
      <c r="K1114">
        <v>0.5</v>
      </c>
      <c r="L1114" t="s">
        <v>183</v>
      </c>
      <c r="M1114" t="s">
        <v>161</v>
      </c>
      <c r="N1114" s="5" t="s">
        <v>161</v>
      </c>
      <c r="O1114" t="s">
        <v>28</v>
      </c>
      <c r="P1114" t="s">
        <v>21</v>
      </c>
      <c r="Q1114" t="s">
        <v>48</v>
      </c>
      <c r="R1114">
        <v>0.39</v>
      </c>
      <c r="S1114" s="1">
        <v>40235</v>
      </c>
      <c r="T1114" t="str">
        <f t="shared" si="35"/>
        <v>26-Feb-2010</v>
      </c>
    </row>
    <row r="1115" spans="1:20" x14ac:dyDescent="0.3">
      <c r="A1115">
        <v>30436</v>
      </c>
      <c r="B1115" s="1">
        <v>41097</v>
      </c>
      <c r="C1115" t="s">
        <v>18</v>
      </c>
      <c r="D1115" t="str">
        <f t="shared" si="34"/>
        <v>07-Jul-2012</v>
      </c>
      <c r="E1115">
        <v>30</v>
      </c>
      <c r="F1115" s="13">
        <v>121.19</v>
      </c>
      <c r="G1115">
        <v>0.09</v>
      </c>
      <c r="H1115" t="s">
        <v>35</v>
      </c>
      <c r="I1115" s="13">
        <v>-152.13</v>
      </c>
      <c r="J1115">
        <v>3.89</v>
      </c>
      <c r="K1115">
        <v>7.01</v>
      </c>
      <c r="L1115" t="s">
        <v>197</v>
      </c>
      <c r="M1115" t="s">
        <v>161</v>
      </c>
      <c r="N1115" s="5" t="s">
        <v>161</v>
      </c>
      <c r="O1115" t="s">
        <v>28</v>
      </c>
      <c r="P1115" t="s">
        <v>21</v>
      </c>
      <c r="Q1115" t="s">
        <v>26</v>
      </c>
      <c r="R1115">
        <v>0.37</v>
      </c>
      <c r="S1115" s="1">
        <v>41102</v>
      </c>
      <c r="T1115" t="str">
        <f t="shared" si="35"/>
        <v>12-Jul-2012</v>
      </c>
    </row>
    <row r="1116" spans="1:20" x14ac:dyDescent="0.3">
      <c r="A1116">
        <v>21729</v>
      </c>
      <c r="B1116" s="1">
        <v>41249</v>
      </c>
      <c r="C1116" t="s">
        <v>18</v>
      </c>
      <c r="D1116" t="str">
        <f t="shared" si="34"/>
        <v>06-Dec-2012</v>
      </c>
      <c r="E1116">
        <v>28</v>
      </c>
      <c r="F1116" s="13">
        <v>120.98</v>
      </c>
      <c r="G1116">
        <v>0</v>
      </c>
      <c r="H1116" t="s">
        <v>19</v>
      </c>
      <c r="I1116" s="13">
        <v>-92.85</v>
      </c>
      <c r="J1116">
        <v>4.13</v>
      </c>
      <c r="K1116">
        <v>5.34</v>
      </c>
      <c r="L1116" t="s">
        <v>293</v>
      </c>
      <c r="M1116" t="s">
        <v>161</v>
      </c>
      <c r="N1116" s="5" t="s">
        <v>161</v>
      </c>
      <c r="O1116" t="s">
        <v>28</v>
      </c>
      <c r="P1116" t="s">
        <v>21</v>
      </c>
      <c r="Q1116" t="s">
        <v>26</v>
      </c>
      <c r="R1116">
        <v>0.38</v>
      </c>
      <c r="S1116" s="1">
        <v>41253</v>
      </c>
      <c r="T1116" t="str">
        <f t="shared" si="35"/>
        <v>10-Dec-2012</v>
      </c>
    </row>
    <row r="1117" spans="1:20" x14ac:dyDescent="0.3">
      <c r="A1117">
        <v>19616</v>
      </c>
      <c r="B1117" s="1">
        <v>40899</v>
      </c>
      <c r="C1117" t="s">
        <v>23</v>
      </c>
      <c r="D1117" t="str">
        <f t="shared" si="34"/>
        <v>22-Dec-2011</v>
      </c>
      <c r="E1117">
        <v>42</v>
      </c>
      <c r="F1117" s="13">
        <v>116.94</v>
      </c>
      <c r="G1117">
        <v>0.06</v>
      </c>
      <c r="H1117" t="s">
        <v>35</v>
      </c>
      <c r="I1117" s="13">
        <v>-10.01</v>
      </c>
      <c r="J1117">
        <v>2.78</v>
      </c>
      <c r="K1117">
        <v>1.25</v>
      </c>
      <c r="L1117" t="s">
        <v>278</v>
      </c>
      <c r="M1117" t="s">
        <v>161</v>
      </c>
      <c r="N1117" s="5" t="s">
        <v>161</v>
      </c>
      <c r="O1117" t="s">
        <v>28</v>
      </c>
      <c r="P1117" t="s">
        <v>21</v>
      </c>
      <c r="Q1117" t="s">
        <v>50</v>
      </c>
      <c r="R1117">
        <v>0.59</v>
      </c>
      <c r="S1117" s="1">
        <v>40900</v>
      </c>
      <c r="T1117" t="str">
        <f t="shared" si="35"/>
        <v>23-Dec-2011</v>
      </c>
    </row>
    <row r="1118" spans="1:20" x14ac:dyDescent="0.3">
      <c r="A1118">
        <v>13345</v>
      </c>
      <c r="B1118" s="1">
        <v>41154</v>
      </c>
      <c r="C1118" t="s">
        <v>31</v>
      </c>
      <c r="D1118" t="str">
        <f t="shared" si="34"/>
        <v>02-Sep-2012</v>
      </c>
      <c r="E1118">
        <v>24</v>
      </c>
      <c r="F1118" s="13">
        <v>116.82</v>
      </c>
      <c r="G1118">
        <v>0.02</v>
      </c>
      <c r="H1118" t="s">
        <v>19</v>
      </c>
      <c r="I1118" s="13">
        <v>-42.05</v>
      </c>
      <c r="J1118">
        <v>4.7699999999999996</v>
      </c>
      <c r="K1118">
        <v>2.39</v>
      </c>
      <c r="L1118" t="s">
        <v>169</v>
      </c>
      <c r="M1118" t="s">
        <v>161</v>
      </c>
      <c r="N1118" s="5" t="s">
        <v>161</v>
      </c>
      <c r="O1118" t="s">
        <v>28</v>
      </c>
      <c r="P1118" t="s">
        <v>29</v>
      </c>
      <c r="Q1118" t="s">
        <v>41</v>
      </c>
      <c r="R1118">
        <v>0.72</v>
      </c>
      <c r="S1118" s="1">
        <v>41155</v>
      </c>
      <c r="T1118" t="str">
        <f t="shared" si="35"/>
        <v>03-Sep-2012</v>
      </c>
    </row>
    <row r="1119" spans="1:20" x14ac:dyDescent="0.3">
      <c r="A1119">
        <v>38496</v>
      </c>
      <c r="B1119" s="1">
        <v>40229</v>
      </c>
      <c r="C1119" t="s">
        <v>43</v>
      </c>
      <c r="D1119" t="str">
        <f t="shared" si="34"/>
        <v>20-Feb-2010</v>
      </c>
      <c r="E1119">
        <v>23</v>
      </c>
      <c r="F1119" s="13">
        <v>116.57</v>
      </c>
      <c r="G1119">
        <v>7.0000000000000007E-2</v>
      </c>
      <c r="H1119" t="s">
        <v>19</v>
      </c>
      <c r="I1119" s="13">
        <v>-43.18</v>
      </c>
      <c r="J1119">
        <v>4.9800000000000004</v>
      </c>
      <c r="K1119">
        <v>4.72</v>
      </c>
      <c r="L1119" t="s">
        <v>174</v>
      </c>
      <c r="M1119" t="s">
        <v>161</v>
      </c>
      <c r="N1119" s="5" t="s">
        <v>161</v>
      </c>
      <c r="O1119" t="s">
        <v>28</v>
      </c>
      <c r="P1119" t="s">
        <v>21</v>
      </c>
      <c r="Q1119" t="s">
        <v>37</v>
      </c>
      <c r="R1119">
        <v>0.36</v>
      </c>
      <c r="S1119" s="1">
        <v>40231</v>
      </c>
      <c r="T1119" t="str">
        <f t="shared" si="35"/>
        <v>22-Feb-2010</v>
      </c>
    </row>
    <row r="1120" spans="1:20" x14ac:dyDescent="0.3">
      <c r="A1120">
        <v>38400</v>
      </c>
      <c r="B1120" s="1">
        <v>40161</v>
      </c>
      <c r="C1120" t="s">
        <v>31</v>
      </c>
      <c r="D1120" t="str">
        <f t="shared" si="34"/>
        <v>14-Dec-2009</v>
      </c>
      <c r="E1120">
        <v>8</v>
      </c>
      <c r="F1120" s="13">
        <v>114.73</v>
      </c>
      <c r="G1120">
        <v>0.03</v>
      </c>
      <c r="H1120" t="s">
        <v>35</v>
      </c>
      <c r="I1120" s="13">
        <v>28.08</v>
      </c>
      <c r="J1120">
        <v>13.73</v>
      </c>
      <c r="K1120">
        <v>6.85</v>
      </c>
      <c r="L1120" t="s">
        <v>183</v>
      </c>
      <c r="M1120" t="s">
        <v>161</v>
      </c>
      <c r="N1120" s="5" t="s">
        <v>161</v>
      </c>
      <c r="O1120" t="s">
        <v>28</v>
      </c>
      <c r="P1120" t="s">
        <v>32</v>
      </c>
      <c r="Q1120" t="s">
        <v>33</v>
      </c>
      <c r="R1120">
        <v>0.54</v>
      </c>
      <c r="S1120" s="1">
        <v>40162</v>
      </c>
      <c r="T1120" t="str">
        <f t="shared" si="35"/>
        <v>15-Dec-2009</v>
      </c>
    </row>
    <row r="1121" spans="1:20" x14ac:dyDescent="0.3">
      <c r="A1121">
        <v>54183</v>
      </c>
      <c r="B1121" s="1">
        <v>41014</v>
      </c>
      <c r="C1121" t="s">
        <v>43</v>
      </c>
      <c r="D1121" t="str">
        <f t="shared" si="34"/>
        <v>15-Apr-2012</v>
      </c>
      <c r="E1121">
        <v>9</v>
      </c>
      <c r="F1121" s="13">
        <v>113.89</v>
      </c>
      <c r="G1121">
        <v>0.02</v>
      </c>
      <c r="H1121" t="s">
        <v>19</v>
      </c>
      <c r="I1121" s="13">
        <v>-52.25</v>
      </c>
      <c r="J1121">
        <v>11.66</v>
      </c>
      <c r="K1121">
        <v>8.99</v>
      </c>
      <c r="L1121" t="s">
        <v>204</v>
      </c>
      <c r="M1121" t="s">
        <v>161</v>
      </c>
      <c r="N1121" s="5" t="s">
        <v>161</v>
      </c>
      <c r="O1121" t="s">
        <v>28</v>
      </c>
      <c r="P1121" t="s">
        <v>21</v>
      </c>
      <c r="Q1121" t="s">
        <v>50</v>
      </c>
      <c r="R1121">
        <v>0.59</v>
      </c>
      <c r="S1121" s="1">
        <v>41015</v>
      </c>
      <c r="T1121" t="str">
        <f t="shared" si="35"/>
        <v>16-Apr-2012</v>
      </c>
    </row>
    <row r="1122" spans="1:20" x14ac:dyDescent="0.3">
      <c r="A1122">
        <v>12452</v>
      </c>
      <c r="B1122" s="1">
        <v>40519</v>
      </c>
      <c r="C1122" t="s">
        <v>38</v>
      </c>
      <c r="D1122" t="str">
        <f t="shared" si="34"/>
        <v>07-Dec-2010</v>
      </c>
      <c r="E1122">
        <v>17</v>
      </c>
      <c r="F1122" s="13">
        <v>112.86</v>
      </c>
      <c r="G1122">
        <v>0.04</v>
      </c>
      <c r="H1122" t="s">
        <v>19</v>
      </c>
      <c r="I1122" s="13">
        <v>-56.78</v>
      </c>
      <c r="J1122">
        <v>6.6</v>
      </c>
      <c r="K1122">
        <v>4.07</v>
      </c>
      <c r="L1122" t="s">
        <v>169</v>
      </c>
      <c r="M1122" t="s">
        <v>161</v>
      </c>
      <c r="N1122" s="5" t="s">
        <v>161</v>
      </c>
      <c r="O1122" t="s">
        <v>28</v>
      </c>
      <c r="P1122" t="s">
        <v>29</v>
      </c>
      <c r="Q1122" t="s">
        <v>41</v>
      </c>
      <c r="R1122">
        <v>0.66</v>
      </c>
      <c r="S1122" s="1">
        <v>40521</v>
      </c>
      <c r="T1122" t="str">
        <f t="shared" si="35"/>
        <v>09-Dec-2010</v>
      </c>
    </row>
    <row r="1123" spans="1:20" x14ac:dyDescent="0.3">
      <c r="A1123">
        <v>59878</v>
      </c>
      <c r="B1123" s="1">
        <v>41057</v>
      </c>
      <c r="C1123" t="s">
        <v>23</v>
      </c>
      <c r="D1123" t="str">
        <f t="shared" si="34"/>
        <v>28-May-2012</v>
      </c>
      <c r="E1123">
        <v>6</v>
      </c>
      <c r="F1123" s="13">
        <v>112.4</v>
      </c>
      <c r="G1123">
        <v>0.1</v>
      </c>
      <c r="H1123" t="s">
        <v>19</v>
      </c>
      <c r="I1123" s="13">
        <v>-46.75</v>
      </c>
      <c r="J1123">
        <v>17.98</v>
      </c>
      <c r="K1123">
        <v>8.51</v>
      </c>
      <c r="L1123" t="s">
        <v>160</v>
      </c>
      <c r="M1123" t="s">
        <v>161</v>
      </c>
      <c r="N1123" s="5" t="s">
        <v>161</v>
      </c>
      <c r="O1123" t="s">
        <v>28</v>
      </c>
      <c r="P1123" t="s">
        <v>29</v>
      </c>
      <c r="Q1123" t="s">
        <v>74</v>
      </c>
      <c r="R1123">
        <v>0.4</v>
      </c>
      <c r="S1123" s="1">
        <v>41058</v>
      </c>
      <c r="T1123" t="str">
        <f t="shared" si="35"/>
        <v>29-May-2012</v>
      </c>
    </row>
    <row r="1124" spans="1:20" x14ac:dyDescent="0.3">
      <c r="A1124">
        <v>38466</v>
      </c>
      <c r="B1124" s="1">
        <v>40772</v>
      </c>
      <c r="C1124" t="s">
        <v>43</v>
      </c>
      <c r="D1124" t="str">
        <f t="shared" si="34"/>
        <v>17-Aug-2011</v>
      </c>
      <c r="E1124">
        <v>37</v>
      </c>
      <c r="F1124" s="13">
        <v>111.37</v>
      </c>
      <c r="G1124">
        <v>0.04</v>
      </c>
      <c r="H1124" t="s">
        <v>19</v>
      </c>
      <c r="I1124" s="13">
        <v>46.46</v>
      </c>
      <c r="J1124">
        <v>2.89</v>
      </c>
      <c r="K1124">
        <v>0.5</v>
      </c>
      <c r="L1124" t="s">
        <v>291</v>
      </c>
      <c r="M1124" t="s">
        <v>161</v>
      </c>
      <c r="N1124" s="5" t="s">
        <v>161</v>
      </c>
      <c r="O1124" t="s">
        <v>28</v>
      </c>
      <c r="P1124" t="s">
        <v>21</v>
      </c>
      <c r="Q1124" t="s">
        <v>48</v>
      </c>
      <c r="R1124">
        <v>0.38</v>
      </c>
      <c r="S1124" s="1">
        <v>40774</v>
      </c>
      <c r="T1124" t="str">
        <f t="shared" si="35"/>
        <v>19-Aug-2011</v>
      </c>
    </row>
    <row r="1125" spans="1:20" x14ac:dyDescent="0.3">
      <c r="A1125">
        <v>17377</v>
      </c>
      <c r="B1125" s="1">
        <v>40844</v>
      </c>
      <c r="C1125" t="s">
        <v>18</v>
      </c>
      <c r="D1125" t="str">
        <f t="shared" si="34"/>
        <v>28-Oct-2011</v>
      </c>
      <c r="E1125">
        <v>39</v>
      </c>
      <c r="F1125" s="13">
        <v>110.38</v>
      </c>
      <c r="G1125">
        <v>0.05</v>
      </c>
      <c r="H1125" t="s">
        <v>19</v>
      </c>
      <c r="I1125" s="13">
        <v>-4.8600000000000003</v>
      </c>
      <c r="J1125">
        <v>2.78</v>
      </c>
      <c r="K1125">
        <v>1.2</v>
      </c>
      <c r="L1125" t="s">
        <v>182</v>
      </c>
      <c r="M1125" t="s">
        <v>161</v>
      </c>
      <c r="N1125" s="5" t="s">
        <v>161</v>
      </c>
      <c r="O1125" t="s">
        <v>28</v>
      </c>
      <c r="P1125" t="s">
        <v>21</v>
      </c>
      <c r="Q1125" t="s">
        <v>50</v>
      </c>
      <c r="R1125">
        <v>0.57999999999999996</v>
      </c>
      <c r="S1125" s="1">
        <v>40846</v>
      </c>
      <c r="T1125" t="str">
        <f t="shared" si="35"/>
        <v>30-Oct-2011</v>
      </c>
    </row>
    <row r="1126" spans="1:20" x14ac:dyDescent="0.3">
      <c r="A1126">
        <v>8231</v>
      </c>
      <c r="B1126" s="1">
        <v>41200</v>
      </c>
      <c r="C1126" t="s">
        <v>43</v>
      </c>
      <c r="D1126" t="str">
        <f t="shared" si="34"/>
        <v>18-Oct-2012</v>
      </c>
      <c r="E1126">
        <v>5</v>
      </c>
      <c r="F1126" s="13">
        <v>110.03</v>
      </c>
      <c r="G1126">
        <v>0.06</v>
      </c>
      <c r="H1126" t="s">
        <v>19</v>
      </c>
      <c r="I1126" s="13">
        <v>-31.33</v>
      </c>
      <c r="J1126">
        <v>19.98</v>
      </c>
      <c r="K1126">
        <v>10.49</v>
      </c>
      <c r="L1126" t="s">
        <v>174</v>
      </c>
      <c r="M1126" t="s">
        <v>161</v>
      </c>
      <c r="N1126" s="5" t="s">
        <v>161</v>
      </c>
      <c r="O1126" t="s">
        <v>28</v>
      </c>
      <c r="P1126" t="s">
        <v>32</v>
      </c>
      <c r="Q1126" t="s">
        <v>33</v>
      </c>
      <c r="R1126">
        <v>0.49</v>
      </c>
      <c r="S1126" s="1">
        <v>41201</v>
      </c>
      <c r="T1126" t="str">
        <f t="shared" si="35"/>
        <v>19-Oct-2012</v>
      </c>
    </row>
    <row r="1127" spans="1:20" x14ac:dyDescent="0.3">
      <c r="A1127">
        <v>4932</v>
      </c>
      <c r="B1127" s="1">
        <v>40399</v>
      </c>
      <c r="C1127" t="s">
        <v>43</v>
      </c>
      <c r="D1127" t="str">
        <f t="shared" si="34"/>
        <v>09-Aug-2010</v>
      </c>
      <c r="E1127">
        <v>11</v>
      </c>
      <c r="F1127" s="13">
        <v>109.37</v>
      </c>
      <c r="G1127">
        <v>7.0000000000000007E-2</v>
      </c>
      <c r="H1127" t="s">
        <v>19</v>
      </c>
      <c r="I1127" s="13">
        <v>25.96</v>
      </c>
      <c r="J1127">
        <v>10.31</v>
      </c>
      <c r="K1127">
        <v>1.79</v>
      </c>
      <c r="L1127" t="s">
        <v>168</v>
      </c>
      <c r="M1127" t="s">
        <v>161</v>
      </c>
      <c r="N1127" s="5" t="s">
        <v>161</v>
      </c>
      <c r="O1127" t="s">
        <v>28</v>
      </c>
      <c r="P1127" t="s">
        <v>21</v>
      </c>
      <c r="Q1127" t="s">
        <v>37</v>
      </c>
      <c r="R1127">
        <v>0.38</v>
      </c>
      <c r="S1127" s="1">
        <v>40401</v>
      </c>
      <c r="T1127" t="str">
        <f t="shared" si="35"/>
        <v>11-Aug-2010</v>
      </c>
    </row>
    <row r="1128" spans="1:20" x14ac:dyDescent="0.3">
      <c r="A1128">
        <v>21922</v>
      </c>
      <c r="B1128" s="1">
        <v>40128</v>
      </c>
      <c r="C1128" t="s">
        <v>23</v>
      </c>
      <c r="D1128" t="str">
        <f t="shared" si="34"/>
        <v>11-Nov-2009</v>
      </c>
      <c r="E1128">
        <v>11</v>
      </c>
      <c r="F1128" s="13">
        <v>108.85</v>
      </c>
      <c r="G1128">
        <v>0.08</v>
      </c>
      <c r="H1128" t="s">
        <v>19</v>
      </c>
      <c r="I1128" s="13">
        <v>10.58</v>
      </c>
      <c r="J1128">
        <v>9.77</v>
      </c>
      <c r="K1128">
        <v>6.02</v>
      </c>
      <c r="L1128" t="s">
        <v>312</v>
      </c>
      <c r="M1128" t="s">
        <v>161</v>
      </c>
      <c r="N1128" s="5" t="s">
        <v>161</v>
      </c>
      <c r="O1128" t="s">
        <v>28</v>
      </c>
      <c r="P1128" t="s">
        <v>32</v>
      </c>
      <c r="Q1128" t="s">
        <v>33</v>
      </c>
      <c r="R1128">
        <v>0.48</v>
      </c>
      <c r="S1128" s="1">
        <v>40129</v>
      </c>
      <c r="T1128" t="str">
        <f t="shared" si="35"/>
        <v>12-Nov-2009</v>
      </c>
    </row>
    <row r="1129" spans="1:20" x14ac:dyDescent="0.3">
      <c r="A1129">
        <v>47138</v>
      </c>
      <c r="B1129" s="1">
        <v>39822</v>
      </c>
      <c r="C1129" t="s">
        <v>18</v>
      </c>
      <c r="D1129" t="str">
        <f t="shared" si="34"/>
        <v>09-Jan-2009</v>
      </c>
      <c r="E1129">
        <v>1</v>
      </c>
      <c r="F1129" s="13">
        <v>107.95</v>
      </c>
      <c r="G1129">
        <v>0.04</v>
      </c>
      <c r="H1129" t="s">
        <v>19</v>
      </c>
      <c r="I1129" s="13">
        <v>-506.31</v>
      </c>
      <c r="J1129">
        <v>125.99</v>
      </c>
      <c r="K1129">
        <v>8.99</v>
      </c>
      <c r="L1129" t="s">
        <v>306</v>
      </c>
      <c r="M1129" t="s">
        <v>161</v>
      </c>
      <c r="N1129" s="5" t="s">
        <v>161</v>
      </c>
      <c r="O1129" t="s">
        <v>28</v>
      </c>
      <c r="P1129" t="s">
        <v>29</v>
      </c>
      <c r="Q1129" t="s">
        <v>30</v>
      </c>
      <c r="R1129">
        <v>0.59</v>
      </c>
      <c r="S1129" s="1">
        <v>39829</v>
      </c>
      <c r="T1129" t="str">
        <f t="shared" si="35"/>
        <v>16-Jan-2009</v>
      </c>
    </row>
    <row r="1130" spans="1:20" x14ac:dyDescent="0.3">
      <c r="A1130">
        <v>4935</v>
      </c>
      <c r="B1130" s="1">
        <v>40322</v>
      </c>
      <c r="C1130" t="s">
        <v>31</v>
      </c>
      <c r="D1130" t="str">
        <f t="shared" si="34"/>
        <v>24-May-2010</v>
      </c>
      <c r="E1130">
        <v>30</v>
      </c>
      <c r="F1130" s="13">
        <v>106.64</v>
      </c>
      <c r="G1130">
        <v>0.1</v>
      </c>
      <c r="H1130" t="s">
        <v>19</v>
      </c>
      <c r="I1130" s="13">
        <v>-31.95</v>
      </c>
      <c r="J1130">
        <v>3.68</v>
      </c>
      <c r="K1130">
        <v>1.32</v>
      </c>
      <c r="L1130" t="s">
        <v>293</v>
      </c>
      <c r="M1130" t="s">
        <v>161</v>
      </c>
      <c r="N1130" s="5" t="s">
        <v>161</v>
      </c>
      <c r="O1130" t="s">
        <v>28</v>
      </c>
      <c r="P1130" t="s">
        <v>21</v>
      </c>
      <c r="Q1130" t="s">
        <v>67</v>
      </c>
      <c r="R1130">
        <v>0.83</v>
      </c>
      <c r="S1130" s="1">
        <v>40325</v>
      </c>
      <c r="T1130" t="str">
        <f t="shared" si="35"/>
        <v>27-May-2010</v>
      </c>
    </row>
    <row r="1131" spans="1:20" x14ac:dyDescent="0.3">
      <c r="A1131">
        <v>57153</v>
      </c>
      <c r="B1131" s="1">
        <v>39959</v>
      </c>
      <c r="C1131" t="s">
        <v>43</v>
      </c>
      <c r="D1131" t="str">
        <f t="shared" si="34"/>
        <v>26-May-2009</v>
      </c>
      <c r="E1131">
        <v>9</v>
      </c>
      <c r="F1131" s="13">
        <v>106.05</v>
      </c>
      <c r="G1131">
        <v>0.02</v>
      </c>
      <c r="H1131" t="s">
        <v>19</v>
      </c>
      <c r="I1131" s="13">
        <v>-14.52</v>
      </c>
      <c r="J1131">
        <v>11.33</v>
      </c>
      <c r="K1131">
        <v>6.12</v>
      </c>
      <c r="L1131" t="s">
        <v>153</v>
      </c>
      <c r="M1131" t="s">
        <v>161</v>
      </c>
      <c r="N1131" s="5" t="s">
        <v>161</v>
      </c>
      <c r="O1131" t="s">
        <v>28</v>
      </c>
      <c r="P1131" t="s">
        <v>21</v>
      </c>
      <c r="Q1131" t="s">
        <v>25</v>
      </c>
      <c r="R1131">
        <v>0.42</v>
      </c>
      <c r="S1131" s="1">
        <v>39961</v>
      </c>
      <c r="T1131" t="str">
        <f t="shared" si="35"/>
        <v>28-May-2009</v>
      </c>
    </row>
    <row r="1132" spans="1:20" x14ac:dyDescent="0.3">
      <c r="A1132">
        <v>30599</v>
      </c>
      <c r="B1132" s="1">
        <v>40949</v>
      </c>
      <c r="C1132" t="s">
        <v>31</v>
      </c>
      <c r="D1132" t="str">
        <f t="shared" si="34"/>
        <v>10-Feb-2012</v>
      </c>
      <c r="E1132">
        <v>23</v>
      </c>
      <c r="F1132" s="13">
        <v>105.93</v>
      </c>
      <c r="G1132">
        <v>0.05</v>
      </c>
      <c r="H1132" t="s">
        <v>19</v>
      </c>
      <c r="I1132" s="13">
        <v>33.47</v>
      </c>
      <c r="J1132">
        <v>4.76</v>
      </c>
      <c r="K1132">
        <v>0.88</v>
      </c>
      <c r="L1132" t="s">
        <v>248</v>
      </c>
      <c r="M1132" t="s">
        <v>161</v>
      </c>
      <c r="N1132" s="5" t="s">
        <v>161</v>
      </c>
      <c r="O1132" t="s">
        <v>28</v>
      </c>
      <c r="P1132" t="s">
        <v>21</v>
      </c>
      <c r="Q1132" t="s">
        <v>37</v>
      </c>
      <c r="R1132">
        <v>0.39</v>
      </c>
      <c r="S1132" s="1">
        <v>40951</v>
      </c>
      <c r="T1132" t="str">
        <f t="shared" si="35"/>
        <v>12-Feb-2012</v>
      </c>
    </row>
    <row r="1133" spans="1:20" x14ac:dyDescent="0.3">
      <c r="A1133">
        <v>38466</v>
      </c>
      <c r="B1133" s="1">
        <v>40772</v>
      </c>
      <c r="C1133" t="s">
        <v>43</v>
      </c>
      <c r="D1133" t="str">
        <f t="shared" si="34"/>
        <v>17-Aug-2011</v>
      </c>
      <c r="E1133">
        <v>15</v>
      </c>
      <c r="F1133" s="13">
        <v>105.48</v>
      </c>
      <c r="G1133">
        <v>0.02</v>
      </c>
      <c r="H1133" t="s">
        <v>19</v>
      </c>
      <c r="I1133" s="13">
        <v>-53.99</v>
      </c>
      <c r="J1133">
        <v>6.48</v>
      </c>
      <c r="K1133">
        <v>7.37</v>
      </c>
      <c r="L1133" t="s">
        <v>291</v>
      </c>
      <c r="M1133" t="s">
        <v>161</v>
      </c>
      <c r="N1133" s="5" t="s">
        <v>161</v>
      </c>
      <c r="O1133" t="s">
        <v>28</v>
      </c>
      <c r="P1133" t="s">
        <v>21</v>
      </c>
      <c r="Q1133" t="s">
        <v>37</v>
      </c>
      <c r="R1133">
        <v>0.37</v>
      </c>
      <c r="S1133" s="1">
        <v>40773</v>
      </c>
      <c r="T1133" t="str">
        <f t="shared" si="35"/>
        <v>18-Aug-2011</v>
      </c>
    </row>
    <row r="1134" spans="1:20" x14ac:dyDescent="0.3">
      <c r="A1134">
        <v>8035</v>
      </c>
      <c r="B1134" s="1">
        <v>40969</v>
      </c>
      <c r="C1134" t="s">
        <v>38</v>
      </c>
      <c r="D1134" t="str">
        <f t="shared" si="34"/>
        <v>01-Mar-2012</v>
      </c>
      <c r="E1134">
        <v>7</v>
      </c>
      <c r="F1134" s="13">
        <v>104.38</v>
      </c>
      <c r="G1134">
        <v>7.0000000000000007E-2</v>
      </c>
      <c r="H1134" t="s">
        <v>19</v>
      </c>
      <c r="I1134" s="13">
        <v>-24.2</v>
      </c>
      <c r="J1134">
        <v>14.42</v>
      </c>
      <c r="K1134">
        <v>6.75</v>
      </c>
      <c r="L1134" t="s">
        <v>304</v>
      </c>
      <c r="M1134" t="s">
        <v>161</v>
      </c>
      <c r="N1134" s="5" t="s">
        <v>161</v>
      </c>
      <c r="O1134" t="s">
        <v>28</v>
      </c>
      <c r="P1134" t="s">
        <v>21</v>
      </c>
      <c r="Q1134" t="s">
        <v>25</v>
      </c>
      <c r="R1134">
        <v>0.52</v>
      </c>
      <c r="S1134" s="1">
        <v>40971</v>
      </c>
      <c r="T1134" t="str">
        <f t="shared" si="35"/>
        <v>03-Mar-2012</v>
      </c>
    </row>
    <row r="1135" spans="1:20" x14ac:dyDescent="0.3">
      <c r="A1135">
        <v>52102</v>
      </c>
      <c r="B1135" s="1">
        <v>40433</v>
      </c>
      <c r="C1135" t="s">
        <v>38</v>
      </c>
      <c r="D1135" t="str">
        <f t="shared" si="34"/>
        <v>12-Sep-2010</v>
      </c>
      <c r="E1135">
        <v>8</v>
      </c>
      <c r="F1135" s="13">
        <v>104.27</v>
      </c>
      <c r="G1135">
        <v>0.03</v>
      </c>
      <c r="H1135" t="s">
        <v>19</v>
      </c>
      <c r="I1135" s="13">
        <v>-23.61</v>
      </c>
      <c r="J1135">
        <v>11.97</v>
      </c>
      <c r="K1135">
        <v>5.81</v>
      </c>
      <c r="L1135" t="s">
        <v>98</v>
      </c>
      <c r="M1135" t="s">
        <v>161</v>
      </c>
      <c r="N1135" s="5" t="s">
        <v>161</v>
      </c>
      <c r="O1135" t="s">
        <v>28</v>
      </c>
      <c r="P1135" t="s">
        <v>21</v>
      </c>
      <c r="Q1135" t="s">
        <v>50</v>
      </c>
      <c r="R1135">
        <v>0.6</v>
      </c>
      <c r="S1135" s="1">
        <v>40433</v>
      </c>
      <c r="T1135" t="str">
        <f t="shared" si="35"/>
        <v>12-Sep-2010</v>
      </c>
    </row>
    <row r="1136" spans="1:20" x14ac:dyDescent="0.3">
      <c r="A1136">
        <v>22849</v>
      </c>
      <c r="B1136" s="1">
        <v>40588</v>
      </c>
      <c r="C1136" t="s">
        <v>31</v>
      </c>
      <c r="D1136" t="str">
        <f t="shared" si="34"/>
        <v>14-Feb-2011</v>
      </c>
      <c r="E1136">
        <v>34</v>
      </c>
      <c r="F1136" s="13">
        <v>104.24</v>
      </c>
      <c r="G1136">
        <v>0</v>
      </c>
      <c r="H1136" t="s">
        <v>35</v>
      </c>
      <c r="I1136" s="13">
        <v>10.59</v>
      </c>
      <c r="J1136">
        <v>2.78</v>
      </c>
      <c r="K1136">
        <v>1.34</v>
      </c>
      <c r="L1136" t="s">
        <v>182</v>
      </c>
      <c r="M1136" t="s">
        <v>161</v>
      </c>
      <c r="N1136" s="5" t="s">
        <v>161</v>
      </c>
      <c r="O1136" t="s">
        <v>28</v>
      </c>
      <c r="P1136" t="s">
        <v>21</v>
      </c>
      <c r="Q1136" t="s">
        <v>50</v>
      </c>
      <c r="R1136">
        <v>0.45</v>
      </c>
      <c r="S1136" s="1">
        <v>40590</v>
      </c>
      <c r="T1136" t="str">
        <f t="shared" si="35"/>
        <v>16-Feb-2011</v>
      </c>
    </row>
    <row r="1137" spans="1:20" x14ac:dyDescent="0.3">
      <c r="A1137">
        <v>50051</v>
      </c>
      <c r="B1137" s="1">
        <v>40090</v>
      </c>
      <c r="C1137" t="s">
        <v>38</v>
      </c>
      <c r="D1137" t="str">
        <f t="shared" si="34"/>
        <v>04-Oct-2009</v>
      </c>
      <c r="E1137">
        <v>17</v>
      </c>
      <c r="F1137" s="13">
        <v>103.72</v>
      </c>
      <c r="G1137">
        <v>0.02</v>
      </c>
      <c r="H1137" t="s">
        <v>19</v>
      </c>
      <c r="I1137" s="13">
        <v>-72.06</v>
      </c>
      <c r="J1137">
        <v>5.53</v>
      </c>
      <c r="K1137">
        <v>6.98</v>
      </c>
      <c r="L1137" t="s">
        <v>179</v>
      </c>
      <c r="M1137" t="s">
        <v>161</v>
      </c>
      <c r="N1137" s="5" t="s">
        <v>161</v>
      </c>
      <c r="O1137" t="s">
        <v>28</v>
      </c>
      <c r="P1137" t="s">
        <v>21</v>
      </c>
      <c r="Q1137" t="s">
        <v>26</v>
      </c>
      <c r="R1137">
        <v>0.39</v>
      </c>
      <c r="S1137" s="1">
        <v>40092</v>
      </c>
      <c r="T1137" t="str">
        <f t="shared" si="35"/>
        <v>06-Oct-2009</v>
      </c>
    </row>
    <row r="1138" spans="1:20" x14ac:dyDescent="0.3">
      <c r="A1138">
        <v>34017</v>
      </c>
      <c r="B1138" s="1">
        <v>39895</v>
      </c>
      <c r="C1138" t="s">
        <v>23</v>
      </c>
      <c r="D1138" t="str">
        <f t="shared" si="34"/>
        <v>23-Mar-2009</v>
      </c>
      <c r="E1138">
        <v>20</v>
      </c>
      <c r="F1138" s="13">
        <v>103.39</v>
      </c>
      <c r="G1138">
        <v>0.05</v>
      </c>
      <c r="H1138" t="s">
        <v>35</v>
      </c>
      <c r="I1138" s="13">
        <v>29.17</v>
      </c>
      <c r="J1138">
        <v>4.84</v>
      </c>
      <c r="K1138">
        <v>0.71</v>
      </c>
      <c r="L1138" t="s">
        <v>180</v>
      </c>
      <c r="M1138" t="s">
        <v>161</v>
      </c>
      <c r="N1138" s="5" t="s">
        <v>161</v>
      </c>
      <c r="O1138" t="s">
        <v>28</v>
      </c>
      <c r="P1138" t="s">
        <v>21</v>
      </c>
      <c r="Q1138" t="s">
        <v>50</v>
      </c>
      <c r="R1138">
        <v>0.52</v>
      </c>
      <c r="S1138" s="1">
        <v>39895</v>
      </c>
      <c r="T1138" t="str">
        <f t="shared" si="35"/>
        <v>23-Mar-2009</v>
      </c>
    </row>
    <row r="1139" spans="1:20" x14ac:dyDescent="0.3">
      <c r="A1139">
        <v>42465</v>
      </c>
      <c r="B1139" s="1">
        <v>40533</v>
      </c>
      <c r="C1139" t="s">
        <v>38</v>
      </c>
      <c r="D1139" t="str">
        <f t="shared" si="34"/>
        <v>21-Dec-2010</v>
      </c>
      <c r="E1139">
        <v>15</v>
      </c>
      <c r="F1139" s="13">
        <v>102.32</v>
      </c>
      <c r="G1139">
        <v>0.08</v>
      </c>
      <c r="H1139" t="s">
        <v>19</v>
      </c>
      <c r="I1139" s="13">
        <v>-32.700000000000003</v>
      </c>
      <c r="J1139">
        <v>6.48</v>
      </c>
      <c r="K1139">
        <v>5.74</v>
      </c>
      <c r="L1139" t="s">
        <v>181</v>
      </c>
      <c r="M1139" t="s">
        <v>161</v>
      </c>
      <c r="N1139" s="5" t="s">
        <v>161</v>
      </c>
      <c r="O1139" t="s">
        <v>28</v>
      </c>
      <c r="P1139" t="s">
        <v>21</v>
      </c>
      <c r="Q1139" t="s">
        <v>37</v>
      </c>
      <c r="R1139">
        <v>0.37</v>
      </c>
      <c r="S1139" s="1">
        <v>40534</v>
      </c>
      <c r="T1139" t="str">
        <f t="shared" si="35"/>
        <v>22-Dec-2010</v>
      </c>
    </row>
    <row r="1140" spans="1:20" x14ac:dyDescent="0.3">
      <c r="A1140">
        <v>15718</v>
      </c>
      <c r="B1140" s="1">
        <v>39840</v>
      </c>
      <c r="C1140" t="s">
        <v>43</v>
      </c>
      <c r="D1140" t="str">
        <f t="shared" si="34"/>
        <v>27-Jan-2009</v>
      </c>
      <c r="E1140">
        <v>36</v>
      </c>
      <c r="F1140" s="13">
        <v>100.87</v>
      </c>
      <c r="G1140">
        <v>0.09</v>
      </c>
      <c r="H1140" t="s">
        <v>19</v>
      </c>
      <c r="I1140" s="13">
        <v>8.4</v>
      </c>
      <c r="J1140">
        <v>2.94</v>
      </c>
      <c r="K1140">
        <v>0.7</v>
      </c>
      <c r="L1140" t="s">
        <v>171</v>
      </c>
      <c r="M1140" t="s">
        <v>161</v>
      </c>
      <c r="N1140" s="5" t="s">
        <v>161</v>
      </c>
      <c r="O1140" t="s">
        <v>28</v>
      </c>
      <c r="P1140" t="s">
        <v>21</v>
      </c>
      <c r="Q1140" t="s">
        <v>50</v>
      </c>
      <c r="R1140">
        <v>0.57999999999999996</v>
      </c>
      <c r="S1140" s="1">
        <v>39841</v>
      </c>
      <c r="T1140" t="str">
        <f t="shared" si="35"/>
        <v>28-Jan-2009</v>
      </c>
    </row>
    <row r="1141" spans="1:20" x14ac:dyDescent="0.3">
      <c r="A1141">
        <v>26145</v>
      </c>
      <c r="B1141" s="1">
        <v>40728</v>
      </c>
      <c r="C1141" t="s">
        <v>18</v>
      </c>
      <c r="D1141" t="str">
        <f t="shared" si="34"/>
        <v>04-Jul-2011</v>
      </c>
      <c r="E1141">
        <v>18</v>
      </c>
      <c r="F1141" s="13">
        <v>99.36</v>
      </c>
      <c r="G1141">
        <v>0</v>
      </c>
      <c r="H1141" t="s">
        <v>19</v>
      </c>
      <c r="I1141" s="13">
        <v>-51.2</v>
      </c>
      <c r="J1141">
        <v>4.91</v>
      </c>
      <c r="K1141">
        <v>5.68</v>
      </c>
      <c r="L1141" t="s">
        <v>206</v>
      </c>
      <c r="M1141" t="s">
        <v>161</v>
      </c>
      <c r="N1141" s="5" t="s">
        <v>161</v>
      </c>
      <c r="O1141" t="s">
        <v>28</v>
      </c>
      <c r="P1141" t="s">
        <v>21</v>
      </c>
      <c r="Q1141" t="s">
        <v>26</v>
      </c>
      <c r="R1141">
        <v>0.36</v>
      </c>
      <c r="S1141" s="1">
        <v>40732</v>
      </c>
      <c r="T1141" t="str">
        <f t="shared" si="35"/>
        <v>08-Jul-2011</v>
      </c>
    </row>
    <row r="1142" spans="1:20" x14ac:dyDescent="0.3">
      <c r="A1142">
        <v>28805</v>
      </c>
      <c r="B1142" s="1">
        <v>40635</v>
      </c>
      <c r="C1142" t="s">
        <v>38</v>
      </c>
      <c r="D1142" t="str">
        <f t="shared" si="34"/>
        <v>02-Apr-2011</v>
      </c>
      <c r="E1142">
        <v>14</v>
      </c>
      <c r="F1142" s="13">
        <v>97.93</v>
      </c>
      <c r="G1142">
        <v>7.0000000000000007E-2</v>
      </c>
      <c r="H1142" t="s">
        <v>19</v>
      </c>
      <c r="I1142" s="13">
        <v>-616.80999999999995</v>
      </c>
      <c r="J1142">
        <v>3.48</v>
      </c>
      <c r="K1142">
        <v>49</v>
      </c>
      <c r="L1142" t="s">
        <v>193</v>
      </c>
      <c r="M1142" t="s">
        <v>161</v>
      </c>
      <c r="N1142" s="5" t="s">
        <v>161</v>
      </c>
      <c r="O1142" t="s">
        <v>28</v>
      </c>
      <c r="P1142" t="s">
        <v>21</v>
      </c>
      <c r="Q1142" t="s">
        <v>25</v>
      </c>
      <c r="R1142">
        <v>0.59</v>
      </c>
      <c r="S1142" s="1">
        <v>40637</v>
      </c>
      <c r="T1142" t="str">
        <f t="shared" si="35"/>
        <v>04-Apr-2011</v>
      </c>
    </row>
    <row r="1143" spans="1:20" x14ac:dyDescent="0.3">
      <c r="A1143">
        <v>38915</v>
      </c>
      <c r="B1143" s="1">
        <v>40073</v>
      </c>
      <c r="C1143" t="s">
        <v>38</v>
      </c>
      <c r="D1143" t="str">
        <f t="shared" si="34"/>
        <v>17-Sep-2009</v>
      </c>
      <c r="E1143">
        <v>12</v>
      </c>
      <c r="F1143" s="13">
        <v>96.73</v>
      </c>
      <c r="G1143">
        <v>0.08</v>
      </c>
      <c r="H1143" t="s">
        <v>19</v>
      </c>
      <c r="I1143" s="13">
        <v>-83.65</v>
      </c>
      <c r="J1143">
        <v>7.77</v>
      </c>
      <c r="K1143">
        <v>9.23</v>
      </c>
      <c r="L1143" t="s">
        <v>299</v>
      </c>
      <c r="M1143" t="s">
        <v>161</v>
      </c>
      <c r="N1143" s="5" t="s">
        <v>161</v>
      </c>
      <c r="O1143" t="s">
        <v>28</v>
      </c>
      <c r="P1143" t="s">
        <v>21</v>
      </c>
      <c r="Q1143" t="s">
        <v>25</v>
      </c>
      <c r="R1143">
        <v>0.57999999999999996</v>
      </c>
      <c r="S1143" s="1">
        <v>40074</v>
      </c>
      <c r="T1143" t="str">
        <f t="shared" si="35"/>
        <v>18-Sep-2009</v>
      </c>
    </row>
    <row r="1144" spans="1:20" x14ac:dyDescent="0.3">
      <c r="A1144">
        <v>21573</v>
      </c>
      <c r="B1144" s="1">
        <v>41024</v>
      </c>
      <c r="C1144" t="s">
        <v>43</v>
      </c>
      <c r="D1144" t="str">
        <f t="shared" si="34"/>
        <v>25-Apr-2012</v>
      </c>
      <c r="E1144">
        <v>31</v>
      </c>
      <c r="F1144" s="13">
        <v>96.23</v>
      </c>
      <c r="G1144">
        <v>0.05</v>
      </c>
      <c r="H1144" t="s">
        <v>19</v>
      </c>
      <c r="I1144" s="13">
        <v>24.05</v>
      </c>
      <c r="J1144">
        <v>3.08</v>
      </c>
      <c r="K1144">
        <v>0.99</v>
      </c>
      <c r="L1144" t="s">
        <v>304</v>
      </c>
      <c r="M1144" t="s">
        <v>161</v>
      </c>
      <c r="N1144" s="5" t="s">
        <v>161</v>
      </c>
      <c r="O1144" t="s">
        <v>28</v>
      </c>
      <c r="P1144" t="s">
        <v>21</v>
      </c>
      <c r="Q1144" t="s">
        <v>48</v>
      </c>
      <c r="R1144">
        <v>0.37</v>
      </c>
      <c r="S1144" s="1">
        <v>41026</v>
      </c>
      <c r="T1144" t="str">
        <f t="shared" si="35"/>
        <v>27-Apr-2012</v>
      </c>
    </row>
    <row r="1145" spans="1:20" x14ac:dyDescent="0.3">
      <c r="A1145">
        <v>32803</v>
      </c>
      <c r="B1145" s="1">
        <v>40893</v>
      </c>
      <c r="C1145" t="s">
        <v>38</v>
      </c>
      <c r="D1145" t="str">
        <f t="shared" si="34"/>
        <v>16-Dec-2011</v>
      </c>
      <c r="E1145">
        <v>22</v>
      </c>
      <c r="F1145" s="13">
        <v>96.07</v>
      </c>
      <c r="G1145">
        <v>0.06</v>
      </c>
      <c r="H1145" t="s">
        <v>19</v>
      </c>
      <c r="I1145" s="13">
        <v>-4.3600000000000003</v>
      </c>
      <c r="J1145">
        <v>4.4800000000000004</v>
      </c>
      <c r="K1145">
        <v>2.5</v>
      </c>
      <c r="L1145" t="s">
        <v>188</v>
      </c>
      <c r="M1145" t="s">
        <v>161</v>
      </c>
      <c r="N1145" s="5" t="s">
        <v>161</v>
      </c>
      <c r="O1145" t="s">
        <v>28</v>
      </c>
      <c r="P1145" t="s">
        <v>21</v>
      </c>
      <c r="Q1145" t="s">
        <v>42</v>
      </c>
      <c r="R1145">
        <v>0.37</v>
      </c>
      <c r="S1145" s="1">
        <v>40895</v>
      </c>
      <c r="T1145" t="str">
        <f t="shared" si="35"/>
        <v>18-Dec-2011</v>
      </c>
    </row>
    <row r="1146" spans="1:20" x14ac:dyDescent="0.3">
      <c r="A1146">
        <v>19616</v>
      </c>
      <c r="B1146" s="1">
        <v>40899</v>
      </c>
      <c r="C1146" t="s">
        <v>23</v>
      </c>
      <c r="D1146" t="str">
        <f t="shared" si="34"/>
        <v>22-Dec-2011</v>
      </c>
      <c r="E1146">
        <v>3</v>
      </c>
      <c r="F1146" s="13">
        <v>92.31</v>
      </c>
      <c r="G1146">
        <v>0</v>
      </c>
      <c r="H1146" t="s">
        <v>19</v>
      </c>
      <c r="I1146" s="13">
        <v>-28.95</v>
      </c>
      <c r="J1146">
        <v>28.15</v>
      </c>
      <c r="K1146">
        <v>6.17</v>
      </c>
      <c r="L1146" t="s">
        <v>278</v>
      </c>
      <c r="M1146" t="s">
        <v>161</v>
      </c>
      <c r="N1146" s="5" t="s">
        <v>161</v>
      </c>
      <c r="O1146" t="s">
        <v>28</v>
      </c>
      <c r="P1146" t="s">
        <v>21</v>
      </c>
      <c r="Q1146" t="s">
        <v>50</v>
      </c>
      <c r="R1146">
        <v>0.55000000000000004</v>
      </c>
      <c r="S1146" s="1">
        <v>40900</v>
      </c>
      <c r="T1146" t="str">
        <f t="shared" si="35"/>
        <v>23-Dec-2011</v>
      </c>
    </row>
    <row r="1147" spans="1:20" x14ac:dyDescent="0.3">
      <c r="A1147">
        <v>41476</v>
      </c>
      <c r="B1147" s="1">
        <v>40329</v>
      </c>
      <c r="C1147" t="s">
        <v>23</v>
      </c>
      <c r="D1147" t="str">
        <f t="shared" si="34"/>
        <v>31-May-2010</v>
      </c>
      <c r="E1147">
        <v>48</v>
      </c>
      <c r="F1147" s="13">
        <v>92.25</v>
      </c>
      <c r="G1147">
        <v>7.0000000000000007E-2</v>
      </c>
      <c r="H1147" t="s">
        <v>19</v>
      </c>
      <c r="I1147" s="13">
        <v>-104.8</v>
      </c>
      <c r="J1147">
        <v>1.86</v>
      </c>
      <c r="K1147">
        <v>2.58</v>
      </c>
      <c r="L1147" t="s">
        <v>129</v>
      </c>
      <c r="M1147" t="s">
        <v>161</v>
      </c>
      <c r="N1147" s="5" t="s">
        <v>161</v>
      </c>
      <c r="O1147" t="s">
        <v>28</v>
      </c>
      <c r="P1147" t="s">
        <v>21</v>
      </c>
      <c r="Q1147" t="s">
        <v>39</v>
      </c>
      <c r="R1147">
        <v>0.82</v>
      </c>
      <c r="S1147" s="1">
        <v>40330</v>
      </c>
      <c r="T1147" t="str">
        <f t="shared" si="35"/>
        <v>01-Jun-2010</v>
      </c>
    </row>
    <row r="1148" spans="1:20" x14ac:dyDescent="0.3">
      <c r="A1148">
        <v>36449</v>
      </c>
      <c r="B1148" s="1">
        <v>40426</v>
      </c>
      <c r="C1148" t="s">
        <v>31</v>
      </c>
      <c r="D1148" t="str">
        <f t="shared" si="34"/>
        <v>05-Sep-2010</v>
      </c>
      <c r="E1148">
        <v>6</v>
      </c>
      <c r="F1148" s="13">
        <v>90.75</v>
      </c>
      <c r="G1148">
        <v>0.02</v>
      </c>
      <c r="H1148" t="s">
        <v>19</v>
      </c>
      <c r="I1148" s="13">
        <v>-26.39</v>
      </c>
      <c r="J1148">
        <v>12.99</v>
      </c>
      <c r="K1148">
        <v>14.37</v>
      </c>
      <c r="L1148" t="s">
        <v>156</v>
      </c>
      <c r="M1148" t="s">
        <v>161</v>
      </c>
      <c r="N1148" s="5" t="s">
        <v>161</v>
      </c>
      <c r="O1148" t="s">
        <v>28</v>
      </c>
      <c r="P1148" t="s">
        <v>32</v>
      </c>
      <c r="Q1148" t="s">
        <v>33</v>
      </c>
      <c r="R1148">
        <v>0.73</v>
      </c>
      <c r="S1148" s="1">
        <v>40426</v>
      </c>
      <c r="T1148" t="str">
        <f t="shared" si="35"/>
        <v>05-Sep-2010</v>
      </c>
    </row>
    <row r="1149" spans="1:20" x14ac:dyDescent="0.3">
      <c r="A1149">
        <v>8224</v>
      </c>
      <c r="B1149" s="1">
        <v>40946</v>
      </c>
      <c r="C1149" t="s">
        <v>31</v>
      </c>
      <c r="D1149" t="str">
        <f t="shared" si="34"/>
        <v>07-Feb-2012</v>
      </c>
      <c r="E1149">
        <v>41</v>
      </c>
      <c r="F1149" s="13">
        <v>89.77</v>
      </c>
      <c r="G1149">
        <v>0.03</v>
      </c>
      <c r="H1149" t="s">
        <v>19</v>
      </c>
      <c r="I1149" s="13">
        <v>9.92</v>
      </c>
      <c r="J1149">
        <v>2.21</v>
      </c>
      <c r="K1149">
        <v>1</v>
      </c>
      <c r="L1149" t="s">
        <v>134</v>
      </c>
      <c r="M1149" t="s">
        <v>161</v>
      </c>
      <c r="N1149" s="5" t="s">
        <v>161</v>
      </c>
      <c r="O1149" t="s">
        <v>28</v>
      </c>
      <c r="P1149" t="s">
        <v>21</v>
      </c>
      <c r="Q1149" t="s">
        <v>50</v>
      </c>
      <c r="R1149">
        <v>0.38</v>
      </c>
      <c r="S1149" s="1">
        <v>40948</v>
      </c>
      <c r="T1149" t="str">
        <f t="shared" si="35"/>
        <v>09-Feb-2012</v>
      </c>
    </row>
    <row r="1150" spans="1:20" x14ac:dyDescent="0.3">
      <c r="A1150">
        <v>53382</v>
      </c>
      <c r="B1150" s="1">
        <v>40174</v>
      </c>
      <c r="C1150" t="s">
        <v>31</v>
      </c>
      <c r="D1150" t="str">
        <f t="shared" si="34"/>
        <v>27-Dec-2009</v>
      </c>
      <c r="E1150">
        <v>13</v>
      </c>
      <c r="F1150" s="13">
        <v>88.17</v>
      </c>
      <c r="G1150">
        <v>0.1</v>
      </c>
      <c r="H1150" t="s">
        <v>19</v>
      </c>
      <c r="I1150" s="13">
        <v>-572.49</v>
      </c>
      <c r="J1150">
        <v>3.25</v>
      </c>
      <c r="K1150">
        <v>49</v>
      </c>
      <c r="L1150" t="s">
        <v>137</v>
      </c>
      <c r="M1150" t="s">
        <v>161</v>
      </c>
      <c r="N1150" s="5" t="s">
        <v>161</v>
      </c>
      <c r="O1150" t="s">
        <v>28</v>
      </c>
      <c r="P1150" t="s">
        <v>21</v>
      </c>
      <c r="Q1150" t="s">
        <v>25</v>
      </c>
      <c r="R1150">
        <v>0.56000000000000005</v>
      </c>
      <c r="S1150" s="1">
        <v>40175</v>
      </c>
      <c r="T1150" t="str">
        <f t="shared" si="35"/>
        <v>28-Dec-2009</v>
      </c>
    </row>
    <row r="1151" spans="1:20" x14ac:dyDescent="0.3">
      <c r="A1151">
        <v>27205</v>
      </c>
      <c r="B1151" s="1">
        <v>40319</v>
      </c>
      <c r="C1151" t="s">
        <v>31</v>
      </c>
      <c r="D1151" t="str">
        <f t="shared" si="34"/>
        <v>21-May-2010</v>
      </c>
      <c r="E1151">
        <v>12</v>
      </c>
      <c r="F1151" s="13">
        <v>87.11</v>
      </c>
      <c r="G1151">
        <v>0.08</v>
      </c>
      <c r="H1151" t="s">
        <v>19</v>
      </c>
      <c r="I1151" s="13">
        <v>-43.65</v>
      </c>
      <c r="J1151">
        <v>7.28</v>
      </c>
      <c r="K1151">
        <v>3.52</v>
      </c>
      <c r="L1151" t="s">
        <v>312</v>
      </c>
      <c r="M1151" t="s">
        <v>161</v>
      </c>
      <c r="N1151" s="5" t="s">
        <v>161</v>
      </c>
      <c r="O1151" t="s">
        <v>28</v>
      </c>
      <c r="P1151" t="s">
        <v>29</v>
      </c>
      <c r="Q1151" t="s">
        <v>41</v>
      </c>
      <c r="R1151">
        <v>0.68</v>
      </c>
      <c r="S1151" s="1">
        <v>40321</v>
      </c>
      <c r="T1151" t="str">
        <f t="shared" si="35"/>
        <v>23-May-2010</v>
      </c>
    </row>
    <row r="1152" spans="1:20" x14ac:dyDescent="0.3">
      <c r="A1152">
        <v>30016</v>
      </c>
      <c r="B1152" s="1">
        <v>39816</v>
      </c>
      <c r="C1152" t="s">
        <v>43</v>
      </c>
      <c r="D1152" t="str">
        <f t="shared" si="34"/>
        <v>03-Jan-2009</v>
      </c>
      <c r="E1152">
        <v>15</v>
      </c>
      <c r="F1152" s="13">
        <v>85.56</v>
      </c>
      <c r="G1152">
        <v>0.03</v>
      </c>
      <c r="H1152" t="s">
        <v>19</v>
      </c>
      <c r="I1152" s="13">
        <v>-41.58</v>
      </c>
      <c r="J1152">
        <v>5.28</v>
      </c>
      <c r="K1152">
        <v>5.66</v>
      </c>
      <c r="L1152" t="s">
        <v>169</v>
      </c>
      <c r="M1152" t="s">
        <v>161</v>
      </c>
      <c r="N1152" s="5" t="s">
        <v>161</v>
      </c>
      <c r="O1152" t="s">
        <v>28</v>
      </c>
      <c r="P1152" t="s">
        <v>21</v>
      </c>
      <c r="Q1152" t="s">
        <v>37</v>
      </c>
      <c r="R1152">
        <v>0.4</v>
      </c>
      <c r="S1152" s="1">
        <v>39818</v>
      </c>
      <c r="T1152" t="str">
        <f t="shared" si="35"/>
        <v>05-Jan-2009</v>
      </c>
    </row>
    <row r="1153" spans="1:20" x14ac:dyDescent="0.3">
      <c r="A1153">
        <v>54245</v>
      </c>
      <c r="B1153" s="1">
        <v>40626</v>
      </c>
      <c r="C1153" t="s">
        <v>38</v>
      </c>
      <c r="D1153" t="str">
        <f t="shared" si="34"/>
        <v>24-Mar-2011</v>
      </c>
      <c r="E1153">
        <v>5</v>
      </c>
      <c r="F1153" s="13">
        <v>83.3</v>
      </c>
      <c r="G1153">
        <v>0.09</v>
      </c>
      <c r="H1153" t="s">
        <v>19</v>
      </c>
      <c r="I1153" s="13">
        <v>-114.91</v>
      </c>
      <c r="J1153">
        <v>20.99</v>
      </c>
      <c r="K1153">
        <v>2.5</v>
      </c>
      <c r="L1153" t="s">
        <v>208</v>
      </c>
      <c r="M1153" t="s">
        <v>161</v>
      </c>
      <c r="N1153" s="5" t="s">
        <v>161</v>
      </c>
      <c r="O1153" t="s">
        <v>28</v>
      </c>
      <c r="P1153" t="s">
        <v>29</v>
      </c>
      <c r="Q1153" t="s">
        <v>30</v>
      </c>
      <c r="R1153">
        <v>0.81</v>
      </c>
      <c r="S1153" s="1">
        <v>40627</v>
      </c>
      <c r="T1153" t="str">
        <f t="shared" si="35"/>
        <v>25-Mar-2011</v>
      </c>
    </row>
    <row r="1154" spans="1:20" x14ac:dyDescent="0.3">
      <c r="A1154">
        <v>13091</v>
      </c>
      <c r="B1154" s="1">
        <v>40132</v>
      </c>
      <c r="C1154" t="s">
        <v>38</v>
      </c>
      <c r="D1154" t="str">
        <f t="shared" ref="D1154:D1217" si="36">TEXT(B1154, "dd-mmm-yyyy" )</f>
        <v>15-Nov-2009</v>
      </c>
      <c r="E1154">
        <v>12</v>
      </c>
      <c r="F1154" s="13">
        <v>81.430000000000007</v>
      </c>
      <c r="G1154">
        <v>0.08</v>
      </c>
      <c r="H1154" t="s">
        <v>19</v>
      </c>
      <c r="I1154" s="13">
        <v>-44.66</v>
      </c>
      <c r="J1154">
        <v>6.48</v>
      </c>
      <c r="K1154">
        <v>7.03</v>
      </c>
      <c r="L1154" t="s">
        <v>198</v>
      </c>
      <c r="M1154" t="s">
        <v>161</v>
      </c>
      <c r="N1154" s="5" t="s">
        <v>161</v>
      </c>
      <c r="O1154" t="s">
        <v>28</v>
      </c>
      <c r="P1154" t="s">
        <v>21</v>
      </c>
      <c r="Q1154" t="s">
        <v>37</v>
      </c>
      <c r="R1154">
        <v>0.37</v>
      </c>
      <c r="S1154" s="1">
        <v>40133</v>
      </c>
      <c r="T1154" t="str">
        <f t="shared" ref="T1154:T1217" si="37">TEXT(S1154, "dd-mmm-yyyy")</f>
        <v>16-Nov-2009</v>
      </c>
    </row>
    <row r="1155" spans="1:20" x14ac:dyDescent="0.3">
      <c r="A1155">
        <v>8231</v>
      </c>
      <c r="B1155" s="1">
        <v>41200</v>
      </c>
      <c r="C1155" t="s">
        <v>43</v>
      </c>
      <c r="D1155" t="str">
        <f t="shared" si="36"/>
        <v>18-Oct-2012</v>
      </c>
      <c r="E1155">
        <v>27</v>
      </c>
      <c r="F1155" s="13">
        <v>79.44</v>
      </c>
      <c r="G1155">
        <v>0.06</v>
      </c>
      <c r="H1155" t="s">
        <v>19</v>
      </c>
      <c r="I1155" s="13">
        <v>29.85</v>
      </c>
      <c r="J1155">
        <v>2.88</v>
      </c>
      <c r="K1155">
        <v>0.5</v>
      </c>
      <c r="L1155" t="s">
        <v>174</v>
      </c>
      <c r="M1155" t="s">
        <v>161</v>
      </c>
      <c r="N1155" s="5" t="s">
        <v>161</v>
      </c>
      <c r="O1155" t="s">
        <v>28</v>
      </c>
      <c r="P1155" t="s">
        <v>21</v>
      </c>
      <c r="Q1155" t="s">
        <v>48</v>
      </c>
      <c r="R1155">
        <v>0.39</v>
      </c>
      <c r="S1155" s="1">
        <v>41202</v>
      </c>
      <c r="T1155" t="str">
        <f t="shared" si="37"/>
        <v>20-Oct-2012</v>
      </c>
    </row>
    <row r="1156" spans="1:20" x14ac:dyDescent="0.3">
      <c r="A1156">
        <v>38501</v>
      </c>
      <c r="B1156" s="1">
        <v>39931</v>
      </c>
      <c r="C1156" t="s">
        <v>43</v>
      </c>
      <c r="D1156" t="str">
        <f t="shared" si="36"/>
        <v>28-Apr-2009</v>
      </c>
      <c r="E1156">
        <v>11</v>
      </c>
      <c r="F1156" s="13">
        <v>78.680000000000007</v>
      </c>
      <c r="G1156">
        <v>0.05</v>
      </c>
      <c r="H1156" t="s">
        <v>19</v>
      </c>
      <c r="I1156" s="13">
        <v>-29.07</v>
      </c>
      <c r="J1156">
        <v>6.48</v>
      </c>
      <c r="K1156">
        <v>6.22</v>
      </c>
      <c r="L1156" t="s">
        <v>296</v>
      </c>
      <c r="M1156" t="s">
        <v>161</v>
      </c>
      <c r="N1156" s="5" t="s">
        <v>161</v>
      </c>
      <c r="O1156" t="s">
        <v>28</v>
      </c>
      <c r="P1156" t="s">
        <v>21</v>
      </c>
      <c r="Q1156" t="s">
        <v>37</v>
      </c>
      <c r="R1156">
        <v>0.37</v>
      </c>
      <c r="S1156" s="1">
        <v>39932</v>
      </c>
      <c r="T1156" t="str">
        <f t="shared" si="37"/>
        <v>29-Apr-2009</v>
      </c>
    </row>
    <row r="1157" spans="1:20" x14ac:dyDescent="0.3">
      <c r="A1157">
        <v>51395</v>
      </c>
      <c r="B1157" s="1">
        <v>40338</v>
      </c>
      <c r="C1157" t="s">
        <v>18</v>
      </c>
      <c r="D1157" t="str">
        <f t="shared" si="36"/>
        <v>09-Jun-2010</v>
      </c>
      <c r="E1157">
        <v>26</v>
      </c>
      <c r="F1157" s="13">
        <v>78.22</v>
      </c>
      <c r="G1157">
        <v>0.03</v>
      </c>
      <c r="H1157" t="s">
        <v>19</v>
      </c>
      <c r="I1157" s="13">
        <v>32.5</v>
      </c>
      <c r="J1157">
        <v>2.88</v>
      </c>
      <c r="K1157">
        <v>0.5</v>
      </c>
      <c r="L1157" t="s">
        <v>210</v>
      </c>
      <c r="M1157" t="s">
        <v>161</v>
      </c>
      <c r="N1157" s="5" t="s">
        <v>161</v>
      </c>
      <c r="O1157" t="s">
        <v>28</v>
      </c>
      <c r="P1157" t="s">
        <v>21</v>
      </c>
      <c r="Q1157" t="s">
        <v>48</v>
      </c>
      <c r="R1157">
        <v>0.36</v>
      </c>
      <c r="S1157" s="1">
        <v>40343</v>
      </c>
      <c r="T1157" t="str">
        <f t="shared" si="37"/>
        <v>14-Jun-2010</v>
      </c>
    </row>
    <row r="1158" spans="1:20" x14ac:dyDescent="0.3">
      <c r="A1158">
        <v>8480</v>
      </c>
      <c r="B1158" s="1">
        <v>40572</v>
      </c>
      <c r="C1158" t="s">
        <v>23</v>
      </c>
      <c r="D1158" t="str">
        <f t="shared" si="36"/>
        <v>29-Jan-2011</v>
      </c>
      <c r="E1158">
        <v>11</v>
      </c>
      <c r="F1158" s="13">
        <v>76.36</v>
      </c>
      <c r="G1158">
        <v>7.0000000000000007E-2</v>
      </c>
      <c r="H1158" t="s">
        <v>19</v>
      </c>
      <c r="I1158" s="13">
        <v>-58.4</v>
      </c>
      <c r="J1158">
        <v>6.48</v>
      </c>
      <c r="K1158">
        <v>8.74</v>
      </c>
      <c r="L1158" t="s">
        <v>295</v>
      </c>
      <c r="M1158" t="s">
        <v>161</v>
      </c>
      <c r="N1158" s="5" t="s">
        <v>161</v>
      </c>
      <c r="O1158" t="s">
        <v>28</v>
      </c>
      <c r="P1158" t="s">
        <v>21</v>
      </c>
      <c r="Q1158" t="s">
        <v>37</v>
      </c>
      <c r="R1158">
        <v>0.36</v>
      </c>
      <c r="S1158" s="1">
        <v>40574</v>
      </c>
      <c r="T1158" t="str">
        <f t="shared" si="37"/>
        <v>31-Jan-2011</v>
      </c>
    </row>
    <row r="1159" spans="1:20" x14ac:dyDescent="0.3">
      <c r="A1159">
        <v>51361</v>
      </c>
      <c r="B1159" s="1">
        <v>40620</v>
      </c>
      <c r="C1159" t="s">
        <v>18</v>
      </c>
      <c r="D1159" t="str">
        <f t="shared" si="36"/>
        <v>18-Mar-2011</v>
      </c>
      <c r="E1159">
        <v>14</v>
      </c>
      <c r="F1159" s="13">
        <v>76.06</v>
      </c>
      <c r="G1159">
        <v>0.02</v>
      </c>
      <c r="H1159" t="s">
        <v>35</v>
      </c>
      <c r="I1159" s="13">
        <v>-35.99</v>
      </c>
      <c r="J1159">
        <v>4.28</v>
      </c>
      <c r="K1159">
        <v>5.68</v>
      </c>
      <c r="L1159" t="s">
        <v>153</v>
      </c>
      <c r="M1159" t="s">
        <v>161</v>
      </c>
      <c r="N1159" s="5" t="s">
        <v>161</v>
      </c>
      <c r="O1159" t="s">
        <v>28</v>
      </c>
      <c r="P1159" t="s">
        <v>21</v>
      </c>
      <c r="Q1159" t="s">
        <v>37</v>
      </c>
      <c r="R1159">
        <v>0.4</v>
      </c>
      <c r="S1159" s="1">
        <v>40622</v>
      </c>
      <c r="T1159" t="str">
        <f t="shared" si="37"/>
        <v>20-Mar-2011</v>
      </c>
    </row>
    <row r="1160" spans="1:20" x14ac:dyDescent="0.3">
      <c r="A1160">
        <v>49477</v>
      </c>
      <c r="B1160" s="1">
        <v>40876</v>
      </c>
      <c r="C1160" t="s">
        <v>38</v>
      </c>
      <c r="D1160" t="str">
        <f t="shared" si="36"/>
        <v>29-Nov-2011</v>
      </c>
      <c r="E1160">
        <v>9</v>
      </c>
      <c r="F1160" s="13">
        <v>75.94</v>
      </c>
      <c r="G1160">
        <v>0.01</v>
      </c>
      <c r="H1160" t="s">
        <v>19</v>
      </c>
      <c r="I1160" s="13">
        <v>-16.559999999999999</v>
      </c>
      <c r="J1160">
        <v>7.64</v>
      </c>
      <c r="K1160">
        <v>5.83</v>
      </c>
      <c r="L1160" t="s">
        <v>52</v>
      </c>
      <c r="M1160" t="s">
        <v>161</v>
      </c>
      <c r="N1160" s="5" t="s">
        <v>161</v>
      </c>
      <c r="O1160" t="s">
        <v>28</v>
      </c>
      <c r="P1160" t="s">
        <v>21</v>
      </c>
      <c r="Q1160" t="s">
        <v>37</v>
      </c>
      <c r="R1160">
        <v>0.36</v>
      </c>
      <c r="S1160" s="1">
        <v>40876</v>
      </c>
      <c r="T1160" t="str">
        <f t="shared" si="37"/>
        <v>29-Nov-2011</v>
      </c>
    </row>
    <row r="1161" spans="1:20" x14ac:dyDescent="0.3">
      <c r="A1161">
        <v>6438</v>
      </c>
      <c r="B1161" s="1">
        <v>40314</v>
      </c>
      <c r="C1161" t="s">
        <v>31</v>
      </c>
      <c r="D1161" t="str">
        <f t="shared" si="36"/>
        <v>16-May-2010</v>
      </c>
      <c r="E1161">
        <v>7</v>
      </c>
      <c r="F1161" s="13">
        <v>75.72</v>
      </c>
      <c r="G1161">
        <v>0.02</v>
      </c>
      <c r="H1161" t="s">
        <v>19</v>
      </c>
      <c r="I1161" s="13">
        <v>20.29</v>
      </c>
      <c r="J1161">
        <v>9.77</v>
      </c>
      <c r="K1161">
        <v>6.02</v>
      </c>
      <c r="L1161" t="s">
        <v>191</v>
      </c>
      <c r="M1161" t="s">
        <v>161</v>
      </c>
      <c r="N1161" s="5" t="s">
        <v>161</v>
      </c>
      <c r="O1161" t="s">
        <v>28</v>
      </c>
      <c r="P1161" t="s">
        <v>32</v>
      </c>
      <c r="Q1161" t="s">
        <v>33</v>
      </c>
      <c r="R1161">
        <v>0.48</v>
      </c>
      <c r="S1161" s="1">
        <v>40314</v>
      </c>
      <c r="T1161" t="str">
        <f t="shared" si="37"/>
        <v>16-May-2010</v>
      </c>
    </row>
    <row r="1162" spans="1:20" x14ac:dyDescent="0.3">
      <c r="A1162">
        <v>39015</v>
      </c>
      <c r="B1162" s="1">
        <v>40153</v>
      </c>
      <c r="C1162" t="s">
        <v>38</v>
      </c>
      <c r="D1162" t="str">
        <f t="shared" si="36"/>
        <v>06-Dec-2009</v>
      </c>
      <c r="E1162">
        <v>11</v>
      </c>
      <c r="F1162" s="13">
        <v>74.02</v>
      </c>
      <c r="G1162">
        <v>7.0000000000000007E-2</v>
      </c>
      <c r="H1162" t="s">
        <v>19</v>
      </c>
      <c r="I1162" s="13">
        <v>-28.45</v>
      </c>
      <c r="J1162">
        <v>6.48</v>
      </c>
      <c r="K1162">
        <v>5.74</v>
      </c>
      <c r="L1162" t="s">
        <v>163</v>
      </c>
      <c r="M1162" t="s">
        <v>161</v>
      </c>
      <c r="N1162" s="5" t="s">
        <v>161</v>
      </c>
      <c r="O1162" t="s">
        <v>28</v>
      </c>
      <c r="P1162" t="s">
        <v>21</v>
      </c>
      <c r="Q1162" t="s">
        <v>37</v>
      </c>
      <c r="R1162">
        <v>0.37</v>
      </c>
      <c r="S1162" s="1">
        <v>40153</v>
      </c>
      <c r="T1162" t="str">
        <f t="shared" si="37"/>
        <v>06-Dec-2009</v>
      </c>
    </row>
    <row r="1163" spans="1:20" x14ac:dyDescent="0.3">
      <c r="A1163">
        <v>50949</v>
      </c>
      <c r="B1163" s="1">
        <v>40578</v>
      </c>
      <c r="C1163" t="s">
        <v>38</v>
      </c>
      <c r="D1163" t="str">
        <f t="shared" si="36"/>
        <v>04-Feb-2011</v>
      </c>
      <c r="E1163">
        <v>32</v>
      </c>
      <c r="F1163" s="13">
        <v>73.55</v>
      </c>
      <c r="G1163">
        <v>0.09</v>
      </c>
      <c r="H1163" t="s">
        <v>35</v>
      </c>
      <c r="I1163" s="13">
        <v>7.95</v>
      </c>
      <c r="J1163">
        <v>2.1800000000000002</v>
      </c>
      <c r="K1163">
        <v>0.78</v>
      </c>
      <c r="L1163" t="s">
        <v>157</v>
      </c>
      <c r="M1163" t="s">
        <v>161</v>
      </c>
      <c r="N1163" s="5" t="s">
        <v>161</v>
      </c>
      <c r="O1163" t="s">
        <v>28</v>
      </c>
      <c r="P1163" t="s">
        <v>21</v>
      </c>
      <c r="Q1163" t="s">
        <v>39</v>
      </c>
      <c r="R1163">
        <v>0.52</v>
      </c>
      <c r="S1163" s="1">
        <v>40579</v>
      </c>
      <c r="T1163" t="str">
        <f t="shared" si="37"/>
        <v>05-Feb-2011</v>
      </c>
    </row>
    <row r="1164" spans="1:20" x14ac:dyDescent="0.3">
      <c r="A1164">
        <v>15780</v>
      </c>
      <c r="B1164" s="1">
        <v>40646</v>
      </c>
      <c r="C1164" t="s">
        <v>43</v>
      </c>
      <c r="D1164" t="str">
        <f t="shared" si="36"/>
        <v>13-Apr-2011</v>
      </c>
      <c r="E1164">
        <v>19</v>
      </c>
      <c r="F1164" s="13">
        <v>71.77</v>
      </c>
      <c r="G1164">
        <v>0.03</v>
      </c>
      <c r="H1164" t="s">
        <v>19</v>
      </c>
      <c r="I1164" s="13">
        <v>22.71</v>
      </c>
      <c r="J1164">
        <v>3.78</v>
      </c>
      <c r="K1164">
        <v>0.71</v>
      </c>
      <c r="L1164" t="s">
        <v>212</v>
      </c>
      <c r="M1164" t="s">
        <v>161</v>
      </c>
      <c r="N1164" s="5" t="s">
        <v>161</v>
      </c>
      <c r="O1164" t="s">
        <v>28</v>
      </c>
      <c r="P1164" t="s">
        <v>21</v>
      </c>
      <c r="Q1164" t="s">
        <v>39</v>
      </c>
      <c r="R1164">
        <v>0.39</v>
      </c>
      <c r="S1164" s="1">
        <v>40648</v>
      </c>
      <c r="T1164" t="str">
        <f t="shared" si="37"/>
        <v>15-Apr-2011</v>
      </c>
    </row>
    <row r="1165" spans="1:20" x14ac:dyDescent="0.3">
      <c r="A1165">
        <v>35555</v>
      </c>
      <c r="B1165" s="1">
        <v>40606</v>
      </c>
      <c r="C1165" t="s">
        <v>38</v>
      </c>
      <c r="D1165" t="str">
        <f t="shared" si="36"/>
        <v>04-Mar-2011</v>
      </c>
      <c r="E1165">
        <v>15</v>
      </c>
      <c r="F1165" s="13">
        <v>71.61</v>
      </c>
      <c r="G1165">
        <v>0.1</v>
      </c>
      <c r="H1165" t="s">
        <v>19</v>
      </c>
      <c r="I1165" s="13">
        <v>-70.31</v>
      </c>
      <c r="J1165">
        <v>4.8899999999999997</v>
      </c>
      <c r="K1165">
        <v>4.93</v>
      </c>
      <c r="L1165" t="s">
        <v>188</v>
      </c>
      <c r="M1165" t="s">
        <v>161</v>
      </c>
      <c r="N1165" s="5" t="s">
        <v>161</v>
      </c>
      <c r="O1165" t="s">
        <v>28</v>
      </c>
      <c r="P1165" t="s">
        <v>29</v>
      </c>
      <c r="Q1165" t="s">
        <v>41</v>
      </c>
      <c r="R1165">
        <v>0.66</v>
      </c>
      <c r="S1165" s="1">
        <v>40608</v>
      </c>
      <c r="T1165" t="str">
        <f t="shared" si="37"/>
        <v>06-Mar-2011</v>
      </c>
    </row>
    <row r="1166" spans="1:20" x14ac:dyDescent="0.3">
      <c r="A1166">
        <v>21573</v>
      </c>
      <c r="B1166" s="1">
        <v>41024</v>
      </c>
      <c r="C1166" t="s">
        <v>43</v>
      </c>
      <c r="D1166" t="str">
        <f t="shared" si="36"/>
        <v>25-Apr-2012</v>
      </c>
      <c r="E1166">
        <v>7</v>
      </c>
      <c r="F1166" s="13">
        <v>70.08</v>
      </c>
      <c r="G1166">
        <v>0</v>
      </c>
      <c r="H1166" t="s">
        <v>19</v>
      </c>
      <c r="I1166" s="13">
        <v>8.02</v>
      </c>
      <c r="J1166">
        <v>9.48</v>
      </c>
      <c r="K1166">
        <v>3.72</v>
      </c>
      <c r="L1166" t="s">
        <v>304</v>
      </c>
      <c r="M1166" t="s">
        <v>161</v>
      </c>
      <c r="N1166" s="5" t="s">
        <v>161</v>
      </c>
      <c r="O1166" t="s">
        <v>28</v>
      </c>
      <c r="P1166" t="s">
        <v>32</v>
      </c>
      <c r="Q1166" t="s">
        <v>33</v>
      </c>
      <c r="R1166">
        <v>0.4</v>
      </c>
      <c r="S1166" s="1">
        <v>41026</v>
      </c>
      <c r="T1166" t="str">
        <f t="shared" si="37"/>
        <v>27-Apr-2012</v>
      </c>
    </row>
    <row r="1167" spans="1:20" x14ac:dyDescent="0.3">
      <c r="A1167">
        <v>37669</v>
      </c>
      <c r="B1167" s="1">
        <v>40480</v>
      </c>
      <c r="C1167" t="s">
        <v>31</v>
      </c>
      <c r="D1167" t="str">
        <f t="shared" si="36"/>
        <v>29-Oct-2010</v>
      </c>
      <c r="E1167">
        <v>4</v>
      </c>
      <c r="F1167" s="13">
        <v>70.02</v>
      </c>
      <c r="G1167">
        <v>0</v>
      </c>
      <c r="H1167" t="s">
        <v>19</v>
      </c>
      <c r="I1167" s="13">
        <v>-30.63</v>
      </c>
      <c r="J1167">
        <v>15.31</v>
      </c>
      <c r="K1167">
        <v>8.7799999999999994</v>
      </c>
      <c r="L1167" t="s">
        <v>290</v>
      </c>
      <c r="M1167" t="s">
        <v>161</v>
      </c>
      <c r="N1167" s="5" t="s">
        <v>161</v>
      </c>
      <c r="O1167" t="s">
        <v>28</v>
      </c>
      <c r="P1167" t="s">
        <v>21</v>
      </c>
      <c r="Q1167" t="s">
        <v>22</v>
      </c>
      <c r="R1167">
        <v>0.56999999999999995</v>
      </c>
      <c r="S1167" s="1">
        <v>40483</v>
      </c>
      <c r="T1167" t="str">
        <f t="shared" si="37"/>
        <v>01-Nov-2010</v>
      </c>
    </row>
    <row r="1168" spans="1:20" x14ac:dyDescent="0.3">
      <c r="A1168">
        <v>59108</v>
      </c>
      <c r="B1168" s="1">
        <v>40823</v>
      </c>
      <c r="C1168" t="s">
        <v>18</v>
      </c>
      <c r="D1168" t="str">
        <f t="shared" si="36"/>
        <v>07-Oct-2011</v>
      </c>
      <c r="E1168">
        <v>21</v>
      </c>
      <c r="F1168" s="13">
        <v>68.53</v>
      </c>
      <c r="G1168">
        <v>0.09</v>
      </c>
      <c r="H1168" t="s">
        <v>19</v>
      </c>
      <c r="I1168" s="13">
        <v>-59.97</v>
      </c>
      <c r="J1168">
        <v>3.28</v>
      </c>
      <c r="K1168">
        <v>3.97</v>
      </c>
      <c r="L1168" t="s">
        <v>189</v>
      </c>
      <c r="M1168" t="s">
        <v>161</v>
      </c>
      <c r="N1168" s="5" t="s">
        <v>161</v>
      </c>
      <c r="O1168" t="s">
        <v>28</v>
      </c>
      <c r="P1168" t="s">
        <v>21</v>
      </c>
      <c r="Q1168" t="s">
        <v>50</v>
      </c>
      <c r="R1168">
        <v>0.56000000000000005</v>
      </c>
      <c r="S1168" s="1">
        <v>40828</v>
      </c>
      <c r="T1168" t="str">
        <f t="shared" si="37"/>
        <v>12-Oct-2011</v>
      </c>
    </row>
    <row r="1169" spans="1:20" x14ac:dyDescent="0.3">
      <c r="A1169">
        <v>29411</v>
      </c>
      <c r="B1169" s="1">
        <v>41005</v>
      </c>
      <c r="C1169" t="s">
        <v>23</v>
      </c>
      <c r="D1169" t="str">
        <f t="shared" si="36"/>
        <v>06-Apr-2012</v>
      </c>
      <c r="E1169">
        <v>29</v>
      </c>
      <c r="F1169" s="13">
        <v>67.87</v>
      </c>
      <c r="G1169">
        <v>7.0000000000000007E-2</v>
      </c>
      <c r="H1169" t="s">
        <v>19</v>
      </c>
      <c r="I1169" s="13">
        <v>-112.54</v>
      </c>
      <c r="J1169">
        <v>2.2200000000000002</v>
      </c>
      <c r="K1169">
        <v>5</v>
      </c>
      <c r="L1169" t="s">
        <v>200</v>
      </c>
      <c r="M1169" t="s">
        <v>161</v>
      </c>
      <c r="N1169" s="5" t="s">
        <v>161</v>
      </c>
      <c r="O1169" t="s">
        <v>28</v>
      </c>
      <c r="P1169" t="s">
        <v>21</v>
      </c>
      <c r="Q1169" t="s">
        <v>25</v>
      </c>
      <c r="R1169">
        <v>0.55000000000000004</v>
      </c>
      <c r="S1169" s="1">
        <v>41006</v>
      </c>
      <c r="T1169" t="str">
        <f t="shared" si="37"/>
        <v>07-Apr-2012</v>
      </c>
    </row>
    <row r="1170" spans="1:20" x14ac:dyDescent="0.3">
      <c r="A1170">
        <v>837</v>
      </c>
      <c r="B1170" s="1">
        <v>39978</v>
      </c>
      <c r="C1170" t="s">
        <v>31</v>
      </c>
      <c r="D1170" t="str">
        <f t="shared" si="36"/>
        <v>14-Jun-2009</v>
      </c>
      <c r="E1170">
        <v>11</v>
      </c>
      <c r="F1170" s="13">
        <v>65.7</v>
      </c>
      <c r="G1170">
        <v>0.01</v>
      </c>
      <c r="H1170" t="s">
        <v>19</v>
      </c>
      <c r="I1170" s="13">
        <v>13.41</v>
      </c>
      <c r="J1170">
        <v>5.84</v>
      </c>
      <c r="K1170">
        <v>0.83</v>
      </c>
      <c r="L1170" t="s">
        <v>171</v>
      </c>
      <c r="M1170" t="s">
        <v>161</v>
      </c>
      <c r="N1170" s="5" t="s">
        <v>161</v>
      </c>
      <c r="O1170" t="s">
        <v>28</v>
      </c>
      <c r="P1170" t="s">
        <v>21</v>
      </c>
      <c r="Q1170" t="s">
        <v>50</v>
      </c>
      <c r="R1170">
        <v>0.49</v>
      </c>
      <c r="S1170" s="1">
        <v>39980</v>
      </c>
      <c r="T1170" t="str">
        <f t="shared" si="37"/>
        <v>16-Jun-2009</v>
      </c>
    </row>
    <row r="1171" spans="1:20" x14ac:dyDescent="0.3">
      <c r="A1171">
        <v>51940</v>
      </c>
      <c r="B1171" s="1">
        <v>41199</v>
      </c>
      <c r="C1171" t="s">
        <v>23</v>
      </c>
      <c r="D1171" t="str">
        <f t="shared" si="36"/>
        <v>17-Oct-2012</v>
      </c>
      <c r="E1171">
        <v>11</v>
      </c>
      <c r="F1171" s="13">
        <v>65.5</v>
      </c>
      <c r="G1171">
        <v>0.08</v>
      </c>
      <c r="H1171" t="s">
        <v>19</v>
      </c>
      <c r="I1171" s="13">
        <v>-55.94</v>
      </c>
      <c r="J1171">
        <v>5.98</v>
      </c>
      <c r="K1171">
        <v>4.38</v>
      </c>
      <c r="L1171" t="s">
        <v>160</v>
      </c>
      <c r="M1171" t="s">
        <v>161</v>
      </c>
      <c r="N1171" s="5" t="s">
        <v>161</v>
      </c>
      <c r="O1171" t="s">
        <v>28</v>
      </c>
      <c r="P1171" t="s">
        <v>29</v>
      </c>
      <c r="Q1171" t="s">
        <v>41</v>
      </c>
      <c r="R1171">
        <v>0.75</v>
      </c>
      <c r="S1171" s="1">
        <v>41200</v>
      </c>
      <c r="T1171" t="str">
        <f t="shared" si="37"/>
        <v>18-Oct-2012</v>
      </c>
    </row>
    <row r="1172" spans="1:20" x14ac:dyDescent="0.3">
      <c r="A1172">
        <v>27589</v>
      </c>
      <c r="B1172" s="1">
        <v>40801</v>
      </c>
      <c r="C1172" t="s">
        <v>38</v>
      </c>
      <c r="D1172" t="str">
        <f t="shared" si="36"/>
        <v>15-Sep-2011</v>
      </c>
      <c r="E1172">
        <v>36</v>
      </c>
      <c r="F1172" s="13">
        <v>64.430000000000007</v>
      </c>
      <c r="G1172">
        <v>7.0000000000000007E-2</v>
      </c>
      <c r="H1172" t="s">
        <v>19</v>
      </c>
      <c r="I1172" s="13">
        <v>-18.64</v>
      </c>
      <c r="J1172">
        <v>1.88</v>
      </c>
      <c r="K1172">
        <v>1.49</v>
      </c>
      <c r="L1172" t="s">
        <v>192</v>
      </c>
      <c r="M1172" t="s">
        <v>161</v>
      </c>
      <c r="N1172" s="5" t="s">
        <v>161</v>
      </c>
      <c r="O1172" t="s">
        <v>28</v>
      </c>
      <c r="P1172" t="s">
        <v>32</v>
      </c>
      <c r="Q1172" t="s">
        <v>46</v>
      </c>
      <c r="R1172">
        <v>0.66</v>
      </c>
      <c r="S1172" s="1">
        <v>40802</v>
      </c>
      <c r="T1172" t="str">
        <f t="shared" si="37"/>
        <v>16-Sep-2011</v>
      </c>
    </row>
    <row r="1173" spans="1:20" x14ac:dyDescent="0.3">
      <c r="A1173">
        <v>52645</v>
      </c>
      <c r="B1173" s="1">
        <v>40975</v>
      </c>
      <c r="C1173" t="s">
        <v>18</v>
      </c>
      <c r="D1173" t="str">
        <f t="shared" si="36"/>
        <v>07-Mar-2012</v>
      </c>
      <c r="E1173">
        <v>11</v>
      </c>
      <c r="F1173" s="13">
        <v>64.34</v>
      </c>
      <c r="G1173">
        <v>0.09</v>
      </c>
      <c r="H1173" t="s">
        <v>19</v>
      </c>
      <c r="I1173" s="13">
        <v>-8.3699999999999992</v>
      </c>
      <c r="J1173">
        <v>5.85</v>
      </c>
      <c r="K1173">
        <v>2.27</v>
      </c>
      <c r="L1173" t="s">
        <v>187</v>
      </c>
      <c r="M1173" t="s">
        <v>161</v>
      </c>
      <c r="N1173" s="5" t="s">
        <v>161</v>
      </c>
      <c r="O1173" t="s">
        <v>28</v>
      </c>
      <c r="P1173" t="s">
        <v>21</v>
      </c>
      <c r="Q1173" t="s">
        <v>50</v>
      </c>
      <c r="R1173">
        <v>0.56000000000000005</v>
      </c>
      <c r="S1173" s="1">
        <v>40980</v>
      </c>
      <c r="T1173" t="str">
        <f t="shared" si="37"/>
        <v>12-Mar-2012</v>
      </c>
    </row>
    <row r="1174" spans="1:20" x14ac:dyDescent="0.3">
      <c r="A1174">
        <v>8710</v>
      </c>
      <c r="B1174" s="1">
        <v>39817</v>
      </c>
      <c r="C1174" t="s">
        <v>43</v>
      </c>
      <c r="D1174" t="str">
        <f t="shared" si="36"/>
        <v>04-Jan-2009</v>
      </c>
      <c r="E1174">
        <v>17</v>
      </c>
      <c r="F1174" s="13">
        <v>63.34</v>
      </c>
      <c r="G1174">
        <v>0.03</v>
      </c>
      <c r="H1174" t="s">
        <v>19</v>
      </c>
      <c r="I1174" s="13">
        <v>-76.02</v>
      </c>
      <c r="J1174">
        <v>3.36</v>
      </c>
      <c r="K1174">
        <v>6.27</v>
      </c>
      <c r="L1174" t="s">
        <v>181</v>
      </c>
      <c r="M1174" t="s">
        <v>161</v>
      </c>
      <c r="N1174" s="5" t="s">
        <v>161</v>
      </c>
      <c r="O1174" t="s">
        <v>28</v>
      </c>
      <c r="P1174" t="s">
        <v>21</v>
      </c>
      <c r="Q1174" t="s">
        <v>26</v>
      </c>
      <c r="R1174">
        <v>0.4</v>
      </c>
      <c r="S1174" s="1">
        <v>39818</v>
      </c>
      <c r="T1174" t="str">
        <f t="shared" si="37"/>
        <v>05-Jan-2009</v>
      </c>
    </row>
    <row r="1175" spans="1:20" x14ac:dyDescent="0.3">
      <c r="A1175">
        <v>14596</v>
      </c>
      <c r="B1175" s="1">
        <v>39823</v>
      </c>
      <c r="C1175" t="s">
        <v>43</v>
      </c>
      <c r="D1175" t="str">
        <f t="shared" si="36"/>
        <v>10-Jan-2009</v>
      </c>
      <c r="E1175">
        <v>19</v>
      </c>
      <c r="F1175" s="13">
        <v>63.14</v>
      </c>
      <c r="G1175">
        <v>0.06</v>
      </c>
      <c r="H1175" t="s">
        <v>19</v>
      </c>
      <c r="I1175" s="13">
        <v>-53.75</v>
      </c>
      <c r="J1175">
        <v>3.28</v>
      </c>
      <c r="K1175">
        <v>3.97</v>
      </c>
      <c r="L1175" t="s">
        <v>195</v>
      </c>
      <c r="M1175" t="s">
        <v>161</v>
      </c>
      <c r="N1175" s="5" t="s">
        <v>161</v>
      </c>
      <c r="O1175" t="s">
        <v>28</v>
      </c>
      <c r="P1175" t="s">
        <v>21</v>
      </c>
      <c r="Q1175" t="s">
        <v>50</v>
      </c>
      <c r="R1175">
        <v>0.56000000000000005</v>
      </c>
      <c r="S1175" s="1">
        <v>39824</v>
      </c>
      <c r="T1175" t="str">
        <f t="shared" si="37"/>
        <v>11-Jan-2009</v>
      </c>
    </row>
    <row r="1176" spans="1:20" x14ac:dyDescent="0.3">
      <c r="A1176">
        <v>30915</v>
      </c>
      <c r="B1176" s="1">
        <v>39829</v>
      </c>
      <c r="C1176" t="s">
        <v>18</v>
      </c>
      <c r="D1176" t="str">
        <f t="shared" si="36"/>
        <v>16-Jan-2009</v>
      </c>
      <c r="E1176">
        <v>20</v>
      </c>
      <c r="F1176" s="13">
        <v>62.78</v>
      </c>
      <c r="G1176">
        <v>0.04</v>
      </c>
      <c r="H1176" t="s">
        <v>35</v>
      </c>
      <c r="I1176" s="13">
        <v>-17.75</v>
      </c>
      <c r="J1176">
        <v>2.98</v>
      </c>
      <c r="K1176">
        <v>2.0299999999999998</v>
      </c>
      <c r="L1176" t="s">
        <v>293</v>
      </c>
      <c r="M1176" t="s">
        <v>161</v>
      </c>
      <c r="N1176" s="5" t="s">
        <v>161</v>
      </c>
      <c r="O1176" t="s">
        <v>28</v>
      </c>
      <c r="P1176" t="s">
        <v>21</v>
      </c>
      <c r="Q1176" t="s">
        <v>50</v>
      </c>
      <c r="R1176">
        <v>0.56999999999999995</v>
      </c>
      <c r="S1176" s="1">
        <v>39829</v>
      </c>
      <c r="T1176" t="str">
        <f t="shared" si="37"/>
        <v>16-Jan-2009</v>
      </c>
    </row>
    <row r="1177" spans="1:20" x14ac:dyDescent="0.3">
      <c r="A1177">
        <v>32516</v>
      </c>
      <c r="B1177" s="1">
        <v>40475</v>
      </c>
      <c r="C1177" t="s">
        <v>43</v>
      </c>
      <c r="D1177" t="str">
        <f t="shared" si="36"/>
        <v>24-Oct-2010</v>
      </c>
      <c r="E1177">
        <v>7</v>
      </c>
      <c r="F1177" s="13">
        <v>60.19</v>
      </c>
      <c r="G1177">
        <v>0.01</v>
      </c>
      <c r="H1177" t="s">
        <v>19</v>
      </c>
      <c r="I1177" s="13">
        <v>6.44</v>
      </c>
      <c r="J1177">
        <v>7.78</v>
      </c>
      <c r="K1177">
        <v>2.5</v>
      </c>
      <c r="L1177" t="s">
        <v>295</v>
      </c>
      <c r="M1177" t="s">
        <v>161</v>
      </c>
      <c r="N1177" s="5" t="s">
        <v>161</v>
      </c>
      <c r="O1177" t="s">
        <v>28</v>
      </c>
      <c r="P1177" t="s">
        <v>21</v>
      </c>
      <c r="Q1177" t="s">
        <v>42</v>
      </c>
      <c r="R1177">
        <v>0.38</v>
      </c>
      <c r="S1177" s="1">
        <v>40477</v>
      </c>
      <c r="T1177" t="str">
        <f t="shared" si="37"/>
        <v>26-Oct-2010</v>
      </c>
    </row>
    <row r="1178" spans="1:20" x14ac:dyDescent="0.3">
      <c r="A1178">
        <v>43399</v>
      </c>
      <c r="B1178" s="1">
        <v>40024</v>
      </c>
      <c r="C1178" t="s">
        <v>23</v>
      </c>
      <c r="D1178" t="str">
        <f t="shared" si="36"/>
        <v>30-Jul-2009</v>
      </c>
      <c r="E1178">
        <v>35</v>
      </c>
      <c r="F1178" s="13">
        <v>59.66</v>
      </c>
      <c r="G1178">
        <v>0.05</v>
      </c>
      <c r="H1178" t="s">
        <v>19</v>
      </c>
      <c r="I1178" s="13">
        <v>-33.340000000000003</v>
      </c>
      <c r="J1178">
        <v>1.68</v>
      </c>
      <c r="K1178">
        <v>1.57</v>
      </c>
      <c r="L1178" t="s">
        <v>208</v>
      </c>
      <c r="M1178" t="s">
        <v>161</v>
      </c>
      <c r="N1178" s="5" t="s">
        <v>161</v>
      </c>
      <c r="O1178" t="s">
        <v>28</v>
      </c>
      <c r="P1178" t="s">
        <v>21</v>
      </c>
      <c r="Q1178" t="s">
        <v>50</v>
      </c>
      <c r="R1178">
        <v>0.59</v>
      </c>
      <c r="S1178" s="1">
        <v>40025</v>
      </c>
      <c r="T1178" t="str">
        <f t="shared" si="37"/>
        <v>31-Jul-2009</v>
      </c>
    </row>
    <row r="1179" spans="1:20" x14ac:dyDescent="0.3">
      <c r="A1179">
        <v>15808</v>
      </c>
      <c r="B1179" s="1">
        <v>40526</v>
      </c>
      <c r="C1179" t="s">
        <v>43</v>
      </c>
      <c r="D1179" t="str">
        <f t="shared" si="36"/>
        <v>14-Dec-2010</v>
      </c>
      <c r="E1179">
        <v>3</v>
      </c>
      <c r="F1179" s="13">
        <v>58.14</v>
      </c>
      <c r="G1179">
        <v>0.01</v>
      </c>
      <c r="H1179" t="s">
        <v>19</v>
      </c>
      <c r="I1179" s="13">
        <v>-96.25</v>
      </c>
      <c r="J1179">
        <v>20.99</v>
      </c>
      <c r="K1179">
        <v>4.8099999999999996</v>
      </c>
      <c r="L1179" t="s">
        <v>169</v>
      </c>
      <c r="M1179" t="s">
        <v>161</v>
      </c>
      <c r="N1179" s="5" t="s">
        <v>161</v>
      </c>
      <c r="O1179" t="s">
        <v>28</v>
      </c>
      <c r="P1179" t="s">
        <v>29</v>
      </c>
      <c r="Q1179" t="s">
        <v>30</v>
      </c>
      <c r="R1179">
        <v>0.57999999999999996</v>
      </c>
      <c r="S1179" s="1">
        <v>40527</v>
      </c>
      <c r="T1179" t="str">
        <f t="shared" si="37"/>
        <v>15-Dec-2010</v>
      </c>
    </row>
    <row r="1180" spans="1:20" x14ac:dyDescent="0.3">
      <c r="A1180">
        <v>47303</v>
      </c>
      <c r="B1180" s="1">
        <v>40882</v>
      </c>
      <c r="C1180" t="s">
        <v>38</v>
      </c>
      <c r="D1180" t="str">
        <f t="shared" si="36"/>
        <v>05-Dec-2011</v>
      </c>
      <c r="E1180">
        <v>7</v>
      </c>
      <c r="F1180" s="13">
        <v>56.9</v>
      </c>
      <c r="G1180">
        <v>0.03</v>
      </c>
      <c r="H1180" t="s">
        <v>19</v>
      </c>
      <c r="I1180" s="13">
        <v>12.64</v>
      </c>
      <c r="J1180">
        <v>7.64</v>
      </c>
      <c r="K1180">
        <v>1.39</v>
      </c>
      <c r="L1180" t="s">
        <v>293</v>
      </c>
      <c r="M1180" t="s">
        <v>161</v>
      </c>
      <c r="N1180" s="5" t="s">
        <v>161</v>
      </c>
      <c r="O1180" t="s">
        <v>28</v>
      </c>
      <c r="P1180" t="s">
        <v>21</v>
      </c>
      <c r="Q1180" t="s">
        <v>42</v>
      </c>
      <c r="R1180">
        <v>0.36</v>
      </c>
      <c r="S1180" s="1">
        <v>40883</v>
      </c>
      <c r="T1180" t="str">
        <f t="shared" si="37"/>
        <v>06-Dec-2011</v>
      </c>
    </row>
    <row r="1181" spans="1:20" x14ac:dyDescent="0.3">
      <c r="A1181">
        <v>27557</v>
      </c>
      <c r="B1181" s="1">
        <v>40947</v>
      </c>
      <c r="C1181" t="s">
        <v>18</v>
      </c>
      <c r="D1181" t="str">
        <f t="shared" si="36"/>
        <v>08-Feb-2012</v>
      </c>
      <c r="E1181">
        <v>18</v>
      </c>
      <c r="F1181" s="13">
        <v>56.13</v>
      </c>
      <c r="G1181">
        <v>0.02</v>
      </c>
      <c r="H1181" t="s">
        <v>19</v>
      </c>
      <c r="I1181" s="13">
        <v>-58.47</v>
      </c>
      <c r="J1181">
        <v>2.88</v>
      </c>
      <c r="K1181">
        <v>5.33</v>
      </c>
      <c r="L1181" t="s">
        <v>295</v>
      </c>
      <c r="M1181" t="s">
        <v>161</v>
      </c>
      <c r="N1181" s="5" t="s">
        <v>161</v>
      </c>
      <c r="O1181" t="s">
        <v>28</v>
      </c>
      <c r="P1181" t="s">
        <v>21</v>
      </c>
      <c r="Q1181" t="s">
        <v>48</v>
      </c>
      <c r="R1181">
        <v>0.36</v>
      </c>
      <c r="S1181" s="1">
        <v>40952</v>
      </c>
      <c r="T1181" t="str">
        <f t="shared" si="37"/>
        <v>13-Feb-2012</v>
      </c>
    </row>
    <row r="1182" spans="1:20" x14ac:dyDescent="0.3">
      <c r="A1182">
        <v>15718</v>
      </c>
      <c r="B1182" s="1">
        <v>39840</v>
      </c>
      <c r="C1182" t="s">
        <v>43</v>
      </c>
      <c r="D1182" t="str">
        <f t="shared" si="36"/>
        <v>27-Jan-2009</v>
      </c>
      <c r="E1182">
        <v>50</v>
      </c>
      <c r="F1182" s="13">
        <v>55.89</v>
      </c>
      <c r="G1182">
        <v>0.06</v>
      </c>
      <c r="H1182" t="s">
        <v>19</v>
      </c>
      <c r="I1182" s="13">
        <v>-3.05</v>
      </c>
      <c r="J1182">
        <v>1.1399999999999999</v>
      </c>
      <c r="K1182">
        <v>0.7</v>
      </c>
      <c r="L1182" t="s">
        <v>171</v>
      </c>
      <c r="M1182" t="s">
        <v>161</v>
      </c>
      <c r="N1182" s="5" t="s">
        <v>161</v>
      </c>
      <c r="O1182" t="s">
        <v>28</v>
      </c>
      <c r="P1182" t="s">
        <v>21</v>
      </c>
      <c r="Q1182" t="s">
        <v>39</v>
      </c>
      <c r="R1182">
        <v>0.38</v>
      </c>
      <c r="S1182" s="1">
        <v>39843</v>
      </c>
      <c r="T1182" t="str">
        <f t="shared" si="37"/>
        <v>30-Jan-2009</v>
      </c>
    </row>
    <row r="1183" spans="1:20" x14ac:dyDescent="0.3">
      <c r="A1183">
        <v>44614</v>
      </c>
      <c r="B1183" s="1">
        <v>40343</v>
      </c>
      <c r="C1183" t="s">
        <v>18</v>
      </c>
      <c r="D1183" t="str">
        <f t="shared" si="36"/>
        <v>14-Jun-2010</v>
      </c>
      <c r="E1183">
        <v>18</v>
      </c>
      <c r="F1183" s="13">
        <v>55.35</v>
      </c>
      <c r="G1183">
        <v>0</v>
      </c>
      <c r="H1183" t="s">
        <v>35</v>
      </c>
      <c r="I1183" s="13">
        <v>-56.63</v>
      </c>
      <c r="J1183">
        <v>2.2200000000000002</v>
      </c>
      <c r="K1183">
        <v>5</v>
      </c>
      <c r="L1183" t="s">
        <v>206</v>
      </c>
      <c r="M1183" t="s">
        <v>161</v>
      </c>
      <c r="N1183" s="5" t="s">
        <v>161</v>
      </c>
      <c r="O1183" t="s">
        <v>28</v>
      </c>
      <c r="P1183" t="s">
        <v>21</v>
      </c>
      <c r="Q1183" t="s">
        <v>25</v>
      </c>
      <c r="R1183">
        <v>0.55000000000000004</v>
      </c>
      <c r="S1183" s="1">
        <v>40347</v>
      </c>
      <c r="T1183" t="str">
        <f t="shared" si="37"/>
        <v>18-Jun-2010</v>
      </c>
    </row>
    <row r="1184" spans="1:20" x14ac:dyDescent="0.3">
      <c r="A1184">
        <v>12160</v>
      </c>
      <c r="B1184" s="1">
        <v>40524</v>
      </c>
      <c r="C1184" t="s">
        <v>18</v>
      </c>
      <c r="D1184" t="str">
        <f t="shared" si="36"/>
        <v>12-Dec-2010</v>
      </c>
      <c r="E1184">
        <v>2</v>
      </c>
      <c r="F1184" s="13">
        <v>55.21</v>
      </c>
      <c r="G1184">
        <v>0.08</v>
      </c>
      <c r="H1184" t="s">
        <v>19</v>
      </c>
      <c r="I1184" s="13">
        <v>-45.3</v>
      </c>
      <c r="J1184">
        <v>24.98</v>
      </c>
      <c r="K1184">
        <v>8.7899999999999991</v>
      </c>
      <c r="L1184" t="s">
        <v>192</v>
      </c>
      <c r="M1184" t="s">
        <v>161</v>
      </c>
      <c r="N1184" s="5" t="s">
        <v>161</v>
      </c>
      <c r="O1184" t="s">
        <v>28</v>
      </c>
      <c r="P1184" t="s">
        <v>32</v>
      </c>
      <c r="Q1184" t="s">
        <v>56</v>
      </c>
      <c r="R1184">
        <v>0.56000000000000005</v>
      </c>
      <c r="S1184" s="1">
        <v>40528</v>
      </c>
      <c r="T1184" t="str">
        <f t="shared" si="37"/>
        <v>16-Dec-2010</v>
      </c>
    </row>
    <row r="1185" spans="1:20" x14ac:dyDescent="0.3">
      <c r="A1185">
        <v>16065</v>
      </c>
      <c r="B1185" s="1">
        <v>40379</v>
      </c>
      <c r="C1185" t="s">
        <v>23</v>
      </c>
      <c r="D1185" t="str">
        <f t="shared" si="36"/>
        <v>20-Jul-2010</v>
      </c>
      <c r="E1185">
        <v>14</v>
      </c>
      <c r="F1185" s="13">
        <v>54.99</v>
      </c>
      <c r="G1185">
        <v>0.06</v>
      </c>
      <c r="H1185" t="s">
        <v>19</v>
      </c>
      <c r="I1185" s="13">
        <v>8.07</v>
      </c>
      <c r="J1185">
        <v>4</v>
      </c>
      <c r="K1185">
        <v>1.3</v>
      </c>
      <c r="L1185" t="s">
        <v>201</v>
      </c>
      <c r="M1185" t="s">
        <v>161</v>
      </c>
      <c r="N1185" s="5" t="s">
        <v>161</v>
      </c>
      <c r="O1185" t="s">
        <v>28</v>
      </c>
      <c r="P1185" t="s">
        <v>21</v>
      </c>
      <c r="Q1185" t="s">
        <v>37</v>
      </c>
      <c r="R1185">
        <v>0.37</v>
      </c>
      <c r="S1185" s="1">
        <v>40380</v>
      </c>
      <c r="T1185" t="str">
        <f t="shared" si="37"/>
        <v>21-Jul-2010</v>
      </c>
    </row>
    <row r="1186" spans="1:20" x14ac:dyDescent="0.3">
      <c r="A1186">
        <v>41664</v>
      </c>
      <c r="B1186" s="1">
        <v>40881</v>
      </c>
      <c r="C1186" t="s">
        <v>43</v>
      </c>
      <c r="D1186" t="str">
        <f t="shared" si="36"/>
        <v>04-Dec-2011</v>
      </c>
      <c r="E1186">
        <v>5</v>
      </c>
      <c r="F1186" s="13">
        <v>54.8</v>
      </c>
      <c r="G1186">
        <v>0</v>
      </c>
      <c r="H1186" t="s">
        <v>19</v>
      </c>
      <c r="I1186" s="13">
        <v>-15.3</v>
      </c>
      <c r="J1186">
        <v>9.7799999999999994</v>
      </c>
      <c r="K1186">
        <v>1.99</v>
      </c>
      <c r="L1186" t="s">
        <v>165</v>
      </c>
      <c r="M1186" t="s">
        <v>161</v>
      </c>
      <c r="N1186" s="5" t="s">
        <v>161</v>
      </c>
      <c r="O1186" t="s">
        <v>28</v>
      </c>
      <c r="P1186" t="s">
        <v>29</v>
      </c>
      <c r="Q1186" t="s">
        <v>41</v>
      </c>
      <c r="R1186">
        <v>0.43</v>
      </c>
      <c r="S1186" s="1">
        <v>40881</v>
      </c>
      <c r="T1186" t="str">
        <f t="shared" si="37"/>
        <v>04-Dec-2011</v>
      </c>
    </row>
    <row r="1187" spans="1:20" x14ac:dyDescent="0.3">
      <c r="A1187">
        <v>3585</v>
      </c>
      <c r="B1187" s="1">
        <v>40139</v>
      </c>
      <c r="C1187" t="s">
        <v>23</v>
      </c>
      <c r="D1187" t="str">
        <f t="shared" si="36"/>
        <v>22-Nov-2009</v>
      </c>
      <c r="E1187">
        <v>34</v>
      </c>
      <c r="F1187" s="13">
        <v>54.69</v>
      </c>
      <c r="G1187">
        <v>7.0000000000000007E-2</v>
      </c>
      <c r="H1187" t="s">
        <v>19</v>
      </c>
      <c r="I1187" s="13">
        <v>-35.75</v>
      </c>
      <c r="J1187">
        <v>1.68</v>
      </c>
      <c r="K1187">
        <v>1.57</v>
      </c>
      <c r="L1187" t="s">
        <v>190</v>
      </c>
      <c r="M1187" t="s">
        <v>161</v>
      </c>
      <c r="N1187" s="5" t="s">
        <v>161</v>
      </c>
      <c r="O1187" t="s">
        <v>28</v>
      </c>
      <c r="P1187" t="s">
        <v>21</v>
      </c>
      <c r="Q1187" t="s">
        <v>50</v>
      </c>
      <c r="R1187">
        <v>0.59</v>
      </c>
      <c r="S1187" s="1">
        <v>40140</v>
      </c>
      <c r="T1187" t="str">
        <f t="shared" si="37"/>
        <v>23-Nov-2009</v>
      </c>
    </row>
    <row r="1188" spans="1:20" x14ac:dyDescent="0.3">
      <c r="A1188">
        <v>20451</v>
      </c>
      <c r="B1188" s="1">
        <v>41054</v>
      </c>
      <c r="C1188" t="s">
        <v>43</v>
      </c>
      <c r="D1188" t="str">
        <f t="shared" si="36"/>
        <v>25-May-2012</v>
      </c>
      <c r="E1188">
        <v>6</v>
      </c>
      <c r="F1188" s="13">
        <v>53.72</v>
      </c>
      <c r="G1188">
        <v>0.1</v>
      </c>
      <c r="H1188" t="s">
        <v>19</v>
      </c>
      <c r="I1188" s="13">
        <v>2.82</v>
      </c>
      <c r="J1188">
        <v>8.9499999999999993</v>
      </c>
      <c r="K1188">
        <v>2.0099999999999998</v>
      </c>
      <c r="L1188" t="s">
        <v>294</v>
      </c>
      <c r="M1188" t="s">
        <v>161</v>
      </c>
      <c r="N1188" s="5" t="s">
        <v>161</v>
      </c>
      <c r="O1188" t="s">
        <v>28</v>
      </c>
      <c r="P1188" t="s">
        <v>21</v>
      </c>
      <c r="Q1188" t="s">
        <v>37</v>
      </c>
      <c r="R1188">
        <v>0.39</v>
      </c>
      <c r="S1188" s="1">
        <v>41056</v>
      </c>
      <c r="T1188" t="str">
        <f t="shared" si="37"/>
        <v>27-May-2012</v>
      </c>
    </row>
    <row r="1189" spans="1:20" x14ac:dyDescent="0.3">
      <c r="A1189">
        <v>46855</v>
      </c>
      <c r="B1189" s="1">
        <v>40242</v>
      </c>
      <c r="C1189" t="s">
        <v>23</v>
      </c>
      <c r="D1189" t="str">
        <f t="shared" si="36"/>
        <v>05-Mar-2010</v>
      </c>
      <c r="E1189">
        <v>32</v>
      </c>
      <c r="F1189" s="13">
        <v>53.34</v>
      </c>
      <c r="G1189">
        <v>0.04</v>
      </c>
      <c r="H1189" t="s">
        <v>19</v>
      </c>
      <c r="I1189" s="13">
        <v>-4.68</v>
      </c>
      <c r="J1189">
        <v>1.68</v>
      </c>
      <c r="K1189">
        <v>0.7</v>
      </c>
      <c r="L1189" t="s">
        <v>192</v>
      </c>
      <c r="M1189" t="s">
        <v>161</v>
      </c>
      <c r="N1189" s="5" t="s">
        <v>161</v>
      </c>
      <c r="O1189" t="s">
        <v>28</v>
      </c>
      <c r="P1189" t="s">
        <v>32</v>
      </c>
      <c r="Q1189" t="s">
        <v>33</v>
      </c>
      <c r="R1189">
        <v>0.68</v>
      </c>
      <c r="S1189" s="1">
        <v>40243</v>
      </c>
      <c r="T1189" t="str">
        <f t="shared" si="37"/>
        <v>06-Mar-2010</v>
      </c>
    </row>
    <row r="1190" spans="1:20" x14ac:dyDescent="0.3">
      <c r="A1190">
        <v>48902</v>
      </c>
      <c r="B1190" s="1">
        <v>41205</v>
      </c>
      <c r="C1190" t="s">
        <v>38</v>
      </c>
      <c r="D1190" t="str">
        <f t="shared" si="36"/>
        <v>23-Oct-2012</v>
      </c>
      <c r="E1190">
        <v>7</v>
      </c>
      <c r="F1190" s="13">
        <v>53.29</v>
      </c>
      <c r="G1190">
        <v>0.01</v>
      </c>
      <c r="H1190" t="s">
        <v>19</v>
      </c>
      <c r="I1190" s="13">
        <v>-28.88</v>
      </c>
      <c r="J1190">
        <v>6.48</v>
      </c>
      <c r="K1190">
        <v>7.49</v>
      </c>
      <c r="L1190" t="s">
        <v>306</v>
      </c>
      <c r="M1190" t="s">
        <v>161</v>
      </c>
      <c r="N1190" s="5" t="s">
        <v>161</v>
      </c>
      <c r="O1190" t="s">
        <v>28</v>
      </c>
      <c r="P1190" t="s">
        <v>21</v>
      </c>
      <c r="Q1190" t="s">
        <v>37</v>
      </c>
      <c r="R1190">
        <v>0.37</v>
      </c>
      <c r="S1190" s="1">
        <v>41207</v>
      </c>
      <c r="T1190" t="str">
        <f t="shared" si="37"/>
        <v>25-Oct-2012</v>
      </c>
    </row>
    <row r="1191" spans="1:20" x14ac:dyDescent="0.3">
      <c r="A1191">
        <v>38210</v>
      </c>
      <c r="B1191" s="1">
        <v>40524</v>
      </c>
      <c r="C1191" t="s">
        <v>18</v>
      </c>
      <c r="D1191" t="str">
        <f t="shared" si="36"/>
        <v>12-Dec-2010</v>
      </c>
      <c r="E1191">
        <v>10</v>
      </c>
      <c r="F1191" s="13">
        <v>52.76</v>
      </c>
      <c r="G1191">
        <v>0.09</v>
      </c>
      <c r="H1191" t="s">
        <v>19</v>
      </c>
      <c r="I1191" s="13">
        <v>-49.53</v>
      </c>
      <c r="J1191">
        <v>4.9800000000000004</v>
      </c>
      <c r="K1191">
        <v>7.44</v>
      </c>
      <c r="L1191" t="s">
        <v>299</v>
      </c>
      <c r="M1191" t="s">
        <v>161</v>
      </c>
      <c r="N1191" s="5" t="s">
        <v>161</v>
      </c>
      <c r="O1191" t="s">
        <v>28</v>
      </c>
      <c r="P1191" t="s">
        <v>21</v>
      </c>
      <c r="Q1191" t="s">
        <v>37</v>
      </c>
      <c r="R1191">
        <v>0.36</v>
      </c>
      <c r="S1191" s="1">
        <v>40524</v>
      </c>
      <c r="T1191" t="str">
        <f t="shared" si="37"/>
        <v>12-Dec-2010</v>
      </c>
    </row>
    <row r="1192" spans="1:20" x14ac:dyDescent="0.3">
      <c r="A1192">
        <v>42596</v>
      </c>
      <c r="B1192" s="1">
        <v>41135</v>
      </c>
      <c r="C1192" t="s">
        <v>38</v>
      </c>
      <c r="D1192" t="str">
        <f t="shared" si="36"/>
        <v>14-Aug-2012</v>
      </c>
      <c r="E1192">
        <v>9</v>
      </c>
      <c r="F1192" s="13">
        <v>51.75</v>
      </c>
      <c r="G1192">
        <v>0.05</v>
      </c>
      <c r="H1192" t="s">
        <v>19</v>
      </c>
      <c r="I1192" s="13">
        <v>4.16</v>
      </c>
      <c r="J1192">
        <v>5.58</v>
      </c>
      <c r="K1192">
        <v>0.7</v>
      </c>
      <c r="L1192" t="s">
        <v>154</v>
      </c>
      <c r="M1192" t="s">
        <v>161</v>
      </c>
      <c r="N1192" s="5" t="s">
        <v>161</v>
      </c>
      <c r="O1192" t="s">
        <v>28</v>
      </c>
      <c r="P1192" t="s">
        <v>21</v>
      </c>
      <c r="Q1192" t="s">
        <v>50</v>
      </c>
      <c r="R1192">
        <v>0.6</v>
      </c>
      <c r="S1192" s="1">
        <v>41137</v>
      </c>
      <c r="T1192" t="str">
        <f t="shared" si="37"/>
        <v>16-Aug-2012</v>
      </c>
    </row>
    <row r="1193" spans="1:20" x14ac:dyDescent="0.3">
      <c r="A1193">
        <v>51395</v>
      </c>
      <c r="B1193" s="1">
        <v>40338</v>
      </c>
      <c r="C1193" t="s">
        <v>18</v>
      </c>
      <c r="D1193" t="str">
        <f t="shared" si="36"/>
        <v>09-Jun-2010</v>
      </c>
      <c r="E1193">
        <v>10</v>
      </c>
      <c r="F1193" s="13">
        <v>51.65</v>
      </c>
      <c r="G1193">
        <v>0.1</v>
      </c>
      <c r="H1193" t="s">
        <v>19</v>
      </c>
      <c r="I1193" s="13">
        <v>-32.130000000000003</v>
      </c>
      <c r="J1193">
        <v>4.9800000000000004</v>
      </c>
      <c r="K1193">
        <v>5.49</v>
      </c>
      <c r="L1193" t="s">
        <v>210</v>
      </c>
      <c r="M1193" t="s">
        <v>161</v>
      </c>
      <c r="N1193" s="5" t="s">
        <v>161</v>
      </c>
      <c r="O1193" t="s">
        <v>28</v>
      </c>
      <c r="P1193" t="s">
        <v>21</v>
      </c>
      <c r="Q1193" t="s">
        <v>37</v>
      </c>
      <c r="R1193">
        <v>0.38</v>
      </c>
      <c r="S1193" s="1">
        <v>40342</v>
      </c>
      <c r="T1193" t="str">
        <f t="shared" si="37"/>
        <v>13-Jun-2010</v>
      </c>
    </row>
    <row r="1194" spans="1:20" x14ac:dyDescent="0.3">
      <c r="A1194">
        <v>52416</v>
      </c>
      <c r="B1194" s="1">
        <v>39844</v>
      </c>
      <c r="C1194" t="s">
        <v>31</v>
      </c>
      <c r="D1194" t="str">
        <f t="shared" si="36"/>
        <v>31-Jan-2009</v>
      </c>
      <c r="E1194">
        <v>6</v>
      </c>
      <c r="F1194" s="13">
        <v>49.81</v>
      </c>
      <c r="G1194">
        <v>0.05</v>
      </c>
      <c r="H1194" t="s">
        <v>19</v>
      </c>
      <c r="I1194" s="13">
        <v>-16.95</v>
      </c>
      <c r="J1194">
        <v>7.64</v>
      </c>
      <c r="K1194">
        <v>5.83</v>
      </c>
      <c r="L1194" t="s">
        <v>313</v>
      </c>
      <c r="M1194" t="s">
        <v>161</v>
      </c>
      <c r="N1194" s="5" t="s">
        <v>161</v>
      </c>
      <c r="O1194" t="s">
        <v>28</v>
      </c>
      <c r="P1194" t="s">
        <v>21</v>
      </c>
      <c r="Q1194" t="s">
        <v>37</v>
      </c>
      <c r="R1194">
        <v>0.36</v>
      </c>
      <c r="S1194" s="1">
        <v>39846</v>
      </c>
      <c r="T1194" t="str">
        <f t="shared" si="37"/>
        <v>02-Feb-2009</v>
      </c>
    </row>
    <row r="1195" spans="1:20" x14ac:dyDescent="0.3">
      <c r="A1195">
        <v>4354</v>
      </c>
      <c r="B1195" s="1">
        <v>40085</v>
      </c>
      <c r="C1195" t="s">
        <v>31</v>
      </c>
      <c r="D1195" t="str">
        <f t="shared" si="36"/>
        <v>29-Sep-2009</v>
      </c>
      <c r="E1195">
        <v>6</v>
      </c>
      <c r="F1195" s="13">
        <v>49.04</v>
      </c>
      <c r="G1195">
        <v>0.02</v>
      </c>
      <c r="H1195" t="s">
        <v>19</v>
      </c>
      <c r="I1195" s="13">
        <v>7.74</v>
      </c>
      <c r="J1195">
        <v>7.38</v>
      </c>
      <c r="K1195">
        <v>5.21</v>
      </c>
      <c r="L1195" t="s">
        <v>182</v>
      </c>
      <c r="M1195" t="s">
        <v>161</v>
      </c>
      <c r="N1195" s="5" t="s">
        <v>161</v>
      </c>
      <c r="O1195" t="s">
        <v>28</v>
      </c>
      <c r="P1195" t="s">
        <v>32</v>
      </c>
      <c r="Q1195" t="s">
        <v>33</v>
      </c>
      <c r="R1195">
        <v>0.56000000000000005</v>
      </c>
      <c r="S1195" s="1">
        <v>40086</v>
      </c>
      <c r="T1195" t="str">
        <f t="shared" si="37"/>
        <v>30-Sep-2009</v>
      </c>
    </row>
    <row r="1196" spans="1:20" x14ac:dyDescent="0.3">
      <c r="A1196">
        <v>44706</v>
      </c>
      <c r="B1196" s="1">
        <v>40267</v>
      </c>
      <c r="C1196" t="s">
        <v>18</v>
      </c>
      <c r="D1196" t="str">
        <f t="shared" si="36"/>
        <v>30-Mar-2010</v>
      </c>
      <c r="E1196">
        <v>33</v>
      </c>
      <c r="F1196" s="13">
        <v>47.48</v>
      </c>
      <c r="G1196">
        <v>7.0000000000000007E-2</v>
      </c>
      <c r="H1196" t="s">
        <v>19</v>
      </c>
      <c r="I1196" s="13">
        <v>3.35</v>
      </c>
      <c r="J1196">
        <v>1.48</v>
      </c>
      <c r="K1196">
        <v>0.7</v>
      </c>
      <c r="L1196" t="s">
        <v>175</v>
      </c>
      <c r="M1196" t="s">
        <v>161</v>
      </c>
      <c r="N1196" s="5" t="s">
        <v>161</v>
      </c>
      <c r="O1196" t="s">
        <v>28</v>
      </c>
      <c r="P1196" t="s">
        <v>21</v>
      </c>
      <c r="Q1196" t="s">
        <v>39</v>
      </c>
      <c r="R1196">
        <v>0.37</v>
      </c>
      <c r="S1196" s="1">
        <v>40272</v>
      </c>
      <c r="T1196" t="str">
        <f t="shared" si="37"/>
        <v>04-Apr-2010</v>
      </c>
    </row>
    <row r="1197" spans="1:20" x14ac:dyDescent="0.3">
      <c r="A1197">
        <v>1218</v>
      </c>
      <c r="B1197" s="1">
        <v>39983</v>
      </c>
      <c r="C1197" t="s">
        <v>31</v>
      </c>
      <c r="D1197" t="str">
        <f t="shared" si="36"/>
        <v>19-Jun-2009</v>
      </c>
      <c r="E1197">
        <v>3</v>
      </c>
      <c r="F1197" s="13">
        <v>46.46</v>
      </c>
      <c r="G1197">
        <v>0.1</v>
      </c>
      <c r="H1197" t="s">
        <v>19</v>
      </c>
      <c r="I1197" s="13">
        <v>-25.13</v>
      </c>
      <c r="J1197">
        <v>14.42</v>
      </c>
      <c r="K1197">
        <v>6.75</v>
      </c>
      <c r="L1197" t="s">
        <v>166</v>
      </c>
      <c r="M1197" t="s">
        <v>161</v>
      </c>
      <c r="N1197" s="5" t="s">
        <v>161</v>
      </c>
      <c r="O1197" t="s">
        <v>28</v>
      </c>
      <c r="P1197" t="s">
        <v>21</v>
      </c>
      <c r="Q1197" t="s">
        <v>25</v>
      </c>
      <c r="R1197">
        <v>0.52</v>
      </c>
      <c r="S1197" s="1">
        <v>39986</v>
      </c>
      <c r="T1197" t="str">
        <f t="shared" si="37"/>
        <v>22-Jun-2009</v>
      </c>
    </row>
    <row r="1198" spans="1:20" x14ac:dyDescent="0.3">
      <c r="A1198">
        <v>28420</v>
      </c>
      <c r="B1198" s="1">
        <v>40080</v>
      </c>
      <c r="C1198" t="s">
        <v>18</v>
      </c>
      <c r="D1198" t="str">
        <f t="shared" si="36"/>
        <v>24-Sep-2009</v>
      </c>
      <c r="E1198">
        <v>2</v>
      </c>
      <c r="F1198" s="13">
        <v>45.64</v>
      </c>
      <c r="G1198">
        <v>0.08</v>
      </c>
      <c r="H1198" t="s">
        <v>35</v>
      </c>
      <c r="I1198" s="13">
        <v>-0.11</v>
      </c>
      <c r="J1198">
        <v>15.57</v>
      </c>
      <c r="K1198">
        <v>1.39</v>
      </c>
      <c r="L1198" t="s">
        <v>169</v>
      </c>
      <c r="M1198" t="s">
        <v>161</v>
      </c>
      <c r="N1198" s="5" t="s">
        <v>161</v>
      </c>
      <c r="O1198" t="s">
        <v>28</v>
      </c>
      <c r="P1198" t="s">
        <v>21</v>
      </c>
      <c r="Q1198" t="s">
        <v>42</v>
      </c>
      <c r="R1198">
        <v>0.38</v>
      </c>
      <c r="S1198" s="1">
        <v>40080</v>
      </c>
      <c r="T1198" t="str">
        <f t="shared" si="37"/>
        <v>24-Sep-2009</v>
      </c>
    </row>
    <row r="1199" spans="1:20" x14ac:dyDescent="0.3">
      <c r="A1199">
        <v>32516</v>
      </c>
      <c r="B1199" s="1">
        <v>40475</v>
      </c>
      <c r="C1199" t="s">
        <v>43</v>
      </c>
      <c r="D1199" t="str">
        <f t="shared" si="36"/>
        <v>24-Oct-2010</v>
      </c>
      <c r="E1199">
        <v>15</v>
      </c>
      <c r="F1199" s="13">
        <v>43.96</v>
      </c>
      <c r="G1199">
        <v>0.03</v>
      </c>
      <c r="H1199" t="s">
        <v>19</v>
      </c>
      <c r="I1199" s="13">
        <v>-0.24</v>
      </c>
      <c r="J1199">
        <v>2.78</v>
      </c>
      <c r="K1199">
        <v>1.49</v>
      </c>
      <c r="L1199" t="s">
        <v>295</v>
      </c>
      <c r="M1199" t="s">
        <v>161</v>
      </c>
      <c r="N1199" s="5" t="s">
        <v>161</v>
      </c>
      <c r="O1199" t="s">
        <v>28</v>
      </c>
      <c r="P1199" t="s">
        <v>21</v>
      </c>
      <c r="Q1199" t="s">
        <v>26</v>
      </c>
      <c r="R1199">
        <v>0.39</v>
      </c>
      <c r="S1199" s="1">
        <v>40477</v>
      </c>
      <c r="T1199" t="str">
        <f t="shared" si="37"/>
        <v>26-Oct-2010</v>
      </c>
    </row>
    <row r="1200" spans="1:20" x14ac:dyDescent="0.3">
      <c r="A1200">
        <v>57699</v>
      </c>
      <c r="B1200" s="1">
        <v>41223</v>
      </c>
      <c r="C1200" t="s">
        <v>18</v>
      </c>
      <c r="D1200" t="str">
        <f t="shared" si="36"/>
        <v>10-Nov-2012</v>
      </c>
      <c r="E1200">
        <v>20</v>
      </c>
      <c r="F1200" s="13">
        <v>43.94</v>
      </c>
      <c r="G1200">
        <v>0.09</v>
      </c>
      <c r="H1200" t="s">
        <v>19</v>
      </c>
      <c r="I1200" s="13">
        <v>-72.23</v>
      </c>
      <c r="J1200">
        <v>2.08</v>
      </c>
      <c r="K1200">
        <v>5.33</v>
      </c>
      <c r="L1200" t="s">
        <v>262</v>
      </c>
      <c r="M1200" t="s">
        <v>161</v>
      </c>
      <c r="N1200" s="5" t="s">
        <v>161</v>
      </c>
      <c r="O1200" t="s">
        <v>28</v>
      </c>
      <c r="P1200" t="s">
        <v>32</v>
      </c>
      <c r="Q1200" t="s">
        <v>33</v>
      </c>
      <c r="R1200">
        <v>0.43</v>
      </c>
      <c r="S1200" s="1">
        <v>41225</v>
      </c>
      <c r="T1200" t="str">
        <f t="shared" si="37"/>
        <v>12-Nov-2012</v>
      </c>
    </row>
    <row r="1201" spans="1:20" x14ac:dyDescent="0.3">
      <c r="A1201">
        <v>38498</v>
      </c>
      <c r="B1201" s="1">
        <v>41026</v>
      </c>
      <c r="C1201" t="s">
        <v>43</v>
      </c>
      <c r="D1201" t="str">
        <f t="shared" si="36"/>
        <v>27-Apr-2012</v>
      </c>
      <c r="E1201">
        <v>1</v>
      </c>
      <c r="F1201" s="13">
        <v>43.9</v>
      </c>
      <c r="G1201">
        <v>0.02</v>
      </c>
      <c r="H1201" t="s">
        <v>19</v>
      </c>
      <c r="I1201" s="13">
        <v>-15.03</v>
      </c>
      <c r="J1201">
        <v>37.44</v>
      </c>
      <c r="K1201">
        <v>4.2699999999999996</v>
      </c>
      <c r="L1201" t="s">
        <v>52</v>
      </c>
      <c r="M1201" t="s">
        <v>161</v>
      </c>
      <c r="N1201" s="5" t="s">
        <v>161</v>
      </c>
      <c r="O1201" t="s">
        <v>28</v>
      </c>
      <c r="P1201" t="s">
        <v>21</v>
      </c>
      <c r="Q1201" t="s">
        <v>50</v>
      </c>
      <c r="R1201">
        <v>0.46</v>
      </c>
      <c r="S1201" s="1">
        <v>41029</v>
      </c>
      <c r="T1201" t="str">
        <f t="shared" si="37"/>
        <v>30-Apr-2012</v>
      </c>
    </row>
    <row r="1202" spans="1:20" x14ac:dyDescent="0.3">
      <c r="A1202">
        <v>11874</v>
      </c>
      <c r="B1202" s="1">
        <v>41161</v>
      </c>
      <c r="C1202" t="s">
        <v>38</v>
      </c>
      <c r="D1202" t="str">
        <f t="shared" si="36"/>
        <v>09-Sep-2012</v>
      </c>
      <c r="E1202">
        <v>1</v>
      </c>
      <c r="F1202" s="13">
        <v>40.29</v>
      </c>
      <c r="G1202">
        <v>0</v>
      </c>
      <c r="H1202" t="s">
        <v>19</v>
      </c>
      <c r="I1202" s="13">
        <v>-82.13</v>
      </c>
      <c r="J1202">
        <v>30.42</v>
      </c>
      <c r="K1202">
        <v>8.65</v>
      </c>
      <c r="L1202" t="s">
        <v>235</v>
      </c>
      <c r="M1202" t="s">
        <v>161</v>
      </c>
      <c r="N1202" s="5" t="s">
        <v>161</v>
      </c>
      <c r="O1202" t="s">
        <v>28</v>
      </c>
      <c r="P1202" t="s">
        <v>29</v>
      </c>
      <c r="Q1202" t="s">
        <v>41</v>
      </c>
      <c r="R1202">
        <v>0.74</v>
      </c>
      <c r="S1202" s="1">
        <v>41163</v>
      </c>
      <c r="T1202" t="str">
        <f t="shared" si="37"/>
        <v>11-Sep-2012</v>
      </c>
    </row>
    <row r="1203" spans="1:20" x14ac:dyDescent="0.3">
      <c r="A1203">
        <v>59392</v>
      </c>
      <c r="B1203" s="1">
        <v>40355</v>
      </c>
      <c r="C1203" t="s">
        <v>38</v>
      </c>
      <c r="D1203" t="str">
        <f t="shared" si="36"/>
        <v>26-Jun-2010</v>
      </c>
      <c r="E1203">
        <v>19</v>
      </c>
      <c r="F1203" s="13">
        <v>39.42</v>
      </c>
      <c r="G1203">
        <v>0.08</v>
      </c>
      <c r="H1203" t="s">
        <v>19</v>
      </c>
      <c r="I1203" s="13">
        <v>-29.02</v>
      </c>
      <c r="J1203">
        <v>2.12</v>
      </c>
      <c r="K1203">
        <v>1.99</v>
      </c>
      <c r="L1203" t="s">
        <v>174</v>
      </c>
      <c r="M1203" t="s">
        <v>161</v>
      </c>
      <c r="N1203" s="5" t="s">
        <v>161</v>
      </c>
      <c r="O1203" t="s">
        <v>28</v>
      </c>
      <c r="P1203" t="s">
        <v>29</v>
      </c>
      <c r="Q1203" t="s">
        <v>41</v>
      </c>
      <c r="R1203">
        <v>0.55000000000000004</v>
      </c>
      <c r="S1203" s="1">
        <v>40356</v>
      </c>
      <c r="T1203" t="str">
        <f t="shared" si="37"/>
        <v>27-Jun-2010</v>
      </c>
    </row>
    <row r="1204" spans="1:20" x14ac:dyDescent="0.3">
      <c r="A1204">
        <v>34082</v>
      </c>
      <c r="B1204" s="1">
        <v>40844</v>
      </c>
      <c r="C1204" t="s">
        <v>31</v>
      </c>
      <c r="D1204" t="str">
        <f t="shared" si="36"/>
        <v>28-Oct-2011</v>
      </c>
      <c r="E1204">
        <v>20</v>
      </c>
      <c r="F1204" s="13">
        <v>38.56</v>
      </c>
      <c r="G1204">
        <v>7.0000000000000007E-2</v>
      </c>
      <c r="H1204" t="s">
        <v>19</v>
      </c>
      <c r="I1204" s="13">
        <v>-10.25</v>
      </c>
      <c r="J1204">
        <v>1.88</v>
      </c>
      <c r="K1204">
        <v>1.49</v>
      </c>
      <c r="L1204" t="s">
        <v>196</v>
      </c>
      <c r="M1204" t="s">
        <v>161</v>
      </c>
      <c r="N1204" s="5" t="s">
        <v>161</v>
      </c>
      <c r="O1204" t="s">
        <v>28</v>
      </c>
      <c r="P1204" t="s">
        <v>21</v>
      </c>
      <c r="Q1204" t="s">
        <v>26</v>
      </c>
      <c r="R1204">
        <v>0.37</v>
      </c>
      <c r="S1204" s="1">
        <v>40845</v>
      </c>
      <c r="T1204" t="str">
        <f t="shared" si="37"/>
        <v>29-Oct-2011</v>
      </c>
    </row>
    <row r="1205" spans="1:20" x14ac:dyDescent="0.3">
      <c r="A1205">
        <v>802</v>
      </c>
      <c r="B1205" s="1">
        <v>40547</v>
      </c>
      <c r="C1205" t="s">
        <v>43</v>
      </c>
      <c r="D1205" t="str">
        <f t="shared" si="36"/>
        <v>04-Jan-2011</v>
      </c>
      <c r="E1205">
        <v>2</v>
      </c>
      <c r="F1205" s="13">
        <v>38.5</v>
      </c>
      <c r="G1205">
        <v>0.09</v>
      </c>
      <c r="H1205" t="s">
        <v>19</v>
      </c>
      <c r="I1205" s="13">
        <v>-52.14</v>
      </c>
      <c r="J1205">
        <v>15.99</v>
      </c>
      <c r="K1205">
        <v>9.4</v>
      </c>
      <c r="L1205" t="s">
        <v>288</v>
      </c>
      <c r="M1205" t="s">
        <v>161</v>
      </c>
      <c r="N1205" s="5" t="s">
        <v>161</v>
      </c>
      <c r="O1205" t="s">
        <v>28</v>
      </c>
      <c r="P1205" t="s">
        <v>29</v>
      </c>
      <c r="Q1205" t="s">
        <v>74</v>
      </c>
      <c r="R1205">
        <v>0.49</v>
      </c>
      <c r="S1205" s="1">
        <v>40547</v>
      </c>
      <c r="T1205" t="str">
        <f t="shared" si="37"/>
        <v>04-Jan-2011</v>
      </c>
    </row>
    <row r="1206" spans="1:20" x14ac:dyDescent="0.3">
      <c r="A1206">
        <v>12160</v>
      </c>
      <c r="B1206" s="1">
        <v>40524</v>
      </c>
      <c r="C1206" t="s">
        <v>18</v>
      </c>
      <c r="D1206" t="str">
        <f t="shared" si="36"/>
        <v>12-Dec-2010</v>
      </c>
      <c r="E1206">
        <v>9</v>
      </c>
      <c r="F1206" s="13">
        <v>38.299999999999997</v>
      </c>
      <c r="G1206">
        <v>0.01</v>
      </c>
      <c r="H1206" t="s">
        <v>19</v>
      </c>
      <c r="I1206" s="13">
        <v>-42.49</v>
      </c>
      <c r="J1206">
        <v>3.36</v>
      </c>
      <c r="K1206">
        <v>6.27</v>
      </c>
      <c r="L1206" t="s">
        <v>192</v>
      </c>
      <c r="M1206" t="s">
        <v>161</v>
      </c>
      <c r="N1206" s="5" t="s">
        <v>161</v>
      </c>
      <c r="O1206" t="s">
        <v>28</v>
      </c>
      <c r="P1206" t="s">
        <v>32</v>
      </c>
      <c r="Q1206" t="s">
        <v>33</v>
      </c>
      <c r="R1206">
        <v>0.55000000000000004</v>
      </c>
      <c r="S1206" s="1">
        <v>40529</v>
      </c>
      <c r="T1206" t="str">
        <f t="shared" si="37"/>
        <v>17-Dec-2010</v>
      </c>
    </row>
    <row r="1207" spans="1:20" x14ac:dyDescent="0.3">
      <c r="A1207">
        <v>58372</v>
      </c>
      <c r="B1207" s="1">
        <v>40635</v>
      </c>
      <c r="C1207" t="s">
        <v>18</v>
      </c>
      <c r="D1207" t="str">
        <f t="shared" si="36"/>
        <v>02-Apr-2011</v>
      </c>
      <c r="E1207">
        <v>16</v>
      </c>
      <c r="F1207" s="13">
        <v>38.200000000000003</v>
      </c>
      <c r="G1207">
        <v>7.0000000000000007E-2</v>
      </c>
      <c r="H1207" t="s">
        <v>35</v>
      </c>
      <c r="I1207" s="13">
        <v>4.34</v>
      </c>
      <c r="J1207">
        <v>2.21</v>
      </c>
      <c r="K1207">
        <v>1</v>
      </c>
      <c r="L1207" t="s">
        <v>205</v>
      </c>
      <c r="M1207" t="s">
        <v>161</v>
      </c>
      <c r="N1207" s="5" t="s">
        <v>161</v>
      </c>
      <c r="O1207" t="s">
        <v>28</v>
      </c>
      <c r="P1207" t="s">
        <v>21</v>
      </c>
      <c r="Q1207" t="s">
        <v>50</v>
      </c>
      <c r="R1207">
        <v>0.38</v>
      </c>
      <c r="S1207" s="1">
        <v>40639</v>
      </c>
      <c r="T1207" t="str">
        <f t="shared" si="37"/>
        <v>06-Apr-2011</v>
      </c>
    </row>
    <row r="1208" spans="1:20" x14ac:dyDescent="0.3">
      <c r="A1208">
        <v>55172</v>
      </c>
      <c r="B1208" s="1">
        <v>40515</v>
      </c>
      <c r="C1208" t="s">
        <v>31</v>
      </c>
      <c r="D1208" t="str">
        <f t="shared" si="36"/>
        <v>03-Dec-2010</v>
      </c>
      <c r="E1208">
        <v>1</v>
      </c>
      <c r="F1208" s="13">
        <v>37.89</v>
      </c>
      <c r="G1208">
        <v>0</v>
      </c>
      <c r="H1208" t="s">
        <v>19</v>
      </c>
      <c r="I1208" s="13">
        <v>-120.97</v>
      </c>
      <c r="J1208">
        <v>35.409999999999997</v>
      </c>
      <c r="K1208">
        <v>1.99</v>
      </c>
      <c r="L1208" t="s">
        <v>278</v>
      </c>
      <c r="M1208" t="s">
        <v>161</v>
      </c>
      <c r="N1208" s="5" t="s">
        <v>161</v>
      </c>
      <c r="O1208" t="s">
        <v>28</v>
      </c>
      <c r="P1208" t="s">
        <v>29</v>
      </c>
      <c r="Q1208" t="s">
        <v>41</v>
      </c>
      <c r="R1208">
        <v>0.43</v>
      </c>
      <c r="S1208" s="1">
        <v>40516</v>
      </c>
      <c r="T1208" t="str">
        <f t="shared" si="37"/>
        <v>04-Dec-2010</v>
      </c>
    </row>
    <row r="1209" spans="1:20" x14ac:dyDescent="0.3">
      <c r="A1209">
        <v>13861</v>
      </c>
      <c r="B1209" s="1">
        <v>40401</v>
      </c>
      <c r="C1209" t="s">
        <v>23</v>
      </c>
      <c r="D1209" t="str">
        <f t="shared" si="36"/>
        <v>11-Aug-2010</v>
      </c>
      <c r="E1209">
        <v>7</v>
      </c>
      <c r="F1209" s="13">
        <v>37.299999999999997</v>
      </c>
      <c r="G1209">
        <v>0</v>
      </c>
      <c r="H1209" t="s">
        <v>19</v>
      </c>
      <c r="I1209" s="13">
        <v>5.03</v>
      </c>
      <c r="J1209">
        <v>4.84</v>
      </c>
      <c r="K1209">
        <v>0.71</v>
      </c>
      <c r="L1209" t="s">
        <v>199</v>
      </c>
      <c r="M1209" t="s">
        <v>161</v>
      </c>
      <c r="N1209" s="5" t="s">
        <v>161</v>
      </c>
      <c r="O1209" t="s">
        <v>28</v>
      </c>
      <c r="P1209" t="s">
        <v>21</v>
      </c>
      <c r="Q1209" t="s">
        <v>50</v>
      </c>
      <c r="R1209">
        <v>0.52</v>
      </c>
      <c r="S1209" s="1">
        <v>40401</v>
      </c>
      <c r="T1209" t="str">
        <f t="shared" si="37"/>
        <v>11-Aug-2010</v>
      </c>
    </row>
    <row r="1210" spans="1:20" x14ac:dyDescent="0.3">
      <c r="A1210">
        <v>39078</v>
      </c>
      <c r="B1210" s="1">
        <v>39987</v>
      </c>
      <c r="C1210" t="s">
        <v>18</v>
      </c>
      <c r="D1210" t="str">
        <f t="shared" si="36"/>
        <v>23-Jun-2009</v>
      </c>
      <c r="E1210">
        <v>10</v>
      </c>
      <c r="F1210" s="13">
        <v>36.909999999999997</v>
      </c>
      <c r="G1210">
        <v>7.0000000000000007E-2</v>
      </c>
      <c r="H1210" t="s">
        <v>19</v>
      </c>
      <c r="I1210" s="13">
        <v>-27.72</v>
      </c>
      <c r="J1210">
        <v>3.28</v>
      </c>
      <c r="K1210">
        <v>3.97</v>
      </c>
      <c r="L1210" t="s">
        <v>297</v>
      </c>
      <c r="M1210" t="s">
        <v>161</v>
      </c>
      <c r="N1210" s="5" t="s">
        <v>161</v>
      </c>
      <c r="O1210" t="s">
        <v>28</v>
      </c>
      <c r="P1210" t="s">
        <v>21</v>
      </c>
      <c r="Q1210" t="s">
        <v>50</v>
      </c>
      <c r="R1210">
        <v>0.56000000000000005</v>
      </c>
      <c r="S1210" s="1">
        <v>39987</v>
      </c>
      <c r="T1210" t="str">
        <f t="shared" si="37"/>
        <v>23-Jun-2009</v>
      </c>
    </row>
    <row r="1211" spans="1:20" x14ac:dyDescent="0.3">
      <c r="A1211">
        <v>12323</v>
      </c>
      <c r="B1211" s="1">
        <v>40635</v>
      </c>
      <c r="C1211" t="s">
        <v>31</v>
      </c>
      <c r="D1211" t="str">
        <f t="shared" si="36"/>
        <v>02-Apr-2011</v>
      </c>
      <c r="E1211">
        <v>4</v>
      </c>
      <c r="F1211" s="13">
        <v>36.799999999999997</v>
      </c>
      <c r="G1211">
        <v>0</v>
      </c>
      <c r="H1211" t="s">
        <v>19</v>
      </c>
      <c r="I1211" s="13">
        <v>14.19</v>
      </c>
      <c r="J1211">
        <v>7.38</v>
      </c>
      <c r="K1211">
        <v>5.21</v>
      </c>
      <c r="L1211" t="s">
        <v>119</v>
      </c>
      <c r="M1211" t="s">
        <v>161</v>
      </c>
      <c r="N1211" s="5" t="s">
        <v>161</v>
      </c>
      <c r="O1211" t="s">
        <v>28</v>
      </c>
      <c r="P1211" t="s">
        <v>32</v>
      </c>
      <c r="Q1211" t="s">
        <v>33</v>
      </c>
      <c r="R1211">
        <v>0.56000000000000005</v>
      </c>
      <c r="S1211" s="1">
        <v>40637</v>
      </c>
      <c r="T1211" t="str">
        <f t="shared" si="37"/>
        <v>04-Apr-2011</v>
      </c>
    </row>
    <row r="1212" spans="1:20" x14ac:dyDescent="0.3">
      <c r="A1212">
        <v>17670</v>
      </c>
      <c r="B1212" s="1">
        <v>40050</v>
      </c>
      <c r="C1212" t="s">
        <v>38</v>
      </c>
      <c r="D1212" t="str">
        <f t="shared" si="36"/>
        <v>25-Aug-2009</v>
      </c>
      <c r="E1212">
        <v>14</v>
      </c>
      <c r="F1212" s="13">
        <v>36.520000000000003</v>
      </c>
      <c r="G1212">
        <v>7.0000000000000007E-2</v>
      </c>
      <c r="H1212" t="s">
        <v>19</v>
      </c>
      <c r="I1212" s="13">
        <v>10.050000000000001</v>
      </c>
      <c r="J1212">
        <v>2.61</v>
      </c>
      <c r="K1212">
        <v>0.5</v>
      </c>
      <c r="L1212" t="s">
        <v>171</v>
      </c>
      <c r="M1212" t="s">
        <v>161</v>
      </c>
      <c r="N1212" s="5" t="s">
        <v>161</v>
      </c>
      <c r="O1212" t="s">
        <v>28</v>
      </c>
      <c r="P1212" t="s">
        <v>21</v>
      </c>
      <c r="Q1212" t="s">
        <v>48</v>
      </c>
      <c r="R1212">
        <v>0.39</v>
      </c>
      <c r="S1212" s="1">
        <v>40052</v>
      </c>
      <c r="T1212" t="str">
        <f t="shared" si="37"/>
        <v>27-Aug-2009</v>
      </c>
    </row>
    <row r="1213" spans="1:20" x14ac:dyDescent="0.3">
      <c r="A1213">
        <v>36896</v>
      </c>
      <c r="B1213" s="1">
        <v>40120</v>
      </c>
      <c r="C1213" t="s">
        <v>43</v>
      </c>
      <c r="D1213" t="str">
        <f t="shared" si="36"/>
        <v>03-Nov-2009</v>
      </c>
      <c r="E1213">
        <v>12</v>
      </c>
      <c r="F1213" s="13">
        <v>34.01</v>
      </c>
      <c r="G1213">
        <v>0</v>
      </c>
      <c r="H1213" t="s">
        <v>19</v>
      </c>
      <c r="I1213" s="13">
        <v>10.58</v>
      </c>
      <c r="J1213">
        <v>2.61</v>
      </c>
      <c r="K1213">
        <v>0.5</v>
      </c>
      <c r="L1213" t="s">
        <v>293</v>
      </c>
      <c r="M1213" t="s">
        <v>161</v>
      </c>
      <c r="N1213" s="5" t="s">
        <v>161</v>
      </c>
      <c r="O1213" t="s">
        <v>28</v>
      </c>
      <c r="P1213" t="s">
        <v>21</v>
      </c>
      <c r="Q1213" t="s">
        <v>48</v>
      </c>
      <c r="R1213">
        <v>0.39</v>
      </c>
      <c r="S1213" s="1">
        <v>40122</v>
      </c>
      <c r="T1213" t="str">
        <f t="shared" si="37"/>
        <v>05-Nov-2009</v>
      </c>
    </row>
    <row r="1214" spans="1:20" x14ac:dyDescent="0.3">
      <c r="A1214">
        <v>24679</v>
      </c>
      <c r="B1214" s="1">
        <v>40670</v>
      </c>
      <c r="C1214" t="s">
        <v>31</v>
      </c>
      <c r="D1214" t="str">
        <f t="shared" si="36"/>
        <v>07-May-2011</v>
      </c>
      <c r="E1214">
        <v>7</v>
      </c>
      <c r="F1214" s="13">
        <v>33.99</v>
      </c>
      <c r="G1214">
        <v>0.09</v>
      </c>
      <c r="H1214" t="s">
        <v>19</v>
      </c>
      <c r="I1214" s="13">
        <v>-25.86</v>
      </c>
      <c r="J1214">
        <v>4.7699999999999996</v>
      </c>
      <c r="K1214">
        <v>2.39</v>
      </c>
      <c r="L1214" t="s">
        <v>165</v>
      </c>
      <c r="M1214" t="s">
        <v>161</v>
      </c>
      <c r="N1214" s="5" t="s">
        <v>161</v>
      </c>
      <c r="O1214" t="s">
        <v>28</v>
      </c>
      <c r="P1214" t="s">
        <v>29</v>
      </c>
      <c r="Q1214" t="s">
        <v>41</v>
      </c>
      <c r="R1214">
        <v>0.72</v>
      </c>
      <c r="S1214" s="1">
        <v>40671</v>
      </c>
      <c r="T1214" t="str">
        <f t="shared" si="37"/>
        <v>08-May-2011</v>
      </c>
    </row>
    <row r="1215" spans="1:20" x14ac:dyDescent="0.3">
      <c r="A1215">
        <v>13410</v>
      </c>
      <c r="B1215" s="1">
        <v>40335</v>
      </c>
      <c r="C1215" t="s">
        <v>31</v>
      </c>
      <c r="D1215" t="str">
        <f t="shared" si="36"/>
        <v>06-Jun-2010</v>
      </c>
      <c r="E1215">
        <v>4</v>
      </c>
      <c r="F1215" s="13">
        <v>33.64</v>
      </c>
      <c r="G1215">
        <v>7.0000000000000007E-2</v>
      </c>
      <c r="H1215" t="s">
        <v>19</v>
      </c>
      <c r="I1215" s="13">
        <v>-35.17</v>
      </c>
      <c r="J1215">
        <v>8.1199999999999992</v>
      </c>
      <c r="K1215">
        <v>2.83</v>
      </c>
      <c r="L1215" t="s">
        <v>168</v>
      </c>
      <c r="M1215" t="s">
        <v>161</v>
      </c>
      <c r="N1215" s="5" t="s">
        <v>161</v>
      </c>
      <c r="O1215" t="s">
        <v>28</v>
      </c>
      <c r="P1215" t="s">
        <v>29</v>
      </c>
      <c r="Q1215" t="s">
        <v>41</v>
      </c>
      <c r="R1215">
        <v>0.77</v>
      </c>
      <c r="S1215" s="1">
        <v>40337</v>
      </c>
      <c r="T1215" t="str">
        <f t="shared" si="37"/>
        <v>08-Jun-2010</v>
      </c>
    </row>
    <row r="1216" spans="1:20" x14ac:dyDescent="0.3">
      <c r="A1216">
        <v>129</v>
      </c>
      <c r="B1216" s="1">
        <v>41231</v>
      </c>
      <c r="C1216" t="s">
        <v>18</v>
      </c>
      <c r="D1216" t="str">
        <f t="shared" si="36"/>
        <v>18-Nov-2012</v>
      </c>
      <c r="E1216">
        <v>4</v>
      </c>
      <c r="F1216" s="13">
        <v>32.72</v>
      </c>
      <c r="G1216">
        <v>0.09</v>
      </c>
      <c r="H1216" t="s">
        <v>19</v>
      </c>
      <c r="I1216" s="13">
        <v>-22.59</v>
      </c>
      <c r="J1216">
        <v>6.48</v>
      </c>
      <c r="K1216">
        <v>8.19</v>
      </c>
      <c r="L1216" t="s">
        <v>174</v>
      </c>
      <c r="M1216" t="s">
        <v>161</v>
      </c>
      <c r="N1216" s="5" t="s">
        <v>161</v>
      </c>
      <c r="O1216" t="s">
        <v>28</v>
      </c>
      <c r="P1216" t="s">
        <v>21</v>
      </c>
      <c r="Q1216" t="s">
        <v>37</v>
      </c>
      <c r="R1216">
        <v>0.37</v>
      </c>
      <c r="S1216" s="1">
        <v>41240</v>
      </c>
      <c r="T1216" t="str">
        <f t="shared" si="37"/>
        <v>27-Nov-2012</v>
      </c>
    </row>
    <row r="1217" spans="1:20" x14ac:dyDescent="0.3">
      <c r="A1217">
        <v>34788</v>
      </c>
      <c r="B1217" s="1">
        <v>40126</v>
      </c>
      <c r="C1217" t="s">
        <v>23</v>
      </c>
      <c r="D1217" t="str">
        <f t="shared" si="36"/>
        <v>09-Nov-2009</v>
      </c>
      <c r="E1217">
        <v>4</v>
      </c>
      <c r="F1217" s="13">
        <v>30.47</v>
      </c>
      <c r="G1217">
        <v>0.02</v>
      </c>
      <c r="H1217" t="s">
        <v>19</v>
      </c>
      <c r="I1217" s="13">
        <v>-10.7</v>
      </c>
      <c r="J1217">
        <v>5.98</v>
      </c>
      <c r="K1217">
        <v>5.15</v>
      </c>
      <c r="L1217" t="s">
        <v>187</v>
      </c>
      <c r="M1217" t="s">
        <v>161</v>
      </c>
      <c r="N1217" s="5" t="s">
        <v>161</v>
      </c>
      <c r="O1217" t="s">
        <v>28</v>
      </c>
      <c r="P1217" t="s">
        <v>21</v>
      </c>
      <c r="Q1217" t="s">
        <v>37</v>
      </c>
      <c r="R1217">
        <v>0.36</v>
      </c>
      <c r="S1217" s="1">
        <v>40128</v>
      </c>
      <c r="T1217" t="str">
        <f t="shared" si="37"/>
        <v>11-Nov-2009</v>
      </c>
    </row>
    <row r="1218" spans="1:20" x14ac:dyDescent="0.3">
      <c r="A1218">
        <v>30308</v>
      </c>
      <c r="B1218" s="1">
        <v>40258</v>
      </c>
      <c r="C1218" t="s">
        <v>38</v>
      </c>
      <c r="D1218" t="str">
        <f t="shared" ref="D1218:D1281" si="38">TEXT(B1218, "dd-mmm-yyyy" )</f>
        <v>21-Mar-2010</v>
      </c>
      <c r="E1218">
        <v>15</v>
      </c>
      <c r="F1218" s="13">
        <v>30.38</v>
      </c>
      <c r="G1218">
        <v>0.08</v>
      </c>
      <c r="H1218" t="s">
        <v>19</v>
      </c>
      <c r="I1218" s="13">
        <v>-59.18</v>
      </c>
      <c r="J1218">
        <v>1.8</v>
      </c>
      <c r="K1218">
        <v>4.79</v>
      </c>
      <c r="L1218" t="s">
        <v>206</v>
      </c>
      <c r="M1218" t="s">
        <v>161</v>
      </c>
      <c r="N1218" s="5" t="s">
        <v>161</v>
      </c>
      <c r="O1218" t="s">
        <v>28</v>
      </c>
      <c r="P1218" t="s">
        <v>21</v>
      </c>
      <c r="Q1218" t="s">
        <v>26</v>
      </c>
      <c r="R1218">
        <v>0.37</v>
      </c>
      <c r="S1218" s="1">
        <v>40259</v>
      </c>
      <c r="T1218" t="str">
        <f t="shared" ref="T1218:T1281" si="39">TEXT(S1218, "dd-mmm-yyyy")</f>
        <v>22-Mar-2010</v>
      </c>
    </row>
    <row r="1219" spans="1:20" x14ac:dyDescent="0.3">
      <c r="A1219">
        <v>42597</v>
      </c>
      <c r="B1219" s="1">
        <v>40262</v>
      </c>
      <c r="C1219" t="s">
        <v>38</v>
      </c>
      <c r="D1219" t="str">
        <f t="shared" si="38"/>
        <v>25-Mar-2010</v>
      </c>
      <c r="E1219">
        <v>5</v>
      </c>
      <c r="F1219" s="13">
        <v>29.66</v>
      </c>
      <c r="G1219">
        <v>0.04</v>
      </c>
      <c r="H1219" t="s">
        <v>19</v>
      </c>
      <c r="I1219" s="13">
        <v>-32.78</v>
      </c>
      <c r="J1219">
        <v>4.9800000000000004</v>
      </c>
      <c r="K1219">
        <v>4.32</v>
      </c>
      <c r="L1219" t="s">
        <v>180</v>
      </c>
      <c r="M1219" t="s">
        <v>161</v>
      </c>
      <c r="N1219" s="5" t="s">
        <v>161</v>
      </c>
      <c r="O1219" t="s">
        <v>28</v>
      </c>
      <c r="P1219" t="s">
        <v>29</v>
      </c>
      <c r="Q1219" t="s">
        <v>41</v>
      </c>
      <c r="R1219">
        <v>0.64</v>
      </c>
      <c r="S1219" s="1">
        <v>40264</v>
      </c>
      <c r="T1219" t="str">
        <f t="shared" si="39"/>
        <v>27-Mar-2010</v>
      </c>
    </row>
    <row r="1220" spans="1:20" x14ac:dyDescent="0.3">
      <c r="A1220">
        <v>1826</v>
      </c>
      <c r="B1220" s="1">
        <v>41014</v>
      </c>
      <c r="C1220" t="s">
        <v>31</v>
      </c>
      <c r="D1220" t="str">
        <f t="shared" si="38"/>
        <v>15-Apr-2012</v>
      </c>
      <c r="E1220">
        <v>5</v>
      </c>
      <c r="F1220" s="13">
        <v>28.32</v>
      </c>
      <c r="G1220">
        <v>0.09</v>
      </c>
      <c r="H1220" t="s">
        <v>19</v>
      </c>
      <c r="I1220" s="13">
        <v>-14.35</v>
      </c>
      <c r="J1220">
        <v>4.9800000000000004</v>
      </c>
      <c r="K1220">
        <v>4.75</v>
      </c>
      <c r="L1220" t="s">
        <v>83</v>
      </c>
      <c r="M1220" t="s">
        <v>161</v>
      </c>
      <c r="N1220" s="5" t="s">
        <v>161</v>
      </c>
      <c r="O1220" t="s">
        <v>28</v>
      </c>
      <c r="P1220" t="s">
        <v>21</v>
      </c>
      <c r="Q1220" t="s">
        <v>37</v>
      </c>
      <c r="R1220">
        <v>0.36</v>
      </c>
      <c r="S1220" s="1">
        <v>41015</v>
      </c>
      <c r="T1220" t="str">
        <f t="shared" si="39"/>
        <v>16-Apr-2012</v>
      </c>
    </row>
    <row r="1221" spans="1:20" x14ac:dyDescent="0.3">
      <c r="A1221">
        <v>49190</v>
      </c>
      <c r="B1221" s="1">
        <v>41254</v>
      </c>
      <c r="C1221" t="s">
        <v>23</v>
      </c>
      <c r="D1221" t="str">
        <f t="shared" si="38"/>
        <v>11-Dec-2012</v>
      </c>
      <c r="E1221">
        <v>4</v>
      </c>
      <c r="F1221" s="13">
        <v>28.04</v>
      </c>
      <c r="G1221">
        <v>0.09</v>
      </c>
      <c r="H1221" t="s">
        <v>19</v>
      </c>
      <c r="I1221" s="13">
        <v>-4.45</v>
      </c>
      <c r="J1221">
        <v>6.88</v>
      </c>
      <c r="K1221">
        <v>2</v>
      </c>
      <c r="L1221" t="s">
        <v>241</v>
      </c>
      <c r="M1221" t="s">
        <v>161</v>
      </c>
      <c r="N1221" s="5" t="s">
        <v>161</v>
      </c>
      <c r="O1221" t="s">
        <v>28</v>
      </c>
      <c r="P1221" t="s">
        <v>21</v>
      </c>
      <c r="Q1221" t="s">
        <v>37</v>
      </c>
      <c r="R1221">
        <v>0.39</v>
      </c>
      <c r="S1221" s="1">
        <v>41255</v>
      </c>
      <c r="T1221" t="str">
        <f t="shared" si="39"/>
        <v>12-Dec-2012</v>
      </c>
    </row>
    <row r="1222" spans="1:20" x14ac:dyDescent="0.3">
      <c r="A1222">
        <v>740</v>
      </c>
      <c r="B1222" s="1">
        <v>40739</v>
      </c>
      <c r="C1222" t="s">
        <v>38</v>
      </c>
      <c r="D1222" t="str">
        <f t="shared" si="38"/>
        <v>15-Jul-2011</v>
      </c>
      <c r="E1222">
        <v>6</v>
      </c>
      <c r="F1222" s="13">
        <v>28.01</v>
      </c>
      <c r="G1222">
        <v>0.09</v>
      </c>
      <c r="H1222" t="s">
        <v>19</v>
      </c>
      <c r="I1222" s="13">
        <v>3.46</v>
      </c>
      <c r="J1222">
        <v>4.9800000000000004</v>
      </c>
      <c r="K1222">
        <v>0.49</v>
      </c>
      <c r="L1222" t="s">
        <v>212</v>
      </c>
      <c r="M1222" t="s">
        <v>161</v>
      </c>
      <c r="N1222" s="5" t="s">
        <v>161</v>
      </c>
      <c r="O1222" t="s">
        <v>28</v>
      </c>
      <c r="P1222" t="s">
        <v>21</v>
      </c>
      <c r="Q1222" t="s">
        <v>48</v>
      </c>
      <c r="R1222">
        <v>0.39</v>
      </c>
      <c r="S1222" s="1">
        <v>40739</v>
      </c>
      <c r="T1222" t="str">
        <f t="shared" si="39"/>
        <v>15-Jul-2011</v>
      </c>
    </row>
    <row r="1223" spans="1:20" x14ac:dyDescent="0.3">
      <c r="A1223">
        <v>41702</v>
      </c>
      <c r="B1223" s="1">
        <v>40534</v>
      </c>
      <c r="C1223" t="s">
        <v>31</v>
      </c>
      <c r="D1223" t="str">
        <f t="shared" si="38"/>
        <v>22-Dec-2010</v>
      </c>
      <c r="E1223">
        <v>5</v>
      </c>
      <c r="F1223" s="13">
        <v>27.9</v>
      </c>
      <c r="G1223">
        <v>0.02</v>
      </c>
      <c r="H1223" t="s">
        <v>19</v>
      </c>
      <c r="I1223" s="13">
        <v>-22.82</v>
      </c>
      <c r="J1223">
        <v>4.28</v>
      </c>
      <c r="K1223">
        <v>6.72</v>
      </c>
      <c r="L1223" t="s">
        <v>178</v>
      </c>
      <c r="M1223" t="s">
        <v>161</v>
      </c>
      <c r="N1223" s="5" t="s">
        <v>161</v>
      </c>
      <c r="O1223" t="s">
        <v>28</v>
      </c>
      <c r="P1223" t="s">
        <v>21</v>
      </c>
      <c r="Q1223" t="s">
        <v>37</v>
      </c>
      <c r="R1223">
        <v>0.4</v>
      </c>
      <c r="S1223" s="1">
        <v>40536</v>
      </c>
      <c r="T1223" t="str">
        <f t="shared" si="39"/>
        <v>24-Dec-2010</v>
      </c>
    </row>
    <row r="1224" spans="1:20" x14ac:dyDescent="0.3">
      <c r="A1224">
        <v>28805</v>
      </c>
      <c r="B1224" s="1">
        <v>40635</v>
      </c>
      <c r="C1224" t="s">
        <v>38</v>
      </c>
      <c r="D1224" t="str">
        <f t="shared" si="38"/>
        <v>02-Apr-2011</v>
      </c>
      <c r="E1224">
        <v>4</v>
      </c>
      <c r="F1224" s="13">
        <v>25.52</v>
      </c>
      <c r="G1224">
        <v>7.0000000000000007E-2</v>
      </c>
      <c r="H1224" t="s">
        <v>19</v>
      </c>
      <c r="I1224" s="13">
        <v>-1.99</v>
      </c>
      <c r="J1224">
        <v>5.98</v>
      </c>
      <c r="K1224">
        <v>1.49</v>
      </c>
      <c r="L1224" t="s">
        <v>193</v>
      </c>
      <c r="M1224" t="s">
        <v>161</v>
      </c>
      <c r="N1224" s="5" t="s">
        <v>161</v>
      </c>
      <c r="O1224" t="s">
        <v>28</v>
      </c>
      <c r="P1224" t="s">
        <v>21</v>
      </c>
      <c r="Q1224" t="s">
        <v>26</v>
      </c>
      <c r="R1224">
        <v>0.39</v>
      </c>
      <c r="S1224" s="1">
        <v>40637</v>
      </c>
      <c r="T1224" t="str">
        <f t="shared" si="39"/>
        <v>04-Apr-2011</v>
      </c>
    </row>
    <row r="1225" spans="1:20" x14ac:dyDescent="0.3">
      <c r="A1225">
        <v>42246</v>
      </c>
      <c r="B1225" s="1">
        <v>41025</v>
      </c>
      <c r="C1225" t="s">
        <v>31</v>
      </c>
      <c r="D1225" t="str">
        <f t="shared" si="38"/>
        <v>26-Apr-2012</v>
      </c>
      <c r="E1225">
        <v>5</v>
      </c>
      <c r="F1225" s="13">
        <v>25.31</v>
      </c>
      <c r="G1225">
        <v>0.05</v>
      </c>
      <c r="H1225" t="s">
        <v>19</v>
      </c>
      <c r="I1225" s="13">
        <v>-0.5</v>
      </c>
      <c r="J1225">
        <v>4.84</v>
      </c>
      <c r="K1225">
        <v>0.71</v>
      </c>
      <c r="L1225" t="s">
        <v>186</v>
      </c>
      <c r="M1225" t="s">
        <v>161</v>
      </c>
      <c r="N1225" s="5" t="s">
        <v>161</v>
      </c>
      <c r="O1225" t="s">
        <v>28</v>
      </c>
      <c r="P1225" t="s">
        <v>21</v>
      </c>
      <c r="Q1225" t="s">
        <v>50</v>
      </c>
      <c r="R1225">
        <v>0.52</v>
      </c>
      <c r="S1225" s="1">
        <v>41027</v>
      </c>
      <c r="T1225" t="str">
        <f t="shared" si="39"/>
        <v>28-Apr-2012</v>
      </c>
    </row>
    <row r="1226" spans="1:20" x14ac:dyDescent="0.3">
      <c r="A1226">
        <v>52611</v>
      </c>
      <c r="B1226" s="1">
        <v>40658</v>
      </c>
      <c r="C1226" t="s">
        <v>38</v>
      </c>
      <c r="D1226" t="str">
        <f t="shared" si="38"/>
        <v>25-Apr-2011</v>
      </c>
      <c r="E1226">
        <v>11</v>
      </c>
      <c r="F1226" s="13">
        <v>24.95</v>
      </c>
      <c r="G1226">
        <v>0.09</v>
      </c>
      <c r="H1226" t="s">
        <v>19</v>
      </c>
      <c r="I1226" s="13">
        <v>-5.14</v>
      </c>
      <c r="J1226">
        <v>2.1800000000000002</v>
      </c>
      <c r="K1226">
        <v>1.38</v>
      </c>
      <c r="L1226" t="s">
        <v>302</v>
      </c>
      <c r="M1226" t="s">
        <v>161</v>
      </c>
      <c r="N1226" s="5" t="s">
        <v>161</v>
      </c>
      <c r="O1226" t="s">
        <v>28</v>
      </c>
      <c r="P1226" t="s">
        <v>21</v>
      </c>
      <c r="Q1226" t="s">
        <v>39</v>
      </c>
      <c r="R1226">
        <v>0.44</v>
      </c>
      <c r="S1226" s="1">
        <v>40658</v>
      </c>
      <c r="T1226" t="str">
        <f t="shared" si="39"/>
        <v>25-Apr-2011</v>
      </c>
    </row>
    <row r="1227" spans="1:20" x14ac:dyDescent="0.3">
      <c r="A1227">
        <v>29985</v>
      </c>
      <c r="B1227" s="1">
        <v>41101</v>
      </c>
      <c r="C1227" t="s">
        <v>43</v>
      </c>
      <c r="D1227" t="str">
        <f t="shared" si="38"/>
        <v>11-Jul-2012</v>
      </c>
      <c r="E1227">
        <v>2</v>
      </c>
      <c r="F1227" s="13">
        <v>24.51</v>
      </c>
      <c r="G1227">
        <v>0.06</v>
      </c>
      <c r="H1227" t="s">
        <v>19</v>
      </c>
      <c r="I1227" s="13">
        <v>-18.260000000000002</v>
      </c>
      <c r="J1227">
        <v>8.0399999999999991</v>
      </c>
      <c r="K1227">
        <v>8.94</v>
      </c>
      <c r="L1227" t="s">
        <v>296</v>
      </c>
      <c r="M1227" t="s">
        <v>161</v>
      </c>
      <c r="N1227" s="5" t="s">
        <v>161</v>
      </c>
      <c r="O1227" t="s">
        <v>28</v>
      </c>
      <c r="P1227" t="s">
        <v>21</v>
      </c>
      <c r="Q1227" t="s">
        <v>26</v>
      </c>
      <c r="R1227">
        <v>0.4</v>
      </c>
      <c r="S1227" s="1">
        <v>41103</v>
      </c>
      <c r="T1227" t="str">
        <f t="shared" si="39"/>
        <v>13-Jul-2012</v>
      </c>
    </row>
    <row r="1228" spans="1:20" x14ac:dyDescent="0.3">
      <c r="A1228">
        <v>42851</v>
      </c>
      <c r="B1228" s="1">
        <v>39965</v>
      </c>
      <c r="C1228" t="s">
        <v>23</v>
      </c>
      <c r="D1228" t="str">
        <f t="shared" si="38"/>
        <v>01-Jun-2009</v>
      </c>
      <c r="E1228">
        <v>4</v>
      </c>
      <c r="F1228" s="13">
        <v>24.32</v>
      </c>
      <c r="G1228">
        <v>0.05</v>
      </c>
      <c r="H1228" t="s">
        <v>35</v>
      </c>
      <c r="I1228" s="13">
        <v>-2.97</v>
      </c>
      <c r="J1228">
        <v>4.71</v>
      </c>
      <c r="K1228">
        <v>0.7</v>
      </c>
      <c r="L1228" t="s">
        <v>295</v>
      </c>
      <c r="M1228" t="s">
        <v>161</v>
      </c>
      <c r="N1228" s="5" t="s">
        <v>161</v>
      </c>
      <c r="O1228" t="s">
        <v>28</v>
      </c>
      <c r="P1228" t="s">
        <v>21</v>
      </c>
      <c r="Q1228" t="s">
        <v>39</v>
      </c>
      <c r="R1228">
        <v>0.8</v>
      </c>
      <c r="S1228" s="1">
        <v>39966</v>
      </c>
      <c r="T1228" t="str">
        <f t="shared" si="39"/>
        <v>02-Jun-2009</v>
      </c>
    </row>
    <row r="1229" spans="1:20" x14ac:dyDescent="0.3">
      <c r="A1229">
        <v>58851</v>
      </c>
      <c r="B1229" s="1">
        <v>40336</v>
      </c>
      <c r="C1229" t="s">
        <v>18</v>
      </c>
      <c r="D1229" t="str">
        <f t="shared" si="38"/>
        <v>07-Jun-2010</v>
      </c>
      <c r="E1229">
        <v>3</v>
      </c>
      <c r="F1229" s="13">
        <v>23.93</v>
      </c>
      <c r="G1229">
        <v>0.1</v>
      </c>
      <c r="H1229" t="s">
        <v>19</v>
      </c>
      <c r="I1229" s="13">
        <v>-6.39</v>
      </c>
      <c r="J1229">
        <v>8.34</v>
      </c>
      <c r="K1229">
        <v>0.96</v>
      </c>
      <c r="L1229" t="s">
        <v>187</v>
      </c>
      <c r="M1229" t="s">
        <v>161</v>
      </c>
      <c r="N1229" s="5" t="s">
        <v>161</v>
      </c>
      <c r="O1229" t="s">
        <v>28</v>
      </c>
      <c r="P1229" t="s">
        <v>32</v>
      </c>
      <c r="Q1229" t="s">
        <v>33</v>
      </c>
      <c r="R1229">
        <v>0.43</v>
      </c>
      <c r="S1229" s="1">
        <v>40340</v>
      </c>
      <c r="T1229" t="str">
        <f t="shared" si="39"/>
        <v>11-Jun-2010</v>
      </c>
    </row>
    <row r="1230" spans="1:20" x14ac:dyDescent="0.3">
      <c r="A1230">
        <v>40961</v>
      </c>
      <c r="B1230" s="1">
        <v>40632</v>
      </c>
      <c r="C1230" t="s">
        <v>38</v>
      </c>
      <c r="D1230" t="str">
        <f t="shared" si="38"/>
        <v>30-Mar-2011</v>
      </c>
      <c r="E1230">
        <v>7</v>
      </c>
      <c r="F1230" s="13">
        <v>23.84</v>
      </c>
      <c r="G1230">
        <v>0.02</v>
      </c>
      <c r="H1230" t="s">
        <v>19</v>
      </c>
      <c r="I1230" s="13">
        <v>5.88</v>
      </c>
      <c r="J1230">
        <v>3.15</v>
      </c>
      <c r="K1230">
        <v>0.5</v>
      </c>
      <c r="L1230" t="s">
        <v>169</v>
      </c>
      <c r="M1230" t="s">
        <v>161</v>
      </c>
      <c r="N1230" s="5" t="s">
        <v>161</v>
      </c>
      <c r="O1230" t="s">
        <v>28</v>
      </c>
      <c r="P1230" t="s">
        <v>21</v>
      </c>
      <c r="Q1230" t="s">
        <v>48</v>
      </c>
      <c r="R1230">
        <v>0.37</v>
      </c>
      <c r="S1230" s="1">
        <v>40633</v>
      </c>
      <c r="T1230" t="str">
        <f t="shared" si="39"/>
        <v>31-Mar-2011</v>
      </c>
    </row>
    <row r="1231" spans="1:20" x14ac:dyDescent="0.3">
      <c r="A1231">
        <v>56101</v>
      </c>
      <c r="B1231" s="1">
        <v>40378</v>
      </c>
      <c r="C1231" t="s">
        <v>31</v>
      </c>
      <c r="D1231" t="str">
        <f t="shared" si="38"/>
        <v>19-Jul-2010</v>
      </c>
      <c r="E1231">
        <v>1</v>
      </c>
      <c r="F1231" s="13">
        <v>21.45</v>
      </c>
      <c r="G1231">
        <v>0.01</v>
      </c>
      <c r="H1231" t="s">
        <v>19</v>
      </c>
      <c r="I1231" s="13">
        <v>-7.22</v>
      </c>
      <c r="J1231">
        <v>14.42</v>
      </c>
      <c r="K1231">
        <v>6.75</v>
      </c>
      <c r="L1231" t="s">
        <v>169</v>
      </c>
      <c r="M1231" t="s">
        <v>161</v>
      </c>
      <c r="N1231" s="5" t="s">
        <v>161</v>
      </c>
      <c r="O1231" t="s">
        <v>28</v>
      </c>
      <c r="P1231" t="s">
        <v>21</v>
      </c>
      <c r="Q1231" t="s">
        <v>25</v>
      </c>
      <c r="R1231">
        <v>0.52</v>
      </c>
      <c r="S1231" s="1">
        <v>40380</v>
      </c>
      <c r="T1231" t="str">
        <f t="shared" si="39"/>
        <v>21-Jul-2010</v>
      </c>
    </row>
    <row r="1232" spans="1:20" x14ac:dyDescent="0.3">
      <c r="A1232">
        <v>12261</v>
      </c>
      <c r="B1232" s="1">
        <v>40474</v>
      </c>
      <c r="C1232" t="s">
        <v>18</v>
      </c>
      <c r="D1232" t="str">
        <f t="shared" si="38"/>
        <v>23-Oct-2010</v>
      </c>
      <c r="E1232">
        <v>4</v>
      </c>
      <c r="F1232" s="13">
        <v>20.59</v>
      </c>
      <c r="G1232">
        <v>0.02</v>
      </c>
      <c r="H1232" t="s">
        <v>35</v>
      </c>
      <c r="I1232" s="13">
        <v>1.19</v>
      </c>
      <c r="J1232">
        <v>3.98</v>
      </c>
      <c r="K1232">
        <v>0.83</v>
      </c>
      <c r="L1232" t="s">
        <v>175</v>
      </c>
      <c r="M1232" t="s">
        <v>161</v>
      </c>
      <c r="N1232" s="5" t="s">
        <v>161</v>
      </c>
      <c r="O1232" t="s">
        <v>28</v>
      </c>
      <c r="P1232" t="s">
        <v>21</v>
      </c>
      <c r="Q1232" t="s">
        <v>50</v>
      </c>
      <c r="R1232">
        <v>0.51</v>
      </c>
      <c r="S1232" s="1">
        <v>40478</v>
      </c>
      <c r="T1232" t="str">
        <f t="shared" si="39"/>
        <v>27-Oct-2010</v>
      </c>
    </row>
    <row r="1233" spans="1:20" x14ac:dyDescent="0.3">
      <c r="A1233">
        <v>41185</v>
      </c>
      <c r="B1233" s="1">
        <v>40153</v>
      </c>
      <c r="C1233" t="s">
        <v>43</v>
      </c>
      <c r="D1233" t="str">
        <f t="shared" si="38"/>
        <v>06-Dec-2009</v>
      </c>
      <c r="E1233">
        <v>2</v>
      </c>
      <c r="F1233" s="13">
        <v>18.809999999999999</v>
      </c>
      <c r="G1233">
        <v>0.08</v>
      </c>
      <c r="H1233" t="s">
        <v>19</v>
      </c>
      <c r="I1233" s="13">
        <v>-12.83</v>
      </c>
      <c r="J1233">
        <v>5.78</v>
      </c>
      <c r="K1233">
        <v>7.96</v>
      </c>
      <c r="L1233" t="s">
        <v>299</v>
      </c>
      <c r="M1233" t="s">
        <v>161</v>
      </c>
      <c r="N1233" s="5" t="s">
        <v>161</v>
      </c>
      <c r="O1233" t="s">
        <v>28</v>
      </c>
      <c r="P1233" t="s">
        <v>21</v>
      </c>
      <c r="Q1233" t="s">
        <v>37</v>
      </c>
      <c r="R1233">
        <v>0.36</v>
      </c>
      <c r="S1233" s="1">
        <v>40154</v>
      </c>
      <c r="T1233" t="str">
        <f t="shared" si="39"/>
        <v>07-Dec-2009</v>
      </c>
    </row>
    <row r="1234" spans="1:20" x14ac:dyDescent="0.3">
      <c r="A1234">
        <v>3266</v>
      </c>
      <c r="B1234" s="1">
        <v>40618</v>
      </c>
      <c r="C1234" t="s">
        <v>18</v>
      </c>
      <c r="D1234" t="str">
        <f t="shared" si="38"/>
        <v>16-Mar-2011</v>
      </c>
      <c r="E1234">
        <v>4</v>
      </c>
      <c r="F1234" s="13">
        <v>17.12</v>
      </c>
      <c r="G1234">
        <v>0.03</v>
      </c>
      <c r="H1234" t="s">
        <v>19</v>
      </c>
      <c r="I1234" s="13">
        <v>-2.5499999999999998</v>
      </c>
      <c r="J1234">
        <v>3.8</v>
      </c>
      <c r="K1234">
        <v>1.49</v>
      </c>
      <c r="L1234" t="s">
        <v>189</v>
      </c>
      <c r="M1234" t="s">
        <v>161</v>
      </c>
      <c r="N1234" s="5" t="s">
        <v>161</v>
      </c>
      <c r="O1234" t="s">
        <v>28</v>
      </c>
      <c r="P1234" t="s">
        <v>21</v>
      </c>
      <c r="Q1234" t="s">
        <v>26</v>
      </c>
      <c r="R1234">
        <v>0.38</v>
      </c>
      <c r="S1234" s="1">
        <v>40622</v>
      </c>
      <c r="T1234" t="str">
        <f t="shared" si="39"/>
        <v>20-Mar-2011</v>
      </c>
    </row>
    <row r="1235" spans="1:20" x14ac:dyDescent="0.3">
      <c r="A1235">
        <v>48615</v>
      </c>
      <c r="B1235" s="1">
        <v>41246</v>
      </c>
      <c r="C1235" t="s">
        <v>18</v>
      </c>
      <c r="D1235" t="str">
        <f t="shared" si="38"/>
        <v>03-Dec-2012</v>
      </c>
      <c r="E1235">
        <v>4</v>
      </c>
      <c r="F1235" s="13">
        <v>16.91</v>
      </c>
      <c r="G1235">
        <v>0.08</v>
      </c>
      <c r="H1235" t="s">
        <v>19</v>
      </c>
      <c r="I1235" s="13">
        <v>0.21</v>
      </c>
      <c r="J1235">
        <v>4.13</v>
      </c>
      <c r="K1235">
        <v>0.5</v>
      </c>
      <c r="L1235" t="s">
        <v>206</v>
      </c>
      <c r="M1235" t="s">
        <v>161</v>
      </c>
      <c r="N1235" s="5" t="s">
        <v>161</v>
      </c>
      <c r="O1235" t="s">
        <v>28</v>
      </c>
      <c r="P1235" t="s">
        <v>21</v>
      </c>
      <c r="Q1235" t="s">
        <v>48</v>
      </c>
      <c r="R1235">
        <v>0.39</v>
      </c>
      <c r="S1235" s="1">
        <v>41250</v>
      </c>
      <c r="T1235" t="str">
        <f t="shared" si="39"/>
        <v>07-Dec-2012</v>
      </c>
    </row>
    <row r="1236" spans="1:20" x14ac:dyDescent="0.3">
      <c r="A1236">
        <v>6053</v>
      </c>
      <c r="B1236" s="1">
        <v>40523</v>
      </c>
      <c r="C1236" t="s">
        <v>38</v>
      </c>
      <c r="D1236" t="str">
        <f t="shared" si="38"/>
        <v>11-Dec-2010</v>
      </c>
      <c r="E1236">
        <v>4</v>
      </c>
      <c r="F1236" s="13">
        <v>16.079999999999998</v>
      </c>
      <c r="G1236">
        <v>0.04</v>
      </c>
      <c r="H1236" t="s">
        <v>19</v>
      </c>
      <c r="I1236" s="13">
        <v>-3.75</v>
      </c>
      <c r="J1236">
        <v>3.8</v>
      </c>
      <c r="K1236">
        <v>1.49</v>
      </c>
      <c r="L1236" t="s">
        <v>303</v>
      </c>
      <c r="M1236" t="s">
        <v>161</v>
      </c>
      <c r="N1236" s="5" t="s">
        <v>161</v>
      </c>
      <c r="O1236" t="s">
        <v>28</v>
      </c>
      <c r="P1236" t="s">
        <v>21</v>
      </c>
      <c r="Q1236" t="s">
        <v>26</v>
      </c>
      <c r="R1236">
        <v>0.38</v>
      </c>
      <c r="S1236" s="1">
        <v>40525</v>
      </c>
      <c r="T1236" t="str">
        <f t="shared" si="39"/>
        <v>13-Dec-2010</v>
      </c>
    </row>
    <row r="1237" spans="1:20" x14ac:dyDescent="0.3">
      <c r="A1237">
        <v>386</v>
      </c>
      <c r="B1237" s="1">
        <v>40567</v>
      </c>
      <c r="C1237" t="s">
        <v>23</v>
      </c>
      <c r="D1237" t="str">
        <f t="shared" si="38"/>
        <v>24-Jan-2011</v>
      </c>
      <c r="E1237">
        <v>4</v>
      </c>
      <c r="F1237" s="13">
        <v>15.69</v>
      </c>
      <c r="G1237">
        <v>0.09</v>
      </c>
      <c r="H1237" t="s">
        <v>19</v>
      </c>
      <c r="I1237" s="13">
        <v>-1.59</v>
      </c>
      <c r="J1237">
        <v>3.85</v>
      </c>
      <c r="K1237">
        <v>0.7</v>
      </c>
      <c r="L1237" t="s">
        <v>235</v>
      </c>
      <c r="M1237" t="s">
        <v>161</v>
      </c>
      <c r="N1237" s="5" t="s">
        <v>161</v>
      </c>
      <c r="O1237" t="s">
        <v>28</v>
      </c>
      <c r="P1237" t="s">
        <v>21</v>
      </c>
      <c r="Q1237" t="s">
        <v>50</v>
      </c>
      <c r="R1237">
        <v>0.44</v>
      </c>
      <c r="S1237" s="1">
        <v>40569</v>
      </c>
      <c r="T1237" t="str">
        <f t="shared" si="39"/>
        <v>26-Jan-2011</v>
      </c>
    </row>
    <row r="1238" spans="1:20" x14ac:dyDescent="0.3">
      <c r="A1238">
        <v>386</v>
      </c>
      <c r="B1238" s="1">
        <v>40567</v>
      </c>
      <c r="C1238" t="s">
        <v>23</v>
      </c>
      <c r="D1238" t="str">
        <f t="shared" si="38"/>
        <v>24-Jan-2011</v>
      </c>
      <c r="E1238">
        <v>4</v>
      </c>
      <c r="F1238" s="13">
        <v>14.96</v>
      </c>
      <c r="G1238">
        <v>0.02</v>
      </c>
      <c r="H1238" t="s">
        <v>19</v>
      </c>
      <c r="I1238" s="13">
        <v>-0.03</v>
      </c>
      <c r="J1238">
        <v>3.69</v>
      </c>
      <c r="K1238">
        <v>0.5</v>
      </c>
      <c r="L1238" t="s">
        <v>235</v>
      </c>
      <c r="M1238" t="s">
        <v>161</v>
      </c>
      <c r="N1238" s="5" t="s">
        <v>161</v>
      </c>
      <c r="O1238" t="s">
        <v>28</v>
      </c>
      <c r="P1238" t="s">
        <v>21</v>
      </c>
      <c r="Q1238" t="s">
        <v>48</v>
      </c>
      <c r="R1238">
        <v>0.38</v>
      </c>
      <c r="S1238" s="1">
        <v>40569</v>
      </c>
      <c r="T1238" t="str">
        <f t="shared" si="39"/>
        <v>26-Jan-2011</v>
      </c>
    </row>
    <row r="1239" spans="1:20" x14ac:dyDescent="0.3">
      <c r="A1239">
        <v>32292</v>
      </c>
      <c r="B1239" s="1">
        <v>40954</v>
      </c>
      <c r="C1239" t="s">
        <v>18</v>
      </c>
      <c r="D1239" t="str">
        <f t="shared" si="38"/>
        <v>15-Feb-2012</v>
      </c>
      <c r="E1239">
        <v>1</v>
      </c>
      <c r="F1239" s="13">
        <v>13.53</v>
      </c>
      <c r="G1239">
        <v>7.0000000000000007E-2</v>
      </c>
      <c r="H1239" t="s">
        <v>19</v>
      </c>
      <c r="I1239" s="13">
        <v>-6.73</v>
      </c>
      <c r="J1239">
        <v>11.55</v>
      </c>
      <c r="K1239">
        <v>2.36</v>
      </c>
      <c r="L1239" t="s">
        <v>234</v>
      </c>
      <c r="M1239" t="s">
        <v>161</v>
      </c>
      <c r="N1239" s="5" t="s">
        <v>161</v>
      </c>
      <c r="O1239" t="s">
        <v>28</v>
      </c>
      <c r="P1239" t="s">
        <v>21</v>
      </c>
      <c r="Q1239" t="s">
        <v>50</v>
      </c>
      <c r="R1239">
        <v>0.55000000000000004</v>
      </c>
      <c r="S1239" s="1">
        <v>40956</v>
      </c>
      <c r="T1239" t="str">
        <f t="shared" si="39"/>
        <v>17-Feb-2012</v>
      </c>
    </row>
    <row r="1240" spans="1:20" x14ac:dyDescent="0.3">
      <c r="A1240">
        <v>27684</v>
      </c>
      <c r="B1240" s="1">
        <v>40791</v>
      </c>
      <c r="C1240" t="s">
        <v>18</v>
      </c>
      <c r="D1240" t="str">
        <f t="shared" si="38"/>
        <v>05-Sep-2011</v>
      </c>
      <c r="E1240">
        <v>1</v>
      </c>
      <c r="F1240" s="13">
        <v>13.04</v>
      </c>
      <c r="G1240">
        <v>0.06</v>
      </c>
      <c r="H1240" t="s">
        <v>19</v>
      </c>
      <c r="I1240" s="13">
        <v>-6.62</v>
      </c>
      <c r="J1240">
        <v>10.48</v>
      </c>
      <c r="K1240">
        <v>2.89</v>
      </c>
      <c r="L1240" t="s">
        <v>289</v>
      </c>
      <c r="M1240" t="s">
        <v>161</v>
      </c>
      <c r="N1240" s="5" t="s">
        <v>161</v>
      </c>
      <c r="O1240" t="s">
        <v>28</v>
      </c>
      <c r="P1240" t="s">
        <v>21</v>
      </c>
      <c r="Q1240" t="s">
        <v>50</v>
      </c>
      <c r="R1240">
        <v>0.6</v>
      </c>
      <c r="S1240" s="1">
        <v>40793</v>
      </c>
      <c r="T1240" t="str">
        <f t="shared" si="39"/>
        <v>07-Sep-2011</v>
      </c>
    </row>
    <row r="1241" spans="1:20" x14ac:dyDescent="0.3">
      <c r="A1241">
        <v>35555</v>
      </c>
      <c r="B1241" s="1">
        <v>40606</v>
      </c>
      <c r="C1241" t="s">
        <v>38</v>
      </c>
      <c r="D1241" t="str">
        <f t="shared" si="38"/>
        <v>04-Mar-2011</v>
      </c>
      <c r="E1241">
        <v>2</v>
      </c>
      <c r="F1241" s="13">
        <v>10.43</v>
      </c>
      <c r="G1241">
        <v>7.0000000000000007E-2</v>
      </c>
      <c r="H1241" t="s">
        <v>19</v>
      </c>
      <c r="I1241" s="13">
        <v>-4.72</v>
      </c>
      <c r="J1241">
        <v>4.9800000000000004</v>
      </c>
      <c r="K1241">
        <v>0.8</v>
      </c>
      <c r="L1241" t="s">
        <v>188</v>
      </c>
      <c r="M1241" t="s">
        <v>161</v>
      </c>
      <c r="N1241" s="5" t="s">
        <v>161</v>
      </c>
      <c r="O1241" t="s">
        <v>28</v>
      </c>
      <c r="P1241" t="s">
        <v>21</v>
      </c>
      <c r="Q1241" t="s">
        <v>37</v>
      </c>
      <c r="R1241">
        <v>0.36</v>
      </c>
      <c r="S1241" s="1">
        <v>40606</v>
      </c>
      <c r="T1241" t="str">
        <f t="shared" si="39"/>
        <v>04-Mar-2011</v>
      </c>
    </row>
    <row r="1242" spans="1:20" x14ac:dyDescent="0.3">
      <c r="A1242">
        <v>7744</v>
      </c>
      <c r="B1242" s="1">
        <v>40134</v>
      </c>
      <c r="C1242" t="s">
        <v>18</v>
      </c>
      <c r="D1242" t="str">
        <f t="shared" si="38"/>
        <v>17-Nov-2009</v>
      </c>
      <c r="E1242">
        <v>1</v>
      </c>
      <c r="F1242" s="13">
        <v>8.34</v>
      </c>
      <c r="G1242">
        <v>0.09</v>
      </c>
      <c r="H1242" t="s">
        <v>19</v>
      </c>
      <c r="I1242" s="13">
        <v>-3.44</v>
      </c>
      <c r="J1242">
        <v>7.64</v>
      </c>
      <c r="K1242">
        <v>1.39</v>
      </c>
      <c r="L1242" t="s">
        <v>288</v>
      </c>
      <c r="M1242" t="s">
        <v>161</v>
      </c>
      <c r="N1242" s="5" t="s">
        <v>161</v>
      </c>
      <c r="O1242" t="s">
        <v>28</v>
      </c>
      <c r="P1242" t="s">
        <v>21</v>
      </c>
      <c r="Q1242" t="s">
        <v>42</v>
      </c>
      <c r="R1242">
        <v>0.36</v>
      </c>
      <c r="S1242" s="1">
        <v>40143</v>
      </c>
      <c r="T1242" t="str">
        <f t="shared" si="39"/>
        <v>26-Nov-2009</v>
      </c>
    </row>
    <row r="1243" spans="1:20" x14ac:dyDescent="0.3">
      <c r="A1243">
        <v>24707</v>
      </c>
      <c r="B1243" s="1">
        <v>40978</v>
      </c>
      <c r="C1243" t="s">
        <v>38</v>
      </c>
      <c r="D1243" t="str">
        <f t="shared" si="38"/>
        <v>10-Mar-2012</v>
      </c>
      <c r="E1243">
        <v>3</v>
      </c>
      <c r="F1243" s="13">
        <v>4.9400000000000004</v>
      </c>
      <c r="G1243">
        <v>0.1</v>
      </c>
      <c r="H1243" t="s">
        <v>19</v>
      </c>
      <c r="I1243" s="13">
        <v>-1.76</v>
      </c>
      <c r="J1243">
        <v>1.48</v>
      </c>
      <c r="K1243">
        <v>0.7</v>
      </c>
      <c r="L1243" t="s">
        <v>304</v>
      </c>
      <c r="M1243" t="s">
        <v>161</v>
      </c>
      <c r="N1243" s="5" t="s">
        <v>161</v>
      </c>
      <c r="O1243" t="s">
        <v>28</v>
      </c>
      <c r="P1243" t="s">
        <v>21</v>
      </c>
      <c r="Q1243" t="s">
        <v>39</v>
      </c>
      <c r="R1243">
        <v>0.37</v>
      </c>
      <c r="S1243" s="1">
        <v>40980</v>
      </c>
      <c r="T1243" t="str">
        <f t="shared" si="39"/>
        <v>12-Mar-2012</v>
      </c>
    </row>
    <row r="1244" spans="1:20" ht="15" thickBot="1" x14ac:dyDescent="0.35">
      <c r="A1244">
        <v>46243</v>
      </c>
      <c r="B1244" s="1">
        <v>40932</v>
      </c>
      <c r="C1244" t="s">
        <v>18</v>
      </c>
      <c r="D1244" t="str">
        <f t="shared" si="38"/>
        <v>24-Jan-2012</v>
      </c>
      <c r="E1244">
        <v>1</v>
      </c>
      <c r="F1244" s="13">
        <v>3.63</v>
      </c>
      <c r="G1244">
        <v>0.03</v>
      </c>
      <c r="H1244" t="s">
        <v>19</v>
      </c>
      <c r="I1244" s="13">
        <v>-1.56</v>
      </c>
      <c r="J1244">
        <v>2.88</v>
      </c>
      <c r="K1244">
        <v>0.7</v>
      </c>
      <c r="L1244" t="s">
        <v>159</v>
      </c>
      <c r="M1244" t="s">
        <v>161</v>
      </c>
      <c r="N1244" s="6" t="s">
        <v>161</v>
      </c>
      <c r="O1244" t="s">
        <v>28</v>
      </c>
      <c r="P1244" t="s">
        <v>21</v>
      </c>
      <c r="Q1244" t="s">
        <v>50</v>
      </c>
      <c r="R1244">
        <v>0.56000000000000005</v>
      </c>
      <c r="S1244" s="1">
        <v>40937</v>
      </c>
      <c r="T1244" t="str">
        <f t="shared" si="39"/>
        <v>29-Jan-2012</v>
      </c>
    </row>
    <row r="1245" spans="1:20" ht="15" thickTop="1" x14ac:dyDescent="0.3">
      <c r="A1245">
        <v>37252</v>
      </c>
      <c r="B1245" s="1">
        <v>40866</v>
      </c>
      <c r="C1245" t="s">
        <v>18</v>
      </c>
      <c r="D1245" t="str">
        <f t="shared" si="38"/>
        <v>19-Nov-2011</v>
      </c>
      <c r="E1245">
        <v>34</v>
      </c>
      <c r="F1245" s="13">
        <v>29345.27</v>
      </c>
      <c r="G1245">
        <v>0.03</v>
      </c>
      <c r="H1245" t="s">
        <v>24</v>
      </c>
      <c r="I1245" s="13">
        <v>7497.55</v>
      </c>
      <c r="J1245">
        <v>880.98</v>
      </c>
      <c r="K1245">
        <v>44.55</v>
      </c>
      <c r="L1245" t="s">
        <v>321</v>
      </c>
      <c r="M1245" t="s">
        <v>101</v>
      </c>
      <c r="N1245" s="5" t="s">
        <v>102</v>
      </c>
      <c r="O1245" t="s">
        <v>28</v>
      </c>
      <c r="P1245" t="s">
        <v>32</v>
      </c>
      <c r="Q1245" t="s">
        <v>45</v>
      </c>
      <c r="R1245">
        <v>0.62</v>
      </c>
      <c r="S1245" s="1">
        <v>40871</v>
      </c>
      <c r="T1245" t="str">
        <f t="shared" si="39"/>
        <v>24-Nov-2011</v>
      </c>
    </row>
    <row r="1246" spans="1:20" x14ac:dyDescent="0.3">
      <c r="A1246">
        <v>37124</v>
      </c>
      <c r="B1246" s="1">
        <v>40998</v>
      </c>
      <c r="C1246" t="s">
        <v>18</v>
      </c>
      <c r="D1246" t="str">
        <f t="shared" si="38"/>
        <v>30-Mar-2012</v>
      </c>
      <c r="E1246">
        <v>33</v>
      </c>
      <c r="F1246" s="13">
        <v>21205.5</v>
      </c>
      <c r="G1246">
        <v>0.1</v>
      </c>
      <c r="H1246" t="s">
        <v>19</v>
      </c>
      <c r="I1246" s="13">
        <v>241.3</v>
      </c>
      <c r="J1246">
        <v>699.99</v>
      </c>
      <c r="K1246">
        <v>24.49</v>
      </c>
      <c r="L1246" t="s">
        <v>255</v>
      </c>
      <c r="M1246" t="s">
        <v>101</v>
      </c>
      <c r="N1246" s="5" t="s">
        <v>102</v>
      </c>
      <c r="O1246" t="s">
        <v>28</v>
      </c>
      <c r="P1246" t="s">
        <v>29</v>
      </c>
      <c r="Q1246" t="s">
        <v>51</v>
      </c>
      <c r="R1246">
        <v>0.41</v>
      </c>
      <c r="S1246" s="1">
        <v>41000</v>
      </c>
      <c r="T1246" t="str">
        <f t="shared" si="39"/>
        <v>01-Apr-2012</v>
      </c>
    </row>
    <row r="1247" spans="1:20" x14ac:dyDescent="0.3">
      <c r="A1247">
        <v>6625</v>
      </c>
      <c r="B1247" s="1">
        <v>40405</v>
      </c>
      <c r="C1247" t="s">
        <v>23</v>
      </c>
      <c r="D1247" t="str">
        <f t="shared" si="38"/>
        <v>15-Aug-2010</v>
      </c>
      <c r="E1247">
        <v>23</v>
      </c>
      <c r="F1247" s="13">
        <v>21062.91</v>
      </c>
      <c r="G1247">
        <v>0.01</v>
      </c>
      <c r="H1247" t="s">
        <v>24</v>
      </c>
      <c r="I1247" s="13">
        <v>5713.53</v>
      </c>
      <c r="J1247">
        <v>880.98</v>
      </c>
      <c r="K1247">
        <v>44.55</v>
      </c>
      <c r="L1247" t="s">
        <v>80</v>
      </c>
      <c r="M1247" t="s">
        <v>101</v>
      </c>
      <c r="N1247" s="5" t="s">
        <v>102</v>
      </c>
      <c r="O1247" t="s">
        <v>28</v>
      </c>
      <c r="P1247" t="s">
        <v>32</v>
      </c>
      <c r="Q1247" t="s">
        <v>45</v>
      </c>
      <c r="R1247">
        <v>0.62</v>
      </c>
      <c r="S1247" s="1">
        <v>40407</v>
      </c>
      <c r="T1247" t="str">
        <f t="shared" si="39"/>
        <v>17-Aug-2010</v>
      </c>
    </row>
    <row r="1248" spans="1:20" x14ac:dyDescent="0.3">
      <c r="A1248">
        <v>42437</v>
      </c>
      <c r="B1248" s="1">
        <v>40973</v>
      </c>
      <c r="C1248" t="s">
        <v>43</v>
      </c>
      <c r="D1248" t="str">
        <f t="shared" si="38"/>
        <v>05-Mar-2012</v>
      </c>
      <c r="E1248">
        <v>43</v>
      </c>
      <c r="F1248" s="13">
        <v>19461.8</v>
      </c>
      <c r="G1248">
        <v>0.06</v>
      </c>
      <c r="H1248" t="s">
        <v>24</v>
      </c>
      <c r="I1248" s="13">
        <v>7752.01</v>
      </c>
      <c r="J1248">
        <v>449.99</v>
      </c>
      <c r="K1248">
        <v>49</v>
      </c>
      <c r="L1248" t="s">
        <v>307</v>
      </c>
      <c r="M1248" t="s">
        <v>101</v>
      </c>
      <c r="N1248" s="5" t="s">
        <v>102</v>
      </c>
      <c r="O1248" t="s">
        <v>28</v>
      </c>
      <c r="P1248" t="s">
        <v>29</v>
      </c>
      <c r="Q1248" t="s">
        <v>51</v>
      </c>
      <c r="R1248">
        <v>0.38</v>
      </c>
      <c r="S1248" s="1">
        <v>40975</v>
      </c>
      <c r="T1248" t="str">
        <f t="shared" si="39"/>
        <v>07-Mar-2012</v>
      </c>
    </row>
    <row r="1249" spans="1:20" x14ac:dyDescent="0.3">
      <c r="A1249">
        <v>25473</v>
      </c>
      <c r="B1249" s="1">
        <v>41196</v>
      </c>
      <c r="C1249" t="s">
        <v>23</v>
      </c>
      <c r="D1249" t="str">
        <f t="shared" si="38"/>
        <v>14-Oct-2012</v>
      </c>
      <c r="E1249">
        <v>36</v>
      </c>
      <c r="F1249" s="13">
        <v>17304.849999999999</v>
      </c>
      <c r="G1249">
        <v>0.05</v>
      </c>
      <c r="H1249" t="s">
        <v>24</v>
      </c>
      <c r="I1249" s="13">
        <v>7434.48</v>
      </c>
      <c r="J1249">
        <v>500.98</v>
      </c>
      <c r="K1249">
        <v>28.14</v>
      </c>
      <c r="L1249" t="s">
        <v>158</v>
      </c>
      <c r="M1249" t="s">
        <v>101</v>
      </c>
      <c r="N1249" s="5" t="s">
        <v>102</v>
      </c>
      <c r="O1249" t="s">
        <v>28</v>
      </c>
      <c r="P1249" t="s">
        <v>29</v>
      </c>
      <c r="Q1249" t="s">
        <v>74</v>
      </c>
      <c r="R1249">
        <v>0.38</v>
      </c>
      <c r="S1249" s="1">
        <v>41198</v>
      </c>
      <c r="T1249" t="str">
        <f t="shared" si="39"/>
        <v>16-Oct-2012</v>
      </c>
    </row>
    <row r="1250" spans="1:20" x14ac:dyDescent="0.3">
      <c r="A1250">
        <v>29028</v>
      </c>
      <c r="B1250" s="1">
        <v>40579</v>
      </c>
      <c r="C1250" t="s">
        <v>43</v>
      </c>
      <c r="D1250" t="str">
        <f t="shared" si="38"/>
        <v>05-Feb-2011</v>
      </c>
      <c r="E1250">
        <v>43</v>
      </c>
      <c r="F1250" s="13">
        <v>17131.36</v>
      </c>
      <c r="G1250">
        <v>0.08</v>
      </c>
      <c r="H1250" t="s">
        <v>24</v>
      </c>
      <c r="I1250" s="13">
        <v>4722.7700000000004</v>
      </c>
      <c r="J1250">
        <v>400.97</v>
      </c>
      <c r="K1250">
        <v>14.7</v>
      </c>
      <c r="L1250" t="s">
        <v>249</v>
      </c>
      <c r="M1250" t="s">
        <v>101</v>
      </c>
      <c r="N1250" s="5" t="s">
        <v>102</v>
      </c>
      <c r="O1250" t="s">
        <v>28</v>
      </c>
      <c r="P1250" t="s">
        <v>29</v>
      </c>
      <c r="Q1250" t="s">
        <v>74</v>
      </c>
      <c r="R1250">
        <v>0.59</v>
      </c>
      <c r="S1250" s="1">
        <v>40581</v>
      </c>
      <c r="T1250" t="str">
        <f t="shared" si="39"/>
        <v>07-Feb-2011</v>
      </c>
    </row>
    <row r="1251" spans="1:20" x14ac:dyDescent="0.3">
      <c r="A1251">
        <v>55873</v>
      </c>
      <c r="B1251" s="1">
        <v>40866</v>
      </c>
      <c r="C1251" t="s">
        <v>18</v>
      </c>
      <c r="D1251" t="str">
        <f t="shared" si="38"/>
        <v>19-Nov-2011</v>
      </c>
      <c r="E1251">
        <v>48</v>
      </c>
      <c r="F1251" s="13">
        <v>15602.93</v>
      </c>
      <c r="G1251">
        <v>0</v>
      </c>
      <c r="H1251" t="s">
        <v>24</v>
      </c>
      <c r="I1251" s="13">
        <v>4875.8900000000003</v>
      </c>
      <c r="J1251">
        <v>306.14</v>
      </c>
      <c r="K1251">
        <v>26.53</v>
      </c>
      <c r="L1251" t="s">
        <v>150</v>
      </c>
      <c r="M1251" t="s">
        <v>101</v>
      </c>
      <c r="N1251" s="5" t="s">
        <v>102</v>
      </c>
      <c r="O1251" t="s">
        <v>28</v>
      </c>
      <c r="P1251" t="s">
        <v>29</v>
      </c>
      <c r="Q1251" t="s">
        <v>74</v>
      </c>
      <c r="R1251">
        <v>0.56000000000000005</v>
      </c>
      <c r="S1251" s="1">
        <v>40873</v>
      </c>
      <c r="T1251" t="str">
        <f t="shared" si="39"/>
        <v>26-Nov-2011</v>
      </c>
    </row>
    <row r="1252" spans="1:20" x14ac:dyDescent="0.3">
      <c r="A1252">
        <v>48480</v>
      </c>
      <c r="B1252" s="1">
        <v>40180</v>
      </c>
      <c r="C1252" t="s">
        <v>43</v>
      </c>
      <c r="D1252" t="str">
        <f t="shared" si="38"/>
        <v>02-Jan-2010</v>
      </c>
      <c r="E1252">
        <v>32</v>
      </c>
      <c r="F1252" s="13">
        <v>11103.75</v>
      </c>
      <c r="G1252">
        <v>0.1</v>
      </c>
      <c r="H1252" t="s">
        <v>24</v>
      </c>
      <c r="I1252" s="13">
        <v>-522.59</v>
      </c>
      <c r="J1252">
        <v>370.98</v>
      </c>
      <c r="K1252">
        <v>99</v>
      </c>
      <c r="L1252" t="s">
        <v>142</v>
      </c>
      <c r="M1252" t="s">
        <v>101</v>
      </c>
      <c r="N1252" s="5" t="s">
        <v>102</v>
      </c>
      <c r="O1252" t="s">
        <v>28</v>
      </c>
      <c r="P1252" t="s">
        <v>21</v>
      </c>
      <c r="Q1252" t="s">
        <v>22</v>
      </c>
      <c r="R1252">
        <v>0.65</v>
      </c>
      <c r="S1252" s="1">
        <v>40183</v>
      </c>
      <c r="T1252" t="str">
        <f t="shared" si="39"/>
        <v>05-Jan-2010</v>
      </c>
    </row>
    <row r="1253" spans="1:20" x14ac:dyDescent="0.3">
      <c r="A1253">
        <v>24448</v>
      </c>
      <c r="B1253" s="1">
        <v>40945</v>
      </c>
      <c r="C1253" t="s">
        <v>23</v>
      </c>
      <c r="D1253" t="str">
        <f t="shared" si="38"/>
        <v>06-Feb-2012</v>
      </c>
      <c r="E1253">
        <v>46</v>
      </c>
      <c r="F1253" s="13">
        <v>11036.16</v>
      </c>
      <c r="G1253">
        <v>0.05</v>
      </c>
      <c r="H1253" t="s">
        <v>24</v>
      </c>
      <c r="I1253" s="13">
        <v>1187.8</v>
      </c>
      <c r="J1253">
        <v>236.97</v>
      </c>
      <c r="K1253">
        <v>59.24</v>
      </c>
      <c r="L1253" t="s">
        <v>80</v>
      </c>
      <c r="M1253" t="s">
        <v>101</v>
      </c>
      <c r="N1253" s="5" t="s">
        <v>102</v>
      </c>
      <c r="O1253" t="s">
        <v>28</v>
      </c>
      <c r="P1253" t="s">
        <v>32</v>
      </c>
      <c r="Q1253" t="s">
        <v>46</v>
      </c>
      <c r="R1253">
        <v>0.61</v>
      </c>
      <c r="S1253" s="1">
        <v>40947</v>
      </c>
      <c r="T1253" t="str">
        <f t="shared" si="39"/>
        <v>08-Feb-2012</v>
      </c>
    </row>
    <row r="1254" spans="1:20" x14ac:dyDescent="0.3">
      <c r="A1254">
        <v>14342</v>
      </c>
      <c r="B1254" s="1">
        <v>39930</v>
      </c>
      <c r="C1254" t="s">
        <v>18</v>
      </c>
      <c r="D1254" t="str">
        <f t="shared" si="38"/>
        <v>27-Apr-2009</v>
      </c>
      <c r="E1254">
        <v>38</v>
      </c>
      <c r="F1254" s="13">
        <v>10823.84</v>
      </c>
      <c r="G1254">
        <v>0.09</v>
      </c>
      <c r="H1254" t="s">
        <v>19</v>
      </c>
      <c r="I1254" s="13">
        <v>3857.43</v>
      </c>
      <c r="J1254">
        <v>300.97000000000003</v>
      </c>
      <c r="K1254">
        <v>7.18</v>
      </c>
      <c r="L1254" t="s">
        <v>247</v>
      </c>
      <c r="M1254" t="s">
        <v>101</v>
      </c>
      <c r="N1254" s="5" t="s">
        <v>102</v>
      </c>
      <c r="O1254" t="s">
        <v>28</v>
      </c>
      <c r="P1254" t="s">
        <v>29</v>
      </c>
      <c r="Q1254" t="s">
        <v>41</v>
      </c>
      <c r="R1254">
        <v>0.48</v>
      </c>
      <c r="S1254" s="1">
        <v>39930</v>
      </c>
      <c r="T1254" t="str">
        <f t="shared" si="39"/>
        <v>27-Apr-2009</v>
      </c>
    </row>
    <row r="1255" spans="1:20" x14ac:dyDescent="0.3">
      <c r="A1255">
        <v>55623</v>
      </c>
      <c r="B1255" s="1">
        <v>41187</v>
      </c>
      <c r="C1255" t="s">
        <v>43</v>
      </c>
      <c r="D1255" t="str">
        <f t="shared" si="38"/>
        <v>05-Oct-2012</v>
      </c>
      <c r="E1255">
        <v>47</v>
      </c>
      <c r="F1255" s="13">
        <v>10348.73</v>
      </c>
      <c r="G1255">
        <v>0.09</v>
      </c>
      <c r="H1255" t="s">
        <v>24</v>
      </c>
      <c r="I1255" s="13">
        <v>1094.57</v>
      </c>
      <c r="J1255">
        <v>227.55</v>
      </c>
      <c r="K1255">
        <v>32.479999999999997</v>
      </c>
      <c r="L1255" t="s">
        <v>54</v>
      </c>
      <c r="M1255" t="s">
        <v>101</v>
      </c>
      <c r="N1255" s="5" t="s">
        <v>102</v>
      </c>
      <c r="O1255" t="s">
        <v>28</v>
      </c>
      <c r="P1255" t="s">
        <v>32</v>
      </c>
      <c r="Q1255" t="s">
        <v>46</v>
      </c>
      <c r="R1255">
        <v>0.68</v>
      </c>
      <c r="S1255" s="1">
        <v>41188</v>
      </c>
      <c r="T1255" t="str">
        <f t="shared" si="39"/>
        <v>06-Oct-2012</v>
      </c>
    </row>
    <row r="1256" spans="1:20" x14ac:dyDescent="0.3">
      <c r="A1256">
        <v>9954</v>
      </c>
      <c r="B1256" s="1">
        <v>39983</v>
      </c>
      <c r="C1256" t="s">
        <v>31</v>
      </c>
      <c r="D1256" t="str">
        <f t="shared" si="38"/>
        <v>19-Jun-2009</v>
      </c>
      <c r="E1256">
        <v>36</v>
      </c>
      <c r="F1256" s="13">
        <v>10122.719999999999</v>
      </c>
      <c r="G1256">
        <v>7.0000000000000007E-2</v>
      </c>
      <c r="H1256" t="s">
        <v>24</v>
      </c>
      <c r="I1256" s="13">
        <v>-381.16</v>
      </c>
      <c r="J1256">
        <v>280.98</v>
      </c>
      <c r="K1256">
        <v>57</v>
      </c>
      <c r="L1256" t="s">
        <v>325</v>
      </c>
      <c r="M1256" t="s">
        <v>101</v>
      </c>
      <c r="N1256" s="5" t="s">
        <v>102</v>
      </c>
      <c r="O1256" t="s">
        <v>28</v>
      </c>
      <c r="P1256" t="s">
        <v>32</v>
      </c>
      <c r="Q1256" t="s">
        <v>56</v>
      </c>
      <c r="R1256">
        <v>0.78</v>
      </c>
      <c r="S1256" s="1">
        <v>39984</v>
      </c>
      <c r="T1256" t="str">
        <f t="shared" si="39"/>
        <v>20-Jun-2009</v>
      </c>
    </row>
    <row r="1257" spans="1:20" x14ac:dyDescent="0.3">
      <c r="A1257">
        <v>56708</v>
      </c>
      <c r="B1257" s="1">
        <v>41245</v>
      </c>
      <c r="C1257" t="s">
        <v>31</v>
      </c>
      <c r="D1257" t="str">
        <f t="shared" si="38"/>
        <v>02-Dec-2012</v>
      </c>
      <c r="E1257">
        <v>36</v>
      </c>
      <c r="F1257" s="13">
        <v>10006.280000000001</v>
      </c>
      <c r="G1257">
        <v>0.1</v>
      </c>
      <c r="H1257" t="s">
        <v>24</v>
      </c>
      <c r="I1257" s="13">
        <v>-760.98</v>
      </c>
      <c r="J1257">
        <v>286.85000000000002</v>
      </c>
      <c r="K1257">
        <v>61.76</v>
      </c>
      <c r="L1257" t="s">
        <v>140</v>
      </c>
      <c r="M1257" t="s">
        <v>101</v>
      </c>
      <c r="N1257" s="5" t="s">
        <v>102</v>
      </c>
      <c r="O1257" t="s">
        <v>28</v>
      </c>
      <c r="P1257" t="s">
        <v>32</v>
      </c>
      <c r="Q1257" t="s">
        <v>46</v>
      </c>
      <c r="R1257">
        <v>0.78</v>
      </c>
      <c r="S1257" s="1">
        <v>41245</v>
      </c>
      <c r="T1257" t="str">
        <f t="shared" si="39"/>
        <v>02-Dec-2012</v>
      </c>
    </row>
    <row r="1258" spans="1:20" x14ac:dyDescent="0.3">
      <c r="A1258">
        <v>22663</v>
      </c>
      <c r="B1258" s="1">
        <v>40919</v>
      </c>
      <c r="C1258" t="s">
        <v>18</v>
      </c>
      <c r="D1258" t="str">
        <f t="shared" si="38"/>
        <v>11-Jan-2012</v>
      </c>
      <c r="E1258">
        <v>35</v>
      </c>
      <c r="F1258" s="13">
        <v>9843.11</v>
      </c>
      <c r="G1258">
        <v>7.0000000000000007E-2</v>
      </c>
      <c r="H1258" t="s">
        <v>24</v>
      </c>
      <c r="I1258" s="13">
        <v>-384.6</v>
      </c>
      <c r="J1258">
        <v>280.98</v>
      </c>
      <c r="K1258">
        <v>57</v>
      </c>
      <c r="L1258" t="s">
        <v>159</v>
      </c>
      <c r="M1258" t="s">
        <v>101</v>
      </c>
      <c r="N1258" s="5" t="s">
        <v>102</v>
      </c>
      <c r="O1258" t="s">
        <v>28</v>
      </c>
      <c r="P1258" t="s">
        <v>32</v>
      </c>
      <c r="Q1258" t="s">
        <v>56</v>
      </c>
      <c r="R1258">
        <v>0.78</v>
      </c>
      <c r="S1258" s="1">
        <v>40919</v>
      </c>
      <c r="T1258" t="str">
        <f t="shared" si="39"/>
        <v>11-Jan-2012</v>
      </c>
    </row>
    <row r="1259" spans="1:20" x14ac:dyDescent="0.3">
      <c r="A1259">
        <v>47493</v>
      </c>
      <c r="B1259" s="1">
        <v>39855</v>
      </c>
      <c r="C1259" t="s">
        <v>43</v>
      </c>
      <c r="D1259" t="str">
        <f t="shared" si="38"/>
        <v>11-Feb-2009</v>
      </c>
      <c r="E1259">
        <v>36</v>
      </c>
      <c r="F1259" s="13">
        <v>9757.48</v>
      </c>
      <c r="G1259">
        <v>7.0000000000000007E-2</v>
      </c>
      <c r="H1259" t="s">
        <v>24</v>
      </c>
      <c r="I1259" s="13">
        <v>-96.05</v>
      </c>
      <c r="J1259">
        <v>270.98</v>
      </c>
      <c r="K1259">
        <v>50</v>
      </c>
      <c r="L1259" t="s">
        <v>326</v>
      </c>
      <c r="M1259" t="s">
        <v>101</v>
      </c>
      <c r="N1259" s="5" t="s">
        <v>102</v>
      </c>
      <c r="O1259" t="s">
        <v>28</v>
      </c>
      <c r="P1259" t="s">
        <v>32</v>
      </c>
      <c r="Q1259" t="s">
        <v>56</v>
      </c>
      <c r="R1259">
        <v>0.77</v>
      </c>
      <c r="S1259" s="1">
        <v>39857</v>
      </c>
      <c r="T1259" t="str">
        <f t="shared" si="39"/>
        <v>13-Feb-2009</v>
      </c>
    </row>
    <row r="1260" spans="1:20" x14ac:dyDescent="0.3">
      <c r="A1260">
        <v>20135</v>
      </c>
      <c r="B1260" s="1">
        <v>39994</v>
      </c>
      <c r="C1260" t="s">
        <v>43</v>
      </c>
      <c r="D1260" t="str">
        <f t="shared" si="38"/>
        <v>30-Jun-2009</v>
      </c>
      <c r="E1260">
        <v>28</v>
      </c>
      <c r="F1260" s="13">
        <v>9601.94</v>
      </c>
      <c r="G1260">
        <v>0.08</v>
      </c>
      <c r="H1260" t="s">
        <v>24</v>
      </c>
      <c r="I1260" s="13">
        <v>2428.59</v>
      </c>
      <c r="J1260">
        <v>349.45</v>
      </c>
      <c r="K1260">
        <v>60</v>
      </c>
      <c r="L1260" t="s">
        <v>324</v>
      </c>
      <c r="M1260" t="s">
        <v>101</v>
      </c>
      <c r="N1260" s="5" t="s">
        <v>102</v>
      </c>
      <c r="O1260" t="s">
        <v>28</v>
      </c>
      <c r="P1260" t="s">
        <v>32</v>
      </c>
      <c r="Q1260" t="s">
        <v>46</v>
      </c>
      <c r="S1260" s="1">
        <v>39996</v>
      </c>
      <c r="T1260" t="str">
        <f t="shared" si="39"/>
        <v>02-Jul-2009</v>
      </c>
    </row>
    <row r="1261" spans="1:20" x14ac:dyDescent="0.3">
      <c r="A1261">
        <v>59684</v>
      </c>
      <c r="B1261" s="1">
        <v>40541</v>
      </c>
      <c r="C1261" t="s">
        <v>38</v>
      </c>
      <c r="D1261" t="str">
        <f t="shared" si="38"/>
        <v>29-Dec-2010</v>
      </c>
      <c r="E1261">
        <v>50</v>
      </c>
      <c r="F1261" s="13">
        <v>9059.9</v>
      </c>
      <c r="G1261">
        <v>7.0000000000000007E-2</v>
      </c>
      <c r="H1261" t="s">
        <v>24</v>
      </c>
      <c r="I1261" s="13">
        <v>778.01</v>
      </c>
      <c r="J1261">
        <v>180.98</v>
      </c>
      <c r="K1261">
        <v>55.24</v>
      </c>
      <c r="L1261" t="s">
        <v>324</v>
      </c>
      <c r="M1261" t="s">
        <v>101</v>
      </c>
      <c r="N1261" s="5" t="s">
        <v>102</v>
      </c>
      <c r="O1261" t="s">
        <v>28</v>
      </c>
      <c r="P1261" t="s">
        <v>21</v>
      </c>
      <c r="Q1261" t="s">
        <v>25</v>
      </c>
      <c r="R1261">
        <v>0.56999999999999995</v>
      </c>
      <c r="S1261" s="1">
        <v>40558</v>
      </c>
      <c r="T1261" t="str">
        <f t="shared" si="39"/>
        <v>15-Jan-2011</v>
      </c>
    </row>
    <row r="1262" spans="1:20" x14ac:dyDescent="0.3">
      <c r="A1262">
        <v>48167</v>
      </c>
      <c r="B1262" s="1">
        <v>40062</v>
      </c>
      <c r="C1262" t="s">
        <v>43</v>
      </c>
      <c r="D1262" t="str">
        <f t="shared" si="38"/>
        <v>06-Sep-2009</v>
      </c>
      <c r="E1262">
        <v>27</v>
      </c>
      <c r="F1262" s="13">
        <v>8817.7099999999991</v>
      </c>
      <c r="G1262">
        <v>0.09</v>
      </c>
      <c r="H1262" t="s">
        <v>24</v>
      </c>
      <c r="I1262" s="13">
        <v>-2946.05</v>
      </c>
      <c r="J1262">
        <v>349.45</v>
      </c>
      <c r="K1262">
        <v>60</v>
      </c>
      <c r="L1262" t="s">
        <v>149</v>
      </c>
      <c r="M1262" t="s">
        <v>101</v>
      </c>
      <c r="N1262" s="5" t="s">
        <v>102</v>
      </c>
      <c r="O1262" t="s">
        <v>28</v>
      </c>
      <c r="P1262" t="s">
        <v>32</v>
      </c>
      <c r="Q1262" t="s">
        <v>46</v>
      </c>
      <c r="S1262" s="1">
        <v>40063</v>
      </c>
      <c r="T1262" t="str">
        <f t="shared" si="39"/>
        <v>07-Sep-2009</v>
      </c>
    </row>
    <row r="1263" spans="1:20" x14ac:dyDescent="0.3">
      <c r="A1263">
        <v>47622</v>
      </c>
      <c r="B1263" s="1">
        <v>41164</v>
      </c>
      <c r="C1263" t="s">
        <v>31</v>
      </c>
      <c r="D1263" t="str">
        <f t="shared" si="38"/>
        <v>12-Sep-2012</v>
      </c>
      <c r="E1263">
        <v>41</v>
      </c>
      <c r="F1263" s="13">
        <v>8188.19</v>
      </c>
      <c r="G1263">
        <v>0.05</v>
      </c>
      <c r="H1263" t="s">
        <v>19</v>
      </c>
      <c r="I1263" s="13">
        <v>3702</v>
      </c>
      <c r="J1263">
        <v>204.1</v>
      </c>
      <c r="K1263">
        <v>13.99</v>
      </c>
      <c r="L1263" t="s">
        <v>320</v>
      </c>
      <c r="M1263" t="s">
        <v>101</v>
      </c>
      <c r="N1263" s="5" t="s">
        <v>102</v>
      </c>
      <c r="O1263" t="s">
        <v>28</v>
      </c>
      <c r="P1263" t="s">
        <v>29</v>
      </c>
      <c r="Q1263" t="s">
        <v>74</v>
      </c>
      <c r="R1263">
        <v>0.37</v>
      </c>
      <c r="S1263" s="1">
        <v>41165</v>
      </c>
      <c r="T1263" t="str">
        <f t="shared" si="39"/>
        <v>13-Sep-2012</v>
      </c>
    </row>
    <row r="1264" spans="1:20" x14ac:dyDescent="0.3">
      <c r="A1264">
        <v>53477</v>
      </c>
      <c r="B1264" s="1">
        <v>41034</v>
      </c>
      <c r="C1264" t="s">
        <v>23</v>
      </c>
      <c r="D1264" t="str">
        <f t="shared" si="38"/>
        <v>05-May-2012</v>
      </c>
      <c r="E1264">
        <v>27</v>
      </c>
      <c r="F1264" s="13">
        <v>8161.93</v>
      </c>
      <c r="G1264">
        <v>0.06</v>
      </c>
      <c r="H1264" t="s">
        <v>24</v>
      </c>
      <c r="I1264" s="13">
        <v>1261.44</v>
      </c>
      <c r="J1264">
        <v>300.98</v>
      </c>
      <c r="K1264">
        <v>64.73</v>
      </c>
      <c r="L1264" t="s">
        <v>90</v>
      </c>
      <c r="M1264" t="s">
        <v>101</v>
      </c>
      <c r="N1264" s="5" t="s">
        <v>102</v>
      </c>
      <c r="O1264" t="s">
        <v>28</v>
      </c>
      <c r="P1264" t="s">
        <v>32</v>
      </c>
      <c r="Q1264" t="s">
        <v>56</v>
      </c>
      <c r="R1264">
        <v>0.56000000000000005</v>
      </c>
      <c r="S1264" s="1">
        <v>41035</v>
      </c>
      <c r="T1264" t="str">
        <f t="shared" si="39"/>
        <v>06-May-2012</v>
      </c>
    </row>
    <row r="1265" spans="1:20" x14ac:dyDescent="0.3">
      <c r="A1265">
        <v>48614</v>
      </c>
      <c r="B1265" s="1">
        <v>41060</v>
      </c>
      <c r="C1265" t="s">
        <v>43</v>
      </c>
      <c r="D1265" t="str">
        <f t="shared" si="38"/>
        <v>31-May-2012</v>
      </c>
      <c r="E1265">
        <v>46</v>
      </c>
      <c r="F1265" s="13">
        <v>7965.9025000000001</v>
      </c>
      <c r="G1265">
        <v>0.01</v>
      </c>
      <c r="H1265" t="s">
        <v>19</v>
      </c>
      <c r="I1265" s="13">
        <v>2311.96</v>
      </c>
      <c r="J1265">
        <v>195.99</v>
      </c>
      <c r="K1265">
        <v>8.99</v>
      </c>
      <c r="L1265" t="s">
        <v>151</v>
      </c>
      <c r="M1265" t="s">
        <v>101</v>
      </c>
      <c r="N1265" s="5" t="s">
        <v>102</v>
      </c>
      <c r="O1265" t="s">
        <v>28</v>
      </c>
      <c r="P1265" t="s">
        <v>29</v>
      </c>
      <c r="Q1265" t="s">
        <v>30</v>
      </c>
      <c r="R1265">
        <v>0.6</v>
      </c>
      <c r="S1265" s="1">
        <v>41060</v>
      </c>
      <c r="T1265" t="str">
        <f t="shared" si="39"/>
        <v>31-May-2012</v>
      </c>
    </row>
    <row r="1266" spans="1:20" x14ac:dyDescent="0.3">
      <c r="A1266">
        <v>35813</v>
      </c>
      <c r="B1266" s="1">
        <v>39924</v>
      </c>
      <c r="C1266" t="s">
        <v>43</v>
      </c>
      <c r="D1266" t="str">
        <f t="shared" si="38"/>
        <v>21-Apr-2009</v>
      </c>
      <c r="E1266">
        <v>21</v>
      </c>
      <c r="F1266" s="13">
        <v>7841.57</v>
      </c>
      <c r="G1266">
        <v>0.05</v>
      </c>
      <c r="H1266" t="s">
        <v>35</v>
      </c>
      <c r="I1266" s="13">
        <v>2347.1799999999998</v>
      </c>
      <c r="J1266">
        <v>363.25</v>
      </c>
      <c r="K1266">
        <v>19.989999999999998</v>
      </c>
      <c r="L1266" t="s">
        <v>335</v>
      </c>
      <c r="M1266" t="s">
        <v>101</v>
      </c>
      <c r="N1266" s="5" t="s">
        <v>102</v>
      </c>
      <c r="O1266" t="s">
        <v>28</v>
      </c>
      <c r="P1266" t="s">
        <v>21</v>
      </c>
      <c r="Q1266" t="s">
        <v>25</v>
      </c>
      <c r="R1266">
        <v>0.56999999999999995</v>
      </c>
      <c r="S1266" s="1">
        <v>39924</v>
      </c>
      <c r="T1266" t="str">
        <f t="shared" si="39"/>
        <v>21-Apr-2009</v>
      </c>
    </row>
    <row r="1267" spans="1:20" x14ac:dyDescent="0.3">
      <c r="A1267">
        <v>22663</v>
      </c>
      <c r="B1267" s="1">
        <v>40919</v>
      </c>
      <c r="C1267" t="s">
        <v>18</v>
      </c>
      <c r="D1267" t="str">
        <f t="shared" si="38"/>
        <v>11-Jan-2012</v>
      </c>
      <c r="E1267">
        <v>15</v>
      </c>
      <c r="F1267" s="13">
        <v>7190.06</v>
      </c>
      <c r="G1267">
        <v>0.08</v>
      </c>
      <c r="H1267" t="s">
        <v>24</v>
      </c>
      <c r="I1267" s="13">
        <v>1908.45</v>
      </c>
      <c r="J1267">
        <v>500.98</v>
      </c>
      <c r="K1267">
        <v>28.14</v>
      </c>
      <c r="L1267" t="s">
        <v>159</v>
      </c>
      <c r="M1267" t="s">
        <v>101</v>
      </c>
      <c r="N1267" s="5" t="s">
        <v>102</v>
      </c>
      <c r="O1267" t="s">
        <v>28</v>
      </c>
      <c r="P1267" t="s">
        <v>29</v>
      </c>
      <c r="Q1267" t="s">
        <v>74</v>
      </c>
      <c r="R1267">
        <v>0.38</v>
      </c>
      <c r="S1267" s="1">
        <v>40924</v>
      </c>
      <c r="T1267" t="str">
        <f t="shared" si="39"/>
        <v>16-Jan-2012</v>
      </c>
    </row>
    <row r="1268" spans="1:20" x14ac:dyDescent="0.3">
      <c r="A1268">
        <v>16321</v>
      </c>
      <c r="B1268" s="1">
        <v>40087</v>
      </c>
      <c r="C1268" t="s">
        <v>31</v>
      </c>
      <c r="D1268" t="str">
        <f t="shared" si="38"/>
        <v>01-Oct-2009</v>
      </c>
      <c r="E1268">
        <v>50</v>
      </c>
      <c r="F1268" s="13">
        <v>7156.56</v>
      </c>
      <c r="G1268">
        <v>0.03</v>
      </c>
      <c r="H1268" t="s">
        <v>19</v>
      </c>
      <c r="I1268" s="13">
        <v>1871.26</v>
      </c>
      <c r="J1268">
        <v>142.86000000000001</v>
      </c>
      <c r="K1268">
        <v>19.989999999999998</v>
      </c>
      <c r="L1268" t="s">
        <v>80</v>
      </c>
      <c r="M1268" t="s">
        <v>101</v>
      </c>
      <c r="N1268" s="5" t="s">
        <v>102</v>
      </c>
      <c r="O1268" t="s">
        <v>28</v>
      </c>
      <c r="P1268" t="s">
        <v>21</v>
      </c>
      <c r="Q1268" t="s">
        <v>22</v>
      </c>
      <c r="R1268">
        <v>0.56000000000000005</v>
      </c>
      <c r="S1268" s="1">
        <v>40089</v>
      </c>
      <c r="T1268" t="str">
        <f t="shared" si="39"/>
        <v>03-Oct-2009</v>
      </c>
    </row>
    <row r="1269" spans="1:20" x14ac:dyDescent="0.3">
      <c r="A1269">
        <v>46147</v>
      </c>
      <c r="B1269" s="1">
        <v>40558</v>
      </c>
      <c r="C1269" t="s">
        <v>43</v>
      </c>
      <c r="D1269" t="str">
        <f t="shared" si="38"/>
        <v>15-Jan-2011</v>
      </c>
      <c r="E1269">
        <v>12</v>
      </c>
      <c r="F1269" s="13">
        <v>6502.46</v>
      </c>
      <c r="G1269">
        <v>0.09</v>
      </c>
      <c r="H1269" t="s">
        <v>24</v>
      </c>
      <c r="I1269" s="13">
        <v>261.66000000000003</v>
      </c>
      <c r="J1269">
        <v>550.98</v>
      </c>
      <c r="K1269">
        <v>64.59</v>
      </c>
      <c r="L1269" t="s">
        <v>329</v>
      </c>
      <c r="M1269" t="s">
        <v>101</v>
      </c>
      <c r="N1269" s="5" t="s">
        <v>102</v>
      </c>
      <c r="O1269" t="s">
        <v>28</v>
      </c>
      <c r="P1269" t="s">
        <v>32</v>
      </c>
      <c r="Q1269" t="s">
        <v>46</v>
      </c>
      <c r="R1269">
        <v>0.66</v>
      </c>
      <c r="S1269" s="1">
        <v>40560</v>
      </c>
      <c r="T1269" t="str">
        <f t="shared" si="39"/>
        <v>17-Jan-2011</v>
      </c>
    </row>
    <row r="1270" spans="1:20" x14ac:dyDescent="0.3">
      <c r="A1270">
        <v>35782</v>
      </c>
      <c r="B1270" s="1">
        <v>40760</v>
      </c>
      <c r="C1270" t="s">
        <v>18</v>
      </c>
      <c r="D1270" t="str">
        <f t="shared" si="38"/>
        <v>05-Aug-2011</v>
      </c>
      <c r="E1270">
        <v>42</v>
      </c>
      <c r="F1270" s="13">
        <v>6427.18</v>
      </c>
      <c r="G1270">
        <v>0.09</v>
      </c>
      <c r="H1270" t="s">
        <v>19</v>
      </c>
      <c r="I1270" s="13">
        <v>2097.1</v>
      </c>
      <c r="J1270">
        <v>165.98</v>
      </c>
      <c r="K1270">
        <v>19.989999999999998</v>
      </c>
      <c r="L1270" t="s">
        <v>255</v>
      </c>
      <c r="M1270" t="s">
        <v>101</v>
      </c>
      <c r="N1270" s="5" t="s">
        <v>102</v>
      </c>
      <c r="O1270" t="s">
        <v>28</v>
      </c>
      <c r="P1270" t="s">
        <v>21</v>
      </c>
      <c r="Q1270" t="s">
        <v>26</v>
      </c>
      <c r="R1270">
        <v>0.4</v>
      </c>
      <c r="S1270" s="1">
        <v>40767</v>
      </c>
      <c r="T1270" t="str">
        <f t="shared" si="39"/>
        <v>12-Aug-2011</v>
      </c>
    </row>
    <row r="1271" spans="1:20" x14ac:dyDescent="0.3">
      <c r="A1271">
        <v>27778</v>
      </c>
      <c r="B1271" s="1">
        <v>40788</v>
      </c>
      <c r="C1271" t="s">
        <v>43</v>
      </c>
      <c r="D1271" t="str">
        <f t="shared" si="38"/>
        <v>02-Sep-2011</v>
      </c>
      <c r="E1271">
        <v>10</v>
      </c>
      <c r="F1271" s="13">
        <v>6350.29</v>
      </c>
      <c r="G1271">
        <v>0.02</v>
      </c>
      <c r="H1271" t="s">
        <v>19</v>
      </c>
      <c r="I1271" s="13">
        <v>-735.97</v>
      </c>
      <c r="J1271">
        <v>599.99</v>
      </c>
      <c r="K1271">
        <v>24.49</v>
      </c>
      <c r="L1271" t="s">
        <v>80</v>
      </c>
      <c r="M1271" t="s">
        <v>101</v>
      </c>
      <c r="N1271" s="5" t="s">
        <v>102</v>
      </c>
      <c r="O1271" t="s">
        <v>28</v>
      </c>
      <c r="P1271" t="s">
        <v>29</v>
      </c>
      <c r="Q1271" t="s">
        <v>51</v>
      </c>
      <c r="R1271">
        <v>0.5</v>
      </c>
      <c r="S1271" s="1">
        <v>40790</v>
      </c>
      <c r="T1271" t="str">
        <f t="shared" si="39"/>
        <v>04-Sep-2011</v>
      </c>
    </row>
    <row r="1272" spans="1:20" x14ac:dyDescent="0.3">
      <c r="A1272">
        <v>10695</v>
      </c>
      <c r="B1272" s="1">
        <v>40665</v>
      </c>
      <c r="C1272" t="s">
        <v>23</v>
      </c>
      <c r="D1272" t="str">
        <f t="shared" si="38"/>
        <v>02-May-2011</v>
      </c>
      <c r="E1272">
        <v>39</v>
      </c>
      <c r="F1272" s="13">
        <v>6330.0860000000002</v>
      </c>
      <c r="G1272">
        <v>0.1</v>
      </c>
      <c r="H1272" t="s">
        <v>19</v>
      </c>
      <c r="I1272" s="13">
        <v>1421.89</v>
      </c>
      <c r="J1272">
        <v>205.99</v>
      </c>
      <c r="K1272">
        <v>2.5</v>
      </c>
      <c r="L1272" t="s">
        <v>247</v>
      </c>
      <c r="M1272" t="s">
        <v>101</v>
      </c>
      <c r="N1272" s="5" t="s">
        <v>102</v>
      </c>
      <c r="O1272" t="s">
        <v>28</v>
      </c>
      <c r="P1272" t="s">
        <v>29</v>
      </c>
      <c r="Q1272" t="s">
        <v>30</v>
      </c>
      <c r="R1272">
        <v>0.59</v>
      </c>
      <c r="S1272" s="1">
        <v>40666</v>
      </c>
      <c r="T1272" t="str">
        <f t="shared" si="39"/>
        <v>03-May-2011</v>
      </c>
    </row>
    <row r="1273" spans="1:20" x14ac:dyDescent="0.3">
      <c r="A1273">
        <v>15296</v>
      </c>
      <c r="B1273" s="1">
        <v>41128</v>
      </c>
      <c r="C1273" t="s">
        <v>31</v>
      </c>
      <c r="D1273" t="str">
        <f t="shared" si="38"/>
        <v>07-Aug-2012</v>
      </c>
      <c r="E1273">
        <v>38</v>
      </c>
      <c r="F1273" s="13">
        <v>6216.6</v>
      </c>
      <c r="G1273">
        <v>0.02</v>
      </c>
      <c r="H1273" t="s">
        <v>19</v>
      </c>
      <c r="I1273" s="13">
        <v>1082.21</v>
      </c>
      <c r="J1273">
        <v>161.55000000000001</v>
      </c>
      <c r="K1273">
        <v>19.989999999999998</v>
      </c>
      <c r="L1273" t="s">
        <v>330</v>
      </c>
      <c r="M1273" t="s">
        <v>101</v>
      </c>
      <c r="N1273" s="5" t="s">
        <v>102</v>
      </c>
      <c r="O1273" t="s">
        <v>28</v>
      </c>
      <c r="P1273" t="s">
        <v>21</v>
      </c>
      <c r="Q1273" t="s">
        <v>22</v>
      </c>
      <c r="R1273">
        <v>0.66</v>
      </c>
      <c r="S1273" s="1">
        <v>41130</v>
      </c>
      <c r="T1273" t="str">
        <f t="shared" si="39"/>
        <v>09-Aug-2012</v>
      </c>
    </row>
    <row r="1274" spans="1:20" x14ac:dyDescent="0.3">
      <c r="A1274">
        <v>41542</v>
      </c>
      <c r="B1274" s="1">
        <v>40082</v>
      </c>
      <c r="C1274" t="s">
        <v>23</v>
      </c>
      <c r="D1274" t="str">
        <f t="shared" si="38"/>
        <v>26-Sep-2009</v>
      </c>
      <c r="E1274">
        <v>47</v>
      </c>
      <c r="F1274" s="13">
        <v>6181.48</v>
      </c>
      <c r="G1274">
        <v>0.03</v>
      </c>
      <c r="H1274" t="s">
        <v>24</v>
      </c>
      <c r="I1274" s="13">
        <v>-194.83</v>
      </c>
      <c r="J1274">
        <v>124.49</v>
      </c>
      <c r="K1274">
        <v>51.94</v>
      </c>
      <c r="L1274" t="s">
        <v>249</v>
      </c>
      <c r="M1274" t="s">
        <v>101</v>
      </c>
      <c r="N1274" s="5" t="s">
        <v>102</v>
      </c>
      <c r="O1274" t="s">
        <v>28</v>
      </c>
      <c r="P1274" t="s">
        <v>32</v>
      </c>
      <c r="Q1274" t="s">
        <v>46</v>
      </c>
      <c r="R1274">
        <v>0.63</v>
      </c>
      <c r="S1274" s="1">
        <v>40083</v>
      </c>
      <c r="T1274" t="str">
        <f t="shared" si="39"/>
        <v>27-Sep-2009</v>
      </c>
    </row>
    <row r="1275" spans="1:20" x14ac:dyDescent="0.3">
      <c r="A1275">
        <v>3492</v>
      </c>
      <c r="B1275" s="1">
        <v>40140</v>
      </c>
      <c r="C1275" t="s">
        <v>18</v>
      </c>
      <c r="D1275" t="str">
        <f t="shared" si="38"/>
        <v>23-Nov-2009</v>
      </c>
      <c r="E1275">
        <v>49</v>
      </c>
      <c r="F1275" s="13">
        <v>6177.53</v>
      </c>
      <c r="G1275">
        <v>0.1</v>
      </c>
      <c r="H1275" t="s">
        <v>24</v>
      </c>
      <c r="I1275" s="13">
        <v>-1195.1199999999999</v>
      </c>
      <c r="J1275">
        <v>130.97999999999999</v>
      </c>
      <c r="K1275">
        <v>54.74</v>
      </c>
      <c r="L1275" t="s">
        <v>80</v>
      </c>
      <c r="M1275" t="s">
        <v>101</v>
      </c>
      <c r="N1275" s="5" t="s">
        <v>102</v>
      </c>
      <c r="O1275" t="s">
        <v>28</v>
      </c>
      <c r="P1275" t="s">
        <v>32</v>
      </c>
      <c r="Q1275" t="s">
        <v>45</v>
      </c>
      <c r="R1275">
        <v>0.69</v>
      </c>
      <c r="S1275" s="1">
        <v>40140</v>
      </c>
      <c r="T1275" t="str">
        <f t="shared" si="39"/>
        <v>23-Nov-2009</v>
      </c>
    </row>
    <row r="1276" spans="1:20" x14ac:dyDescent="0.3">
      <c r="A1276">
        <v>49126</v>
      </c>
      <c r="B1276" s="1">
        <v>40734</v>
      </c>
      <c r="C1276" t="s">
        <v>18</v>
      </c>
      <c r="D1276" t="str">
        <f t="shared" si="38"/>
        <v>10-Jul-2011</v>
      </c>
      <c r="E1276">
        <v>33</v>
      </c>
      <c r="F1276" s="13">
        <v>5661.08</v>
      </c>
      <c r="G1276">
        <v>0</v>
      </c>
      <c r="H1276" t="s">
        <v>24</v>
      </c>
      <c r="I1276" s="13">
        <v>1055.47</v>
      </c>
      <c r="J1276">
        <v>160.97999999999999</v>
      </c>
      <c r="K1276">
        <v>30</v>
      </c>
      <c r="L1276" t="s">
        <v>129</v>
      </c>
      <c r="M1276" t="s">
        <v>101</v>
      </c>
      <c r="N1276" s="5" t="s">
        <v>102</v>
      </c>
      <c r="O1276" t="s">
        <v>28</v>
      </c>
      <c r="P1276" t="s">
        <v>32</v>
      </c>
      <c r="Q1276" t="s">
        <v>56</v>
      </c>
      <c r="R1276">
        <v>0.62</v>
      </c>
      <c r="S1276" s="1">
        <v>40741</v>
      </c>
      <c r="T1276" t="str">
        <f t="shared" si="39"/>
        <v>17-Jul-2011</v>
      </c>
    </row>
    <row r="1277" spans="1:20" x14ac:dyDescent="0.3">
      <c r="A1277">
        <v>16289</v>
      </c>
      <c r="B1277" s="1">
        <v>40376</v>
      </c>
      <c r="C1277" t="s">
        <v>23</v>
      </c>
      <c r="D1277" t="str">
        <f t="shared" si="38"/>
        <v>17-Jul-2010</v>
      </c>
      <c r="E1277">
        <v>49</v>
      </c>
      <c r="F1277" s="13">
        <v>5610.6120000000001</v>
      </c>
      <c r="G1277">
        <v>0.01</v>
      </c>
      <c r="H1277" t="s">
        <v>19</v>
      </c>
      <c r="I1277" s="13">
        <v>2040.87</v>
      </c>
      <c r="J1277">
        <v>125.99</v>
      </c>
      <c r="K1277">
        <v>2.5</v>
      </c>
      <c r="L1277" t="s">
        <v>318</v>
      </c>
      <c r="M1277" t="s">
        <v>101</v>
      </c>
      <c r="N1277" s="5" t="s">
        <v>102</v>
      </c>
      <c r="O1277" t="s">
        <v>28</v>
      </c>
      <c r="P1277" t="s">
        <v>29</v>
      </c>
      <c r="Q1277" t="s">
        <v>30</v>
      </c>
      <c r="R1277">
        <v>0.57999999999999996</v>
      </c>
      <c r="S1277" s="1">
        <v>40378</v>
      </c>
      <c r="T1277" t="str">
        <f t="shared" si="39"/>
        <v>19-Jul-2010</v>
      </c>
    </row>
    <row r="1278" spans="1:20" x14ac:dyDescent="0.3">
      <c r="A1278">
        <v>50054</v>
      </c>
      <c r="B1278" s="1">
        <v>40427</v>
      </c>
      <c r="C1278" t="s">
        <v>31</v>
      </c>
      <c r="D1278" t="str">
        <f t="shared" si="38"/>
        <v>06-Sep-2010</v>
      </c>
      <c r="E1278">
        <v>50</v>
      </c>
      <c r="F1278" s="13">
        <v>5369.46</v>
      </c>
      <c r="G1278">
        <v>0</v>
      </c>
      <c r="H1278" t="s">
        <v>19</v>
      </c>
      <c r="I1278" s="13">
        <v>1370.26</v>
      </c>
      <c r="J1278">
        <v>99.99</v>
      </c>
      <c r="K1278">
        <v>19.989999999999998</v>
      </c>
      <c r="L1278" t="s">
        <v>265</v>
      </c>
      <c r="M1278" t="s">
        <v>101</v>
      </c>
      <c r="N1278" s="5" t="s">
        <v>102</v>
      </c>
      <c r="O1278" t="s">
        <v>28</v>
      </c>
      <c r="P1278" t="s">
        <v>29</v>
      </c>
      <c r="Q1278" t="s">
        <v>74</v>
      </c>
      <c r="R1278">
        <v>0.52</v>
      </c>
      <c r="S1278" s="1">
        <v>40429</v>
      </c>
      <c r="T1278" t="str">
        <f t="shared" si="39"/>
        <v>08-Sep-2010</v>
      </c>
    </row>
    <row r="1279" spans="1:20" x14ac:dyDescent="0.3">
      <c r="A1279">
        <v>15872</v>
      </c>
      <c r="B1279" s="1">
        <v>41212</v>
      </c>
      <c r="C1279" t="s">
        <v>31</v>
      </c>
      <c r="D1279" t="str">
        <f t="shared" si="38"/>
        <v>30-Oct-2012</v>
      </c>
      <c r="E1279">
        <v>48</v>
      </c>
      <c r="F1279" s="13">
        <v>5198.12</v>
      </c>
      <c r="G1279">
        <v>0.01</v>
      </c>
      <c r="H1279" t="s">
        <v>24</v>
      </c>
      <c r="I1279" s="13">
        <v>1481.67</v>
      </c>
      <c r="J1279">
        <v>100.98</v>
      </c>
      <c r="K1279">
        <v>15.66</v>
      </c>
      <c r="L1279" t="s">
        <v>155</v>
      </c>
      <c r="M1279" t="s">
        <v>101</v>
      </c>
      <c r="N1279" s="5" t="s">
        <v>102</v>
      </c>
      <c r="O1279" t="s">
        <v>28</v>
      </c>
      <c r="P1279" t="s">
        <v>21</v>
      </c>
      <c r="Q1279" t="s">
        <v>25</v>
      </c>
      <c r="R1279">
        <v>0.56999999999999995</v>
      </c>
      <c r="S1279" s="1">
        <v>41212</v>
      </c>
      <c r="T1279" t="str">
        <f t="shared" si="39"/>
        <v>30-Oct-2012</v>
      </c>
    </row>
    <row r="1280" spans="1:20" x14ac:dyDescent="0.3">
      <c r="A1280">
        <v>49990</v>
      </c>
      <c r="B1280" s="1">
        <v>40061</v>
      </c>
      <c r="C1280" t="s">
        <v>31</v>
      </c>
      <c r="D1280" t="str">
        <f t="shared" si="38"/>
        <v>05-Sep-2009</v>
      </c>
      <c r="E1280">
        <v>11</v>
      </c>
      <c r="F1280" s="13">
        <v>5155.3500000000004</v>
      </c>
      <c r="G1280">
        <v>0</v>
      </c>
      <c r="H1280" t="s">
        <v>24</v>
      </c>
      <c r="I1280" s="13">
        <v>501.51</v>
      </c>
      <c r="J1280">
        <v>442.14</v>
      </c>
      <c r="K1280">
        <v>14.7</v>
      </c>
      <c r="L1280" t="s">
        <v>91</v>
      </c>
      <c r="M1280" t="s">
        <v>101</v>
      </c>
      <c r="N1280" s="5" t="s">
        <v>102</v>
      </c>
      <c r="O1280" t="s">
        <v>28</v>
      </c>
      <c r="P1280" t="s">
        <v>29</v>
      </c>
      <c r="Q1280" t="s">
        <v>74</v>
      </c>
      <c r="R1280">
        <v>0.56000000000000005</v>
      </c>
      <c r="S1280" s="1">
        <v>40061</v>
      </c>
      <c r="T1280" t="str">
        <f t="shared" si="39"/>
        <v>05-Sep-2009</v>
      </c>
    </row>
    <row r="1281" spans="1:20" x14ac:dyDescent="0.3">
      <c r="A1281">
        <v>28928</v>
      </c>
      <c r="B1281" s="1">
        <v>40298</v>
      </c>
      <c r="C1281" t="s">
        <v>18</v>
      </c>
      <c r="D1281" t="str">
        <f t="shared" si="38"/>
        <v>30-Apr-2010</v>
      </c>
      <c r="E1281">
        <v>22</v>
      </c>
      <c r="F1281" s="13">
        <v>5144.9399999999996</v>
      </c>
      <c r="G1281">
        <v>0.09</v>
      </c>
      <c r="H1281" t="s">
        <v>19</v>
      </c>
      <c r="I1281" s="13">
        <v>729.06</v>
      </c>
      <c r="J1281">
        <v>256.99</v>
      </c>
      <c r="K1281">
        <v>11.25</v>
      </c>
      <c r="L1281" t="s">
        <v>337</v>
      </c>
      <c r="M1281" t="s">
        <v>101</v>
      </c>
      <c r="N1281" s="5" t="s">
        <v>102</v>
      </c>
      <c r="O1281" t="s">
        <v>28</v>
      </c>
      <c r="P1281" t="s">
        <v>29</v>
      </c>
      <c r="Q1281" t="s">
        <v>41</v>
      </c>
      <c r="R1281">
        <v>0.51</v>
      </c>
      <c r="S1281" s="1">
        <v>40298</v>
      </c>
      <c r="T1281" t="str">
        <f t="shared" si="39"/>
        <v>30-Apr-2010</v>
      </c>
    </row>
    <row r="1282" spans="1:20" x14ac:dyDescent="0.3">
      <c r="A1282">
        <v>48167</v>
      </c>
      <c r="B1282" s="1">
        <v>40062</v>
      </c>
      <c r="C1282" t="s">
        <v>43</v>
      </c>
      <c r="D1282" t="str">
        <f t="shared" ref="D1282:D1345" si="40">TEXT(B1282, "dd-mmm-yyyy" )</f>
        <v>06-Sep-2009</v>
      </c>
      <c r="E1282">
        <v>43</v>
      </c>
      <c r="F1282" s="13">
        <v>5041.46</v>
      </c>
      <c r="G1282">
        <v>0.06</v>
      </c>
      <c r="H1282" t="s">
        <v>24</v>
      </c>
      <c r="I1282" s="13">
        <v>-2136.66</v>
      </c>
      <c r="J1282">
        <v>122.99</v>
      </c>
      <c r="K1282">
        <v>70.2</v>
      </c>
      <c r="L1282" t="s">
        <v>149</v>
      </c>
      <c r="M1282" t="s">
        <v>101</v>
      </c>
      <c r="N1282" s="5" t="s">
        <v>102</v>
      </c>
      <c r="O1282" t="s">
        <v>28</v>
      </c>
      <c r="P1282" t="s">
        <v>32</v>
      </c>
      <c r="Q1282" t="s">
        <v>56</v>
      </c>
      <c r="R1282">
        <v>0.74</v>
      </c>
      <c r="S1282" s="1">
        <v>40065</v>
      </c>
      <c r="T1282" t="str">
        <f t="shared" ref="T1282:T1345" si="41">TEXT(S1282, "dd-mmm-yyyy")</f>
        <v>09-Sep-2009</v>
      </c>
    </row>
    <row r="1283" spans="1:20" x14ac:dyDescent="0.3">
      <c r="A1283">
        <v>45248</v>
      </c>
      <c r="B1283" s="1">
        <v>40649</v>
      </c>
      <c r="C1283" t="s">
        <v>38</v>
      </c>
      <c r="D1283" t="str">
        <f t="shared" si="40"/>
        <v>16-Apr-2011</v>
      </c>
      <c r="E1283">
        <v>32</v>
      </c>
      <c r="F1283" s="13">
        <v>4941.7725</v>
      </c>
      <c r="G1283">
        <v>0.1</v>
      </c>
      <c r="H1283" t="s">
        <v>19</v>
      </c>
      <c r="I1283" s="13">
        <v>704.89</v>
      </c>
      <c r="J1283">
        <v>195.99</v>
      </c>
      <c r="K1283">
        <v>8.99</v>
      </c>
      <c r="L1283" t="s">
        <v>129</v>
      </c>
      <c r="M1283" t="s">
        <v>101</v>
      </c>
      <c r="N1283" s="5" t="s">
        <v>102</v>
      </c>
      <c r="O1283" t="s">
        <v>28</v>
      </c>
      <c r="P1283" t="s">
        <v>29</v>
      </c>
      <c r="Q1283" t="s">
        <v>30</v>
      </c>
      <c r="R1283">
        <v>0.6</v>
      </c>
      <c r="S1283" s="1">
        <v>40651</v>
      </c>
      <c r="T1283" t="str">
        <f t="shared" si="41"/>
        <v>18-Apr-2011</v>
      </c>
    </row>
    <row r="1284" spans="1:20" x14ac:dyDescent="0.3">
      <c r="A1284">
        <v>48837</v>
      </c>
      <c r="B1284" s="1">
        <v>40742</v>
      </c>
      <c r="C1284" t="s">
        <v>31</v>
      </c>
      <c r="D1284" t="str">
        <f t="shared" si="40"/>
        <v>18-Jul-2011</v>
      </c>
      <c r="E1284">
        <v>39</v>
      </c>
      <c r="F1284" s="13">
        <v>4799.7884999999997</v>
      </c>
      <c r="G1284">
        <v>0.09</v>
      </c>
      <c r="H1284" t="s">
        <v>19</v>
      </c>
      <c r="I1284" s="13">
        <v>1231.8900000000001</v>
      </c>
      <c r="J1284">
        <v>155.99</v>
      </c>
      <c r="K1284">
        <v>3.9</v>
      </c>
      <c r="L1284" t="s">
        <v>136</v>
      </c>
      <c r="M1284" t="s">
        <v>101</v>
      </c>
      <c r="N1284" s="5" t="s">
        <v>102</v>
      </c>
      <c r="O1284" t="s">
        <v>28</v>
      </c>
      <c r="P1284" t="s">
        <v>29</v>
      </c>
      <c r="Q1284" t="s">
        <v>30</v>
      </c>
      <c r="R1284">
        <v>0.55000000000000004</v>
      </c>
      <c r="S1284" s="1">
        <v>40744</v>
      </c>
      <c r="T1284" t="str">
        <f t="shared" si="41"/>
        <v>20-Jul-2011</v>
      </c>
    </row>
    <row r="1285" spans="1:20" x14ac:dyDescent="0.3">
      <c r="A1285">
        <v>54753</v>
      </c>
      <c r="B1285" s="1">
        <v>39921</v>
      </c>
      <c r="C1285" t="s">
        <v>38</v>
      </c>
      <c r="D1285" t="str">
        <f t="shared" si="40"/>
        <v>18-Apr-2009</v>
      </c>
      <c r="E1285">
        <v>36</v>
      </c>
      <c r="F1285" s="13">
        <v>4711.2439999999997</v>
      </c>
      <c r="G1285">
        <v>0.06</v>
      </c>
      <c r="H1285" t="s">
        <v>19</v>
      </c>
      <c r="I1285" s="13">
        <v>1380.32</v>
      </c>
      <c r="J1285">
        <v>155.99</v>
      </c>
      <c r="K1285">
        <v>3.9</v>
      </c>
      <c r="L1285" t="s">
        <v>89</v>
      </c>
      <c r="M1285" t="s">
        <v>101</v>
      </c>
      <c r="N1285" s="5" t="s">
        <v>102</v>
      </c>
      <c r="O1285" t="s">
        <v>28</v>
      </c>
      <c r="P1285" t="s">
        <v>29</v>
      </c>
      <c r="Q1285" t="s">
        <v>30</v>
      </c>
      <c r="R1285">
        <v>0.55000000000000004</v>
      </c>
      <c r="S1285" s="1">
        <v>39922</v>
      </c>
      <c r="T1285" t="str">
        <f t="shared" si="41"/>
        <v>19-Apr-2009</v>
      </c>
    </row>
    <row r="1286" spans="1:20" x14ac:dyDescent="0.3">
      <c r="A1286">
        <v>57159</v>
      </c>
      <c r="B1286" s="1">
        <v>40221</v>
      </c>
      <c r="C1286" t="s">
        <v>43</v>
      </c>
      <c r="D1286" t="str">
        <f t="shared" si="40"/>
        <v>12-Feb-2010</v>
      </c>
      <c r="E1286">
        <v>17</v>
      </c>
      <c r="F1286" s="13">
        <v>4621.1000000000004</v>
      </c>
      <c r="G1286">
        <v>0.09</v>
      </c>
      <c r="H1286" t="s">
        <v>24</v>
      </c>
      <c r="I1286" s="13">
        <v>-635.65</v>
      </c>
      <c r="J1286">
        <v>280.98</v>
      </c>
      <c r="K1286">
        <v>57</v>
      </c>
      <c r="L1286" t="s">
        <v>92</v>
      </c>
      <c r="M1286" t="s">
        <v>101</v>
      </c>
      <c r="N1286" s="5" t="s">
        <v>102</v>
      </c>
      <c r="O1286" t="s">
        <v>28</v>
      </c>
      <c r="P1286" t="s">
        <v>32</v>
      </c>
      <c r="Q1286" t="s">
        <v>56</v>
      </c>
      <c r="R1286">
        <v>0.78</v>
      </c>
      <c r="S1286" s="1">
        <v>40222</v>
      </c>
      <c r="T1286" t="str">
        <f t="shared" si="41"/>
        <v>13-Feb-2010</v>
      </c>
    </row>
    <row r="1287" spans="1:20" x14ac:dyDescent="0.3">
      <c r="A1287">
        <v>24544</v>
      </c>
      <c r="B1287" s="1">
        <v>39839</v>
      </c>
      <c r="C1287" t="s">
        <v>23</v>
      </c>
      <c r="D1287" t="str">
        <f t="shared" si="40"/>
        <v>26-Jan-2009</v>
      </c>
      <c r="E1287">
        <v>31</v>
      </c>
      <c r="F1287" s="13">
        <v>4587.3</v>
      </c>
      <c r="G1287">
        <v>0.08</v>
      </c>
      <c r="H1287" t="s">
        <v>35</v>
      </c>
      <c r="I1287" s="13">
        <v>1771.15</v>
      </c>
      <c r="J1287">
        <v>150.97999999999999</v>
      </c>
      <c r="K1287">
        <v>13.99</v>
      </c>
      <c r="L1287" t="s">
        <v>136</v>
      </c>
      <c r="M1287" t="s">
        <v>101</v>
      </c>
      <c r="N1287" s="5" t="s">
        <v>102</v>
      </c>
      <c r="O1287" t="s">
        <v>28</v>
      </c>
      <c r="P1287" t="s">
        <v>29</v>
      </c>
      <c r="Q1287" t="s">
        <v>74</v>
      </c>
      <c r="R1287">
        <v>0.38</v>
      </c>
      <c r="S1287" s="1">
        <v>39840</v>
      </c>
      <c r="T1287" t="str">
        <f t="shared" si="41"/>
        <v>27-Jan-2009</v>
      </c>
    </row>
    <row r="1288" spans="1:20" x14ac:dyDescent="0.3">
      <c r="A1288">
        <v>53477</v>
      </c>
      <c r="B1288" s="1">
        <v>41034</v>
      </c>
      <c r="C1288" t="s">
        <v>23</v>
      </c>
      <c r="D1288" t="str">
        <f t="shared" si="40"/>
        <v>05-May-2012</v>
      </c>
      <c r="E1288">
        <v>28</v>
      </c>
      <c r="F1288" s="13">
        <v>4479.16</v>
      </c>
      <c r="G1288">
        <v>7.0000000000000007E-2</v>
      </c>
      <c r="H1288" t="s">
        <v>19</v>
      </c>
      <c r="I1288" s="13">
        <v>610.9</v>
      </c>
      <c r="J1288">
        <v>161.55000000000001</v>
      </c>
      <c r="K1288">
        <v>19.989999999999998</v>
      </c>
      <c r="L1288" t="s">
        <v>90</v>
      </c>
      <c r="M1288" t="s">
        <v>101</v>
      </c>
      <c r="N1288" s="5" t="s">
        <v>102</v>
      </c>
      <c r="O1288" t="s">
        <v>28</v>
      </c>
      <c r="P1288" t="s">
        <v>21</v>
      </c>
      <c r="Q1288" t="s">
        <v>22</v>
      </c>
      <c r="R1288">
        <v>0.66</v>
      </c>
      <c r="S1288" s="1">
        <v>41036</v>
      </c>
      <c r="T1288" t="str">
        <f t="shared" si="41"/>
        <v>07-May-2012</v>
      </c>
    </row>
    <row r="1289" spans="1:20" x14ac:dyDescent="0.3">
      <c r="A1289">
        <v>20036</v>
      </c>
      <c r="B1289" s="1">
        <v>40517</v>
      </c>
      <c r="C1289" t="s">
        <v>31</v>
      </c>
      <c r="D1289" t="str">
        <f t="shared" si="40"/>
        <v>05-Dec-2010</v>
      </c>
      <c r="E1289">
        <v>28</v>
      </c>
      <c r="F1289" s="13">
        <v>4371.92</v>
      </c>
      <c r="G1289">
        <v>0.03</v>
      </c>
      <c r="H1289" t="s">
        <v>24</v>
      </c>
      <c r="I1289" s="13">
        <v>-533.44000000000005</v>
      </c>
      <c r="J1289">
        <v>150.97999999999999</v>
      </c>
      <c r="K1289">
        <v>66.27</v>
      </c>
      <c r="L1289" t="s">
        <v>318</v>
      </c>
      <c r="M1289" t="s">
        <v>101</v>
      </c>
      <c r="N1289" s="5" t="s">
        <v>102</v>
      </c>
      <c r="O1289" t="s">
        <v>28</v>
      </c>
      <c r="P1289" t="s">
        <v>32</v>
      </c>
      <c r="Q1289" t="s">
        <v>45</v>
      </c>
      <c r="R1289">
        <v>0.65</v>
      </c>
      <c r="S1289" s="1">
        <v>40520</v>
      </c>
      <c r="T1289" t="str">
        <f t="shared" si="41"/>
        <v>08-Dec-2010</v>
      </c>
    </row>
    <row r="1290" spans="1:20" x14ac:dyDescent="0.3">
      <c r="A1290">
        <v>24386</v>
      </c>
      <c r="B1290" s="1">
        <v>41086</v>
      </c>
      <c r="C1290" t="s">
        <v>23</v>
      </c>
      <c r="D1290" t="str">
        <f t="shared" si="40"/>
        <v>26-Jun-2012</v>
      </c>
      <c r="E1290">
        <v>41</v>
      </c>
      <c r="F1290" s="13">
        <v>4256.51</v>
      </c>
      <c r="G1290">
        <v>0.03</v>
      </c>
      <c r="H1290" t="s">
        <v>19</v>
      </c>
      <c r="I1290" s="13">
        <v>1653.96</v>
      </c>
      <c r="J1290">
        <v>100.97</v>
      </c>
      <c r="K1290">
        <v>7.18</v>
      </c>
      <c r="L1290" t="s">
        <v>156</v>
      </c>
      <c r="M1290" t="s">
        <v>101</v>
      </c>
      <c r="N1290" s="5" t="s">
        <v>102</v>
      </c>
      <c r="O1290" t="s">
        <v>28</v>
      </c>
      <c r="P1290" t="s">
        <v>29</v>
      </c>
      <c r="Q1290" t="s">
        <v>41</v>
      </c>
      <c r="R1290">
        <v>0.46</v>
      </c>
      <c r="S1290" s="1">
        <v>41088</v>
      </c>
      <c r="T1290" t="str">
        <f t="shared" si="41"/>
        <v>28-Jun-2012</v>
      </c>
    </row>
    <row r="1291" spans="1:20" x14ac:dyDescent="0.3">
      <c r="A1291">
        <v>710</v>
      </c>
      <c r="B1291" s="1">
        <v>40179</v>
      </c>
      <c r="C1291" t="s">
        <v>18</v>
      </c>
      <c r="D1291" t="str">
        <f t="shared" si="40"/>
        <v>01-Jan-2010</v>
      </c>
      <c r="E1291">
        <v>29</v>
      </c>
      <c r="F1291" s="13">
        <v>4192.88</v>
      </c>
      <c r="G1291">
        <v>0.02</v>
      </c>
      <c r="H1291" t="s">
        <v>24</v>
      </c>
      <c r="I1291" s="13">
        <v>731.32</v>
      </c>
      <c r="J1291">
        <v>145.44999999999999</v>
      </c>
      <c r="K1291">
        <v>17.850000000000001</v>
      </c>
      <c r="L1291" t="s">
        <v>324</v>
      </c>
      <c r="M1291" t="s">
        <v>101</v>
      </c>
      <c r="N1291" s="5" t="s">
        <v>102</v>
      </c>
      <c r="O1291" t="s">
        <v>28</v>
      </c>
      <c r="P1291" t="s">
        <v>29</v>
      </c>
      <c r="Q1291" t="s">
        <v>74</v>
      </c>
      <c r="R1291">
        <v>0.56000000000000005</v>
      </c>
      <c r="S1291" s="1">
        <v>40183</v>
      </c>
      <c r="T1291" t="str">
        <f t="shared" si="41"/>
        <v>05-Jan-2010</v>
      </c>
    </row>
    <row r="1292" spans="1:20" x14ac:dyDescent="0.3">
      <c r="A1292">
        <v>51558</v>
      </c>
      <c r="B1292" s="1">
        <v>40266</v>
      </c>
      <c r="C1292" t="s">
        <v>31</v>
      </c>
      <c r="D1292" t="str">
        <f t="shared" si="40"/>
        <v>29-Mar-2010</v>
      </c>
      <c r="E1292">
        <v>47</v>
      </c>
      <c r="F1292" s="13">
        <v>4177.66</v>
      </c>
      <c r="G1292">
        <v>0.04</v>
      </c>
      <c r="H1292" t="s">
        <v>24</v>
      </c>
      <c r="I1292" s="13">
        <v>85.29</v>
      </c>
      <c r="J1292">
        <v>85.29</v>
      </c>
      <c r="K1292">
        <v>60</v>
      </c>
      <c r="L1292" t="s">
        <v>93</v>
      </c>
      <c r="M1292" t="s">
        <v>101</v>
      </c>
      <c r="N1292" s="5" t="s">
        <v>102</v>
      </c>
      <c r="O1292" t="s">
        <v>28</v>
      </c>
      <c r="P1292" t="s">
        <v>32</v>
      </c>
      <c r="Q1292" t="s">
        <v>46</v>
      </c>
      <c r="R1292">
        <v>0.56000000000000005</v>
      </c>
      <c r="S1292" s="1">
        <v>40266</v>
      </c>
      <c r="T1292" t="str">
        <f t="shared" si="41"/>
        <v>29-Mar-2010</v>
      </c>
    </row>
    <row r="1293" spans="1:20" x14ac:dyDescent="0.3">
      <c r="A1293">
        <v>24966</v>
      </c>
      <c r="B1293" s="1">
        <v>40894</v>
      </c>
      <c r="C1293" t="s">
        <v>38</v>
      </c>
      <c r="D1293" t="str">
        <f t="shared" si="40"/>
        <v>17-Dec-2011</v>
      </c>
      <c r="E1293">
        <v>34</v>
      </c>
      <c r="F1293" s="13">
        <v>4152.12</v>
      </c>
      <c r="G1293">
        <v>0</v>
      </c>
      <c r="H1293" t="s">
        <v>19</v>
      </c>
      <c r="I1293" s="13">
        <v>817.98</v>
      </c>
      <c r="J1293">
        <v>120.33</v>
      </c>
      <c r="K1293">
        <v>19.989999999999998</v>
      </c>
      <c r="L1293" t="s">
        <v>247</v>
      </c>
      <c r="M1293" t="s">
        <v>101</v>
      </c>
      <c r="N1293" s="5" t="s">
        <v>102</v>
      </c>
      <c r="O1293" t="s">
        <v>28</v>
      </c>
      <c r="P1293" t="s">
        <v>21</v>
      </c>
      <c r="Q1293" t="s">
        <v>22</v>
      </c>
      <c r="R1293">
        <v>0.59</v>
      </c>
      <c r="S1293" s="1">
        <v>40895</v>
      </c>
      <c r="T1293" t="str">
        <f t="shared" si="41"/>
        <v>18-Dec-2011</v>
      </c>
    </row>
    <row r="1294" spans="1:20" x14ac:dyDescent="0.3">
      <c r="A1294">
        <v>51365</v>
      </c>
      <c r="B1294" s="1">
        <v>41128</v>
      </c>
      <c r="C1294" t="s">
        <v>23</v>
      </c>
      <c r="D1294" t="str">
        <f t="shared" si="40"/>
        <v>07-Aug-2012</v>
      </c>
      <c r="E1294">
        <v>35</v>
      </c>
      <c r="F1294" s="13">
        <v>4051.8</v>
      </c>
      <c r="G1294">
        <v>0.1</v>
      </c>
      <c r="H1294" t="s">
        <v>24</v>
      </c>
      <c r="I1294" s="13">
        <v>-684.07</v>
      </c>
      <c r="J1294">
        <v>124.49</v>
      </c>
      <c r="K1294">
        <v>51.94</v>
      </c>
      <c r="L1294" t="s">
        <v>139</v>
      </c>
      <c r="M1294" t="s">
        <v>101</v>
      </c>
      <c r="N1294" s="5" t="s">
        <v>102</v>
      </c>
      <c r="O1294" t="s">
        <v>28</v>
      </c>
      <c r="P1294" t="s">
        <v>32</v>
      </c>
      <c r="Q1294" t="s">
        <v>46</v>
      </c>
      <c r="R1294">
        <v>0.63</v>
      </c>
      <c r="S1294" s="1">
        <v>41129</v>
      </c>
      <c r="T1294" t="str">
        <f t="shared" si="41"/>
        <v>08-Aug-2012</v>
      </c>
    </row>
    <row r="1295" spans="1:20" x14ac:dyDescent="0.3">
      <c r="A1295">
        <v>7878</v>
      </c>
      <c r="B1295" s="1">
        <v>40664</v>
      </c>
      <c r="C1295" t="s">
        <v>43</v>
      </c>
      <c r="D1295" t="str">
        <f t="shared" si="40"/>
        <v>01-May-2011</v>
      </c>
      <c r="E1295">
        <v>50</v>
      </c>
      <c r="F1295" s="13">
        <v>3904.12</v>
      </c>
      <c r="G1295">
        <v>7.0000000000000007E-2</v>
      </c>
      <c r="H1295" t="s">
        <v>24</v>
      </c>
      <c r="I1295" s="13">
        <v>-1508.46</v>
      </c>
      <c r="J1295">
        <v>81.94</v>
      </c>
      <c r="K1295">
        <v>55.81</v>
      </c>
      <c r="L1295" t="s">
        <v>153</v>
      </c>
      <c r="M1295" t="s">
        <v>101</v>
      </c>
      <c r="N1295" s="5" t="s">
        <v>102</v>
      </c>
      <c r="O1295" t="s">
        <v>28</v>
      </c>
      <c r="P1295" t="s">
        <v>32</v>
      </c>
      <c r="Q1295" t="s">
        <v>45</v>
      </c>
      <c r="R1295">
        <v>0.6</v>
      </c>
      <c r="S1295" s="1">
        <v>40669</v>
      </c>
      <c r="T1295" t="str">
        <f t="shared" si="41"/>
        <v>06-May-2011</v>
      </c>
    </row>
    <row r="1296" spans="1:20" x14ac:dyDescent="0.3">
      <c r="A1296">
        <v>50404</v>
      </c>
      <c r="B1296" s="1">
        <v>40628</v>
      </c>
      <c r="C1296" t="s">
        <v>23</v>
      </c>
      <c r="D1296" t="str">
        <f t="shared" si="40"/>
        <v>26-Mar-2011</v>
      </c>
      <c r="E1296">
        <v>18</v>
      </c>
      <c r="F1296" s="13">
        <v>3780.43</v>
      </c>
      <c r="G1296">
        <v>0.05</v>
      </c>
      <c r="H1296" t="s">
        <v>19</v>
      </c>
      <c r="I1296" s="13">
        <v>905.57</v>
      </c>
      <c r="J1296">
        <v>210.55</v>
      </c>
      <c r="K1296">
        <v>9.99</v>
      </c>
      <c r="L1296" t="s">
        <v>87</v>
      </c>
      <c r="M1296" t="s">
        <v>101</v>
      </c>
      <c r="N1296" s="5" t="s">
        <v>102</v>
      </c>
      <c r="O1296" t="s">
        <v>28</v>
      </c>
      <c r="P1296" t="s">
        <v>21</v>
      </c>
      <c r="Q1296" t="s">
        <v>22</v>
      </c>
      <c r="R1296">
        <v>0.6</v>
      </c>
      <c r="S1296" s="1">
        <v>40629</v>
      </c>
      <c r="T1296" t="str">
        <f t="shared" si="41"/>
        <v>27-Mar-2011</v>
      </c>
    </row>
    <row r="1297" spans="1:20" x14ac:dyDescent="0.3">
      <c r="A1297">
        <v>7335</v>
      </c>
      <c r="B1297" s="1">
        <v>40327</v>
      </c>
      <c r="C1297" t="s">
        <v>18</v>
      </c>
      <c r="D1297" t="str">
        <f t="shared" si="40"/>
        <v>29-May-2010</v>
      </c>
      <c r="E1297">
        <v>43</v>
      </c>
      <c r="F1297" s="13">
        <v>3681.7494999999999</v>
      </c>
      <c r="G1297">
        <v>0.01</v>
      </c>
      <c r="H1297" t="s">
        <v>19</v>
      </c>
      <c r="I1297" s="13">
        <v>1196.44</v>
      </c>
      <c r="J1297">
        <v>95.99</v>
      </c>
      <c r="K1297">
        <v>4.9000000000000004</v>
      </c>
      <c r="L1297" t="s">
        <v>332</v>
      </c>
      <c r="M1297" t="s">
        <v>101</v>
      </c>
      <c r="N1297" s="5" t="s">
        <v>102</v>
      </c>
      <c r="O1297" t="s">
        <v>28</v>
      </c>
      <c r="P1297" t="s">
        <v>29</v>
      </c>
      <c r="Q1297" t="s">
        <v>30</v>
      </c>
      <c r="R1297">
        <v>0.56000000000000005</v>
      </c>
      <c r="S1297" s="1">
        <v>40332</v>
      </c>
      <c r="T1297" t="str">
        <f t="shared" si="41"/>
        <v>03-Jun-2010</v>
      </c>
    </row>
    <row r="1298" spans="1:20" x14ac:dyDescent="0.3">
      <c r="A1298">
        <v>2497</v>
      </c>
      <c r="B1298" s="1">
        <v>41147</v>
      </c>
      <c r="C1298" t="s">
        <v>43</v>
      </c>
      <c r="D1298" t="str">
        <f t="shared" si="40"/>
        <v>26-Aug-2012</v>
      </c>
      <c r="E1298">
        <v>21</v>
      </c>
      <c r="F1298" s="13">
        <v>3629.1174999999998</v>
      </c>
      <c r="G1298">
        <v>0.06</v>
      </c>
      <c r="H1298" t="s">
        <v>19</v>
      </c>
      <c r="I1298" s="13">
        <v>636.03</v>
      </c>
      <c r="J1298">
        <v>205.99</v>
      </c>
      <c r="K1298">
        <v>5.26</v>
      </c>
      <c r="L1298" t="s">
        <v>326</v>
      </c>
      <c r="M1298" t="s">
        <v>101</v>
      </c>
      <c r="N1298" s="5" t="s">
        <v>102</v>
      </c>
      <c r="O1298" t="s">
        <v>28</v>
      </c>
      <c r="P1298" t="s">
        <v>29</v>
      </c>
      <c r="Q1298" t="s">
        <v>30</v>
      </c>
      <c r="R1298">
        <v>0.56000000000000005</v>
      </c>
      <c r="S1298" s="1">
        <v>41149</v>
      </c>
      <c r="T1298" t="str">
        <f t="shared" si="41"/>
        <v>28-Aug-2012</v>
      </c>
    </row>
    <row r="1299" spans="1:20" x14ac:dyDescent="0.3">
      <c r="A1299">
        <v>43906</v>
      </c>
      <c r="B1299" s="1">
        <v>40947</v>
      </c>
      <c r="C1299" t="s">
        <v>23</v>
      </c>
      <c r="D1299" t="str">
        <f t="shared" si="40"/>
        <v>08-Feb-2012</v>
      </c>
      <c r="E1299">
        <v>50</v>
      </c>
      <c r="F1299" s="13">
        <v>3601.07</v>
      </c>
      <c r="G1299">
        <v>0.04</v>
      </c>
      <c r="H1299" t="s">
        <v>19</v>
      </c>
      <c r="I1299" s="13">
        <v>174.8</v>
      </c>
      <c r="J1299">
        <v>73.98</v>
      </c>
      <c r="K1299">
        <v>14.52</v>
      </c>
      <c r="L1299" t="s">
        <v>323</v>
      </c>
      <c r="M1299" t="s">
        <v>101</v>
      </c>
      <c r="N1299" s="5" t="s">
        <v>102</v>
      </c>
      <c r="O1299" t="s">
        <v>28</v>
      </c>
      <c r="P1299" t="s">
        <v>29</v>
      </c>
      <c r="Q1299" t="s">
        <v>41</v>
      </c>
      <c r="R1299">
        <v>0.65</v>
      </c>
      <c r="S1299" s="1">
        <v>40948</v>
      </c>
      <c r="T1299" t="str">
        <f t="shared" si="41"/>
        <v>09-Feb-2012</v>
      </c>
    </row>
    <row r="1300" spans="1:20" x14ac:dyDescent="0.3">
      <c r="A1300">
        <v>39008</v>
      </c>
      <c r="B1300" s="1">
        <v>40661</v>
      </c>
      <c r="C1300" t="s">
        <v>31</v>
      </c>
      <c r="D1300" t="str">
        <f t="shared" si="40"/>
        <v>28-Apr-2011</v>
      </c>
      <c r="E1300">
        <v>28</v>
      </c>
      <c r="F1300" s="13">
        <v>3582.79</v>
      </c>
      <c r="G1300">
        <v>0</v>
      </c>
      <c r="H1300" t="s">
        <v>24</v>
      </c>
      <c r="I1300" s="13">
        <v>-1177.1400000000001</v>
      </c>
      <c r="J1300">
        <v>122.99</v>
      </c>
      <c r="K1300">
        <v>70.2</v>
      </c>
      <c r="L1300" t="s">
        <v>330</v>
      </c>
      <c r="M1300" t="s">
        <v>101</v>
      </c>
      <c r="N1300" s="5" t="s">
        <v>102</v>
      </c>
      <c r="O1300" t="s">
        <v>28</v>
      </c>
      <c r="P1300" t="s">
        <v>32</v>
      </c>
      <c r="Q1300" t="s">
        <v>56</v>
      </c>
      <c r="R1300">
        <v>0.74</v>
      </c>
      <c r="S1300" s="1">
        <v>40663</v>
      </c>
      <c r="T1300" t="str">
        <f t="shared" si="41"/>
        <v>30-Apr-2011</v>
      </c>
    </row>
    <row r="1301" spans="1:20" x14ac:dyDescent="0.3">
      <c r="A1301">
        <v>58278</v>
      </c>
      <c r="B1301" s="1">
        <v>41162</v>
      </c>
      <c r="C1301" t="s">
        <v>23</v>
      </c>
      <c r="D1301" t="str">
        <f t="shared" si="40"/>
        <v>10-Sep-2012</v>
      </c>
      <c r="E1301">
        <v>37</v>
      </c>
      <c r="F1301" s="13">
        <v>3512.9</v>
      </c>
      <c r="G1301">
        <v>0.08</v>
      </c>
      <c r="H1301" t="s">
        <v>19</v>
      </c>
      <c r="I1301" s="13">
        <v>2093.6999999999998</v>
      </c>
      <c r="J1301">
        <v>99.23</v>
      </c>
      <c r="K1301">
        <v>8.99</v>
      </c>
      <c r="L1301" t="s">
        <v>100</v>
      </c>
      <c r="M1301" t="s">
        <v>101</v>
      </c>
      <c r="N1301" s="5" t="s">
        <v>102</v>
      </c>
      <c r="O1301" t="s">
        <v>28</v>
      </c>
      <c r="P1301" t="s">
        <v>32</v>
      </c>
      <c r="Q1301" t="s">
        <v>33</v>
      </c>
      <c r="R1301">
        <v>0.35</v>
      </c>
      <c r="S1301" s="1">
        <v>41164</v>
      </c>
      <c r="T1301" t="str">
        <f t="shared" si="41"/>
        <v>12-Sep-2012</v>
      </c>
    </row>
    <row r="1302" spans="1:20" x14ac:dyDescent="0.3">
      <c r="A1302">
        <v>38979</v>
      </c>
      <c r="B1302" s="1">
        <v>40235</v>
      </c>
      <c r="C1302" t="s">
        <v>18</v>
      </c>
      <c r="D1302" t="str">
        <f t="shared" si="40"/>
        <v>26-Feb-2010</v>
      </c>
      <c r="E1302">
        <v>48</v>
      </c>
      <c r="F1302" s="13">
        <v>3355.1</v>
      </c>
      <c r="G1302">
        <v>7.0000000000000007E-2</v>
      </c>
      <c r="H1302" t="s">
        <v>24</v>
      </c>
      <c r="I1302" s="13">
        <v>-1701.96</v>
      </c>
      <c r="J1302">
        <v>70.98</v>
      </c>
      <c r="K1302">
        <v>59.81</v>
      </c>
      <c r="L1302" t="s">
        <v>321</v>
      </c>
      <c r="M1302" t="s">
        <v>101</v>
      </c>
      <c r="N1302" s="5" t="s">
        <v>102</v>
      </c>
      <c r="O1302" t="s">
        <v>28</v>
      </c>
      <c r="P1302" t="s">
        <v>32</v>
      </c>
      <c r="Q1302" t="s">
        <v>56</v>
      </c>
      <c r="R1302">
        <v>0.6</v>
      </c>
      <c r="S1302" s="1">
        <v>40235</v>
      </c>
      <c r="T1302" t="str">
        <f t="shared" si="41"/>
        <v>26-Feb-2010</v>
      </c>
    </row>
    <row r="1303" spans="1:20" x14ac:dyDescent="0.3">
      <c r="A1303">
        <v>29249</v>
      </c>
      <c r="B1303" s="1">
        <v>40707</v>
      </c>
      <c r="C1303" t="s">
        <v>18</v>
      </c>
      <c r="D1303" t="str">
        <f t="shared" si="40"/>
        <v>13-Jun-2011</v>
      </c>
      <c r="E1303">
        <v>12</v>
      </c>
      <c r="F1303" s="13">
        <v>3156.6</v>
      </c>
      <c r="G1303">
        <v>0.1</v>
      </c>
      <c r="H1303" t="s">
        <v>19</v>
      </c>
      <c r="I1303" s="13">
        <v>454.26</v>
      </c>
      <c r="J1303">
        <v>276.2</v>
      </c>
      <c r="K1303">
        <v>24.49</v>
      </c>
      <c r="L1303" t="s">
        <v>338</v>
      </c>
      <c r="M1303" t="s">
        <v>101</v>
      </c>
      <c r="N1303" s="5" t="s">
        <v>102</v>
      </c>
      <c r="O1303" t="s">
        <v>28</v>
      </c>
      <c r="P1303" t="s">
        <v>32</v>
      </c>
      <c r="Q1303" t="s">
        <v>56</v>
      </c>
      <c r="S1303" s="1">
        <v>40711</v>
      </c>
      <c r="T1303" t="str">
        <f t="shared" si="41"/>
        <v>17-Jun-2011</v>
      </c>
    </row>
    <row r="1304" spans="1:20" x14ac:dyDescent="0.3">
      <c r="A1304">
        <v>53477</v>
      </c>
      <c r="B1304" s="1">
        <v>41034</v>
      </c>
      <c r="C1304" t="s">
        <v>23</v>
      </c>
      <c r="D1304" t="str">
        <f t="shared" si="40"/>
        <v>05-May-2012</v>
      </c>
      <c r="E1304">
        <v>32</v>
      </c>
      <c r="F1304" s="13">
        <v>3114.05</v>
      </c>
      <c r="G1304">
        <v>0.01</v>
      </c>
      <c r="H1304" t="s">
        <v>24</v>
      </c>
      <c r="I1304" s="13">
        <v>-1207.18</v>
      </c>
      <c r="J1304">
        <v>95.95</v>
      </c>
      <c r="K1304">
        <v>74.349999999999994</v>
      </c>
      <c r="L1304" t="s">
        <v>90</v>
      </c>
      <c r="M1304" t="s">
        <v>101</v>
      </c>
      <c r="N1304" s="5" t="s">
        <v>102</v>
      </c>
      <c r="O1304" t="s">
        <v>28</v>
      </c>
      <c r="P1304" t="s">
        <v>32</v>
      </c>
      <c r="Q1304" t="s">
        <v>56</v>
      </c>
      <c r="R1304">
        <v>0.56999999999999995</v>
      </c>
      <c r="S1304" s="1">
        <v>41036</v>
      </c>
      <c r="T1304" t="str">
        <f t="shared" si="41"/>
        <v>07-May-2012</v>
      </c>
    </row>
    <row r="1305" spans="1:20" x14ac:dyDescent="0.3">
      <c r="A1305">
        <v>38979</v>
      </c>
      <c r="B1305" s="1">
        <v>40235</v>
      </c>
      <c r="C1305" t="s">
        <v>18</v>
      </c>
      <c r="D1305" t="str">
        <f t="shared" si="40"/>
        <v>26-Feb-2010</v>
      </c>
      <c r="E1305">
        <v>34</v>
      </c>
      <c r="F1305" s="13">
        <v>2864.55</v>
      </c>
      <c r="G1305">
        <v>0.06</v>
      </c>
      <c r="H1305" t="s">
        <v>19</v>
      </c>
      <c r="I1305" s="13">
        <v>1021.07</v>
      </c>
      <c r="J1305">
        <v>82.99</v>
      </c>
      <c r="K1305">
        <v>5.5</v>
      </c>
      <c r="L1305" t="s">
        <v>321</v>
      </c>
      <c r="M1305" t="s">
        <v>101</v>
      </c>
      <c r="N1305" s="5" t="s">
        <v>102</v>
      </c>
      <c r="O1305" t="s">
        <v>28</v>
      </c>
      <c r="P1305" t="s">
        <v>29</v>
      </c>
      <c r="Q1305" t="s">
        <v>41</v>
      </c>
      <c r="R1305">
        <v>0.44</v>
      </c>
      <c r="S1305" s="1">
        <v>40240</v>
      </c>
      <c r="T1305" t="str">
        <f t="shared" si="41"/>
        <v>03-Mar-2010</v>
      </c>
    </row>
    <row r="1306" spans="1:20" x14ac:dyDescent="0.3">
      <c r="A1306">
        <v>22118</v>
      </c>
      <c r="B1306" s="1">
        <v>39831</v>
      </c>
      <c r="C1306" t="s">
        <v>23</v>
      </c>
      <c r="D1306" t="str">
        <f t="shared" si="40"/>
        <v>18-Jan-2009</v>
      </c>
      <c r="E1306">
        <v>50</v>
      </c>
      <c r="F1306" s="13">
        <v>2842.54</v>
      </c>
      <c r="G1306">
        <v>0.05</v>
      </c>
      <c r="H1306" t="s">
        <v>19</v>
      </c>
      <c r="I1306" s="13">
        <v>1315.75</v>
      </c>
      <c r="J1306">
        <v>58.1</v>
      </c>
      <c r="K1306">
        <v>1.49</v>
      </c>
      <c r="L1306" t="s">
        <v>220</v>
      </c>
      <c r="M1306" t="s">
        <v>101</v>
      </c>
      <c r="N1306" s="5" t="s">
        <v>102</v>
      </c>
      <c r="O1306" t="s">
        <v>28</v>
      </c>
      <c r="P1306" t="s">
        <v>21</v>
      </c>
      <c r="Q1306" t="s">
        <v>26</v>
      </c>
      <c r="R1306">
        <v>0.38</v>
      </c>
      <c r="S1306" s="1">
        <v>39831</v>
      </c>
      <c r="T1306" t="str">
        <f t="shared" si="41"/>
        <v>18-Jan-2009</v>
      </c>
    </row>
    <row r="1307" spans="1:20" x14ac:dyDescent="0.3">
      <c r="A1307">
        <v>48230</v>
      </c>
      <c r="B1307" s="1">
        <v>39869</v>
      </c>
      <c r="C1307" t="s">
        <v>31</v>
      </c>
      <c r="D1307" t="str">
        <f t="shared" si="40"/>
        <v>25-Feb-2009</v>
      </c>
      <c r="E1307">
        <v>31</v>
      </c>
      <c r="F1307" s="13">
        <v>2645.8</v>
      </c>
      <c r="G1307">
        <v>0</v>
      </c>
      <c r="H1307" t="s">
        <v>19</v>
      </c>
      <c r="I1307" s="13">
        <v>-684.78</v>
      </c>
      <c r="J1307">
        <v>80.98</v>
      </c>
      <c r="K1307">
        <v>35</v>
      </c>
      <c r="L1307" t="s">
        <v>149</v>
      </c>
      <c r="M1307" t="s">
        <v>101</v>
      </c>
      <c r="N1307" s="5" t="s">
        <v>102</v>
      </c>
      <c r="O1307" t="s">
        <v>28</v>
      </c>
      <c r="P1307" t="s">
        <v>21</v>
      </c>
      <c r="Q1307" t="s">
        <v>22</v>
      </c>
      <c r="R1307">
        <v>0.83</v>
      </c>
      <c r="S1307" s="1">
        <v>39871</v>
      </c>
      <c r="T1307" t="str">
        <f t="shared" si="41"/>
        <v>27-Feb-2009</v>
      </c>
    </row>
    <row r="1308" spans="1:20" x14ac:dyDescent="0.3">
      <c r="A1308">
        <v>14855</v>
      </c>
      <c r="B1308" s="1">
        <v>40298</v>
      </c>
      <c r="C1308" t="s">
        <v>31</v>
      </c>
      <c r="D1308" t="str">
        <f t="shared" si="40"/>
        <v>30-Apr-2010</v>
      </c>
      <c r="E1308">
        <v>19</v>
      </c>
      <c r="F1308" s="13">
        <v>2557.5100000000002</v>
      </c>
      <c r="G1308">
        <v>0.01</v>
      </c>
      <c r="H1308" t="s">
        <v>24</v>
      </c>
      <c r="I1308" s="13">
        <v>-168.48</v>
      </c>
      <c r="J1308">
        <v>124.49</v>
      </c>
      <c r="K1308">
        <v>51.94</v>
      </c>
      <c r="L1308" t="s">
        <v>318</v>
      </c>
      <c r="M1308" t="s">
        <v>101</v>
      </c>
      <c r="N1308" s="5" t="s">
        <v>102</v>
      </c>
      <c r="O1308" t="s">
        <v>28</v>
      </c>
      <c r="P1308" t="s">
        <v>32</v>
      </c>
      <c r="Q1308" t="s">
        <v>46</v>
      </c>
      <c r="R1308">
        <v>0.63</v>
      </c>
      <c r="S1308" s="1">
        <v>40300</v>
      </c>
      <c r="T1308" t="str">
        <f t="shared" si="41"/>
        <v>02-May-2010</v>
      </c>
    </row>
    <row r="1309" spans="1:20" x14ac:dyDescent="0.3">
      <c r="A1309">
        <v>29957</v>
      </c>
      <c r="B1309" s="1">
        <v>40250</v>
      </c>
      <c r="C1309" t="s">
        <v>43</v>
      </c>
      <c r="D1309" t="str">
        <f t="shared" si="40"/>
        <v>13-Mar-2010</v>
      </c>
      <c r="E1309">
        <v>28</v>
      </c>
      <c r="F1309" s="13">
        <v>2555.37</v>
      </c>
      <c r="G1309">
        <v>0.08</v>
      </c>
      <c r="H1309" t="s">
        <v>24</v>
      </c>
      <c r="I1309" s="13">
        <v>-824.91</v>
      </c>
      <c r="J1309">
        <v>95.98</v>
      </c>
      <c r="K1309">
        <v>58.2</v>
      </c>
      <c r="L1309" t="s">
        <v>313</v>
      </c>
      <c r="M1309" t="s">
        <v>101</v>
      </c>
      <c r="N1309" s="5" t="s">
        <v>102</v>
      </c>
      <c r="O1309" t="s">
        <v>28</v>
      </c>
      <c r="P1309" t="s">
        <v>32</v>
      </c>
      <c r="Q1309" t="s">
        <v>56</v>
      </c>
      <c r="R1309">
        <v>0.57999999999999996</v>
      </c>
      <c r="S1309" s="1">
        <v>40251</v>
      </c>
      <c r="T1309" t="str">
        <f t="shared" si="41"/>
        <v>14-Mar-2010</v>
      </c>
    </row>
    <row r="1310" spans="1:20" x14ac:dyDescent="0.3">
      <c r="A1310">
        <v>612</v>
      </c>
      <c r="B1310" s="1">
        <v>41202</v>
      </c>
      <c r="C1310" t="s">
        <v>38</v>
      </c>
      <c r="D1310" t="str">
        <f t="shared" si="40"/>
        <v>20-Oct-2012</v>
      </c>
      <c r="E1310">
        <v>43</v>
      </c>
      <c r="F1310" s="13">
        <v>2531.0875000000001</v>
      </c>
      <c r="G1310">
        <v>0.01</v>
      </c>
      <c r="H1310" t="s">
        <v>19</v>
      </c>
      <c r="I1310" s="13">
        <v>881.68</v>
      </c>
      <c r="J1310">
        <v>65.989999999999995</v>
      </c>
      <c r="K1310">
        <v>2.5</v>
      </c>
      <c r="L1310" t="s">
        <v>274</v>
      </c>
      <c r="M1310" t="s">
        <v>101</v>
      </c>
      <c r="N1310" s="5" t="s">
        <v>102</v>
      </c>
      <c r="O1310" t="s">
        <v>28</v>
      </c>
      <c r="P1310" t="s">
        <v>29</v>
      </c>
      <c r="Q1310" t="s">
        <v>30</v>
      </c>
      <c r="R1310">
        <v>0.55000000000000004</v>
      </c>
      <c r="S1310" s="1">
        <v>41204</v>
      </c>
      <c r="T1310" t="str">
        <f t="shared" si="41"/>
        <v>22-Oct-2012</v>
      </c>
    </row>
    <row r="1311" spans="1:20" x14ac:dyDescent="0.3">
      <c r="A1311">
        <v>16775</v>
      </c>
      <c r="B1311" s="1">
        <v>41235</v>
      </c>
      <c r="C1311" t="s">
        <v>18</v>
      </c>
      <c r="D1311" t="str">
        <f t="shared" si="40"/>
        <v>22-Nov-2012</v>
      </c>
      <c r="E1311">
        <v>49</v>
      </c>
      <c r="F1311" s="13">
        <v>2469.15</v>
      </c>
      <c r="G1311">
        <v>0.04</v>
      </c>
      <c r="H1311" t="s">
        <v>19</v>
      </c>
      <c r="I1311" s="13">
        <v>1244.81</v>
      </c>
      <c r="J1311">
        <v>48.94</v>
      </c>
      <c r="K1311">
        <v>5.86</v>
      </c>
      <c r="L1311" t="s">
        <v>220</v>
      </c>
      <c r="M1311" t="s">
        <v>101</v>
      </c>
      <c r="N1311" s="5" t="s">
        <v>102</v>
      </c>
      <c r="O1311" t="s">
        <v>28</v>
      </c>
      <c r="P1311" t="s">
        <v>21</v>
      </c>
      <c r="Q1311" t="s">
        <v>37</v>
      </c>
      <c r="R1311">
        <v>0.35</v>
      </c>
      <c r="S1311" s="1">
        <v>41239</v>
      </c>
      <c r="T1311" t="str">
        <f t="shared" si="41"/>
        <v>26-Nov-2012</v>
      </c>
    </row>
    <row r="1312" spans="1:20" x14ac:dyDescent="0.3">
      <c r="A1312">
        <v>3492</v>
      </c>
      <c r="B1312" s="1">
        <v>40140</v>
      </c>
      <c r="C1312" t="s">
        <v>18</v>
      </c>
      <c r="D1312" t="str">
        <f t="shared" si="40"/>
        <v>23-Nov-2009</v>
      </c>
      <c r="E1312">
        <v>35</v>
      </c>
      <c r="F1312" s="13">
        <v>2393.63</v>
      </c>
      <c r="G1312">
        <v>0.04</v>
      </c>
      <c r="H1312" t="s">
        <v>19</v>
      </c>
      <c r="I1312" s="13">
        <v>524.88</v>
      </c>
      <c r="J1312">
        <v>67.28</v>
      </c>
      <c r="K1312">
        <v>19.989999999999998</v>
      </c>
      <c r="L1312" t="s">
        <v>80</v>
      </c>
      <c r="M1312" t="s">
        <v>101</v>
      </c>
      <c r="N1312" s="5" t="s">
        <v>102</v>
      </c>
      <c r="O1312" t="s">
        <v>28</v>
      </c>
      <c r="P1312" t="s">
        <v>21</v>
      </c>
      <c r="Q1312" t="s">
        <v>26</v>
      </c>
      <c r="R1312">
        <v>0.4</v>
      </c>
      <c r="S1312" s="1">
        <v>40145</v>
      </c>
      <c r="T1312" t="str">
        <f t="shared" si="41"/>
        <v>28-Nov-2009</v>
      </c>
    </row>
    <row r="1313" spans="1:20" x14ac:dyDescent="0.3">
      <c r="A1313">
        <v>46951</v>
      </c>
      <c r="B1313" s="1">
        <v>40864</v>
      </c>
      <c r="C1313" t="s">
        <v>43</v>
      </c>
      <c r="D1313" t="str">
        <f t="shared" si="40"/>
        <v>17-Nov-2011</v>
      </c>
      <c r="E1313">
        <v>26</v>
      </c>
      <c r="F1313" s="13">
        <v>2379.3285000000001</v>
      </c>
      <c r="G1313">
        <v>0.09</v>
      </c>
      <c r="H1313" t="s">
        <v>19</v>
      </c>
      <c r="I1313" s="13">
        <v>284.58999999999997</v>
      </c>
      <c r="J1313">
        <v>115.99</v>
      </c>
      <c r="K1313">
        <v>5.92</v>
      </c>
      <c r="L1313" t="s">
        <v>334</v>
      </c>
      <c r="M1313" t="s">
        <v>101</v>
      </c>
      <c r="N1313" s="5" t="s">
        <v>102</v>
      </c>
      <c r="O1313" t="s">
        <v>28</v>
      </c>
      <c r="P1313" t="s">
        <v>29</v>
      </c>
      <c r="Q1313" t="s">
        <v>30</v>
      </c>
      <c r="R1313">
        <v>0.57999999999999996</v>
      </c>
      <c r="S1313" s="1">
        <v>40865</v>
      </c>
      <c r="T1313" t="str">
        <f t="shared" si="41"/>
        <v>18-Nov-2011</v>
      </c>
    </row>
    <row r="1314" spans="1:20" x14ac:dyDescent="0.3">
      <c r="A1314">
        <v>37252</v>
      </c>
      <c r="B1314" s="1">
        <v>40866</v>
      </c>
      <c r="C1314" t="s">
        <v>18</v>
      </c>
      <c r="D1314" t="str">
        <f t="shared" si="40"/>
        <v>19-Nov-2011</v>
      </c>
      <c r="E1314">
        <v>50</v>
      </c>
      <c r="F1314" s="13">
        <v>2337.0300000000002</v>
      </c>
      <c r="G1314">
        <v>0.1</v>
      </c>
      <c r="H1314" t="s">
        <v>19</v>
      </c>
      <c r="I1314" s="13">
        <v>-37.19</v>
      </c>
      <c r="J1314">
        <v>49.99</v>
      </c>
      <c r="K1314">
        <v>19.989999999999998</v>
      </c>
      <c r="L1314" t="s">
        <v>321</v>
      </c>
      <c r="M1314" t="s">
        <v>101</v>
      </c>
      <c r="N1314" s="5" t="s">
        <v>102</v>
      </c>
      <c r="O1314" t="s">
        <v>28</v>
      </c>
      <c r="P1314" t="s">
        <v>29</v>
      </c>
      <c r="Q1314" t="s">
        <v>41</v>
      </c>
      <c r="R1314">
        <v>0.45</v>
      </c>
      <c r="S1314" s="1">
        <v>40868</v>
      </c>
      <c r="T1314" t="str">
        <f t="shared" si="41"/>
        <v>21-Nov-2011</v>
      </c>
    </row>
    <row r="1315" spans="1:20" x14ac:dyDescent="0.3">
      <c r="A1315">
        <v>49763</v>
      </c>
      <c r="B1315" s="1">
        <v>40587</v>
      </c>
      <c r="C1315" t="s">
        <v>43</v>
      </c>
      <c r="D1315" t="str">
        <f t="shared" si="40"/>
        <v>13-Feb-2011</v>
      </c>
      <c r="E1315">
        <v>6</v>
      </c>
      <c r="F1315" s="13">
        <v>2320.35</v>
      </c>
      <c r="G1315">
        <v>0</v>
      </c>
      <c r="H1315" t="s">
        <v>24</v>
      </c>
      <c r="I1315" s="13">
        <v>-237.62</v>
      </c>
      <c r="J1315">
        <v>348.21</v>
      </c>
      <c r="K1315">
        <v>84.84</v>
      </c>
      <c r="L1315" t="s">
        <v>145</v>
      </c>
      <c r="M1315" t="s">
        <v>101</v>
      </c>
      <c r="N1315" s="5" t="s">
        <v>102</v>
      </c>
      <c r="O1315" t="s">
        <v>28</v>
      </c>
      <c r="P1315" t="s">
        <v>32</v>
      </c>
      <c r="Q1315" t="s">
        <v>46</v>
      </c>
      <c r="R1315">
        <v>0.66</v>
      </c>
      <c r="S1315" s="1">
        <v>40587</v>
      </c>
      <c r="T1315" t="str">
        <f t="shared" si="41"/>
        <v>13-Feb-2011</v>
      </c>
    </row>
    <row r="1316" spans="1:20" x14ac:dyDescent="0.3">
      <c r="A1316">
        <v>51333</v>
      </c>
      <c r="B1316" s="1">
        <v>41186</v>
      </c>
      <c r="C1316" t="s">
        <v>31</v>
      </c>
      <c r="D1316" t="str">
        <f t="shared" si="40"/>
        <v>04-Oct-2012</v>
      </c>
      <c r="E1316">
        <v>30</v>
      </c>
      <c r="F1316" s="13">
        <v>2219.79</v>
      </c>
      <c r="G1316">
        <v>0.1</v>
      </c>
      <c r="H1316" t="s">
        <v>24</v>
      </c>
      <c r="I1316" s="13">
        <v>-9.4499999999999993</v>
      </c>
      <c r="J1316">
        <v>80.97</v>
      </c>
      <c r="K1316">
        <v>33.6</v>
      </c>
      <c r="L1316" t="s">
        <v>139</v>
      </c>
      <c r="M1316" t="s">
        <v>101</v>
      </c>
      <c r="N1316" s="5" t="s">
        <v>102</v>
      </c>
      <c r="O1316" t="s">
        <v>28</v>
      </c>
      <c r="P1316" t="s">
        <v>29</v>
      </c>
      <c r="Q1316" t="s">
        <v>74</v>
      </c>
      <c r="R1316">
        <v>0.37</v>
      </c>
      <c r="S1316" s="1">
        <v>41188</v>
      </c>
      <c r="T1316" t="str">
        <f t="shared" si="41"/>
        <v>06-Oct-2012</v>
      </c>
    </row>
    <row r="1317" spans="1:20" x14ac:dyDescent="0.3">
      <c r="A1317">
        <v>40101</v>
      </c>
      <c r="B1317" s="1">
        <v>39844</v>
      </c>
      <c r="C1317" t="s">
        <v>18</v>
      </c>
      <c r="D1317" t="str">
        <f t="shared" si="40"/>
        <v>31-Jan-2009</v>
      </c>
      <c r="E1317">
        <v>46</v>
      </c>
      <c r="F1317" s="13">
        <v>2188.06</v>
      </c>
      <c r="G1317">
        <v>0.1</v>
      </c>
      <c r="H1317" t="s">
        <v>35</v>
      </c>
      <c r="I1317" s="13">
        <v>33.770000000000003</v>
      </c>
      <c r="J1317">
        <v>49.99</v>
      </c>
      <c r="K1317">
        <v>19.989999999999998</v>
      </c>
      <c r="L1317" t="s">
        <v>318</v>
      </c>
      <c r="M1317" t="s">
        <v>101</v>
      </c>
      <c r="N1317" s="5" t="s">
        <v>102</v>
      </c>
      <c r="O1317" t="s">
        <v>28</v>
      </c>
      <c r="P1317" t="s">
        <v>29</v>
      </c>
      <c r="Q1317" t="s">
        <v>41</v>
      </c>
      <c r="R1317">
        <v>0.45</v>
      </c>
      <c r="S1317" s="1">
        <v>39849</v>
      </c>
      <c r="T1317" t="str">
        <f t="shared" si="41"/>
        <v>05-Feb-2009</v>
      </c>
    </row>
    <row r="1318" spans="1:20" x14ac:dyDescent="0.3">
      <c r="A1318">
        <v>15906</v>
      </c>
      <c r="B1318" s="1">
        <v>40448</v>
      </c>
      <c r="C1318" t="s">
        <v>18</v>
      </c>
      <c r="D1318" t="str">
        <f t="shared" si="40"/>
        <v>27-Sep-2010</v>
      </c>
      <c r="E1318">
        <v>8</v>
      </c>
      <c r="F1318" s="13">
        <v>2174.96</v>
      </c>
      <c r="G1318">
        <v>0.05</v>
      </c>
      <c r="H1318" t="s">
        <v>24</v>
      </c>
      <c r="I1318" s="13">
        <v>-223.89</v>
      </c>
      <c r="J1318">
        <v>264.98</v>
      </c>
      <c r="K1318">
        <v>17.86</v>
      </c>
      <c r="L1318" t="s">
        <v>328</v>
      </c>
      <c r="M1318" t="s">
        <v>101</v>
      </c>
      <c r="N1318" s="5" t="s">
        <v>102</v>
      </c>
      <c r="O1318" t="s">
        <v>28</v>
      </c>
      <c r="P1318" t="s">
        <v>29</v>
      </c>
      <c r="Q1318" t="s">
        <v>74</v>
      </c>
      <c r="R1318">
        <v>0.57999999999999996</v>
      </c>
      <c r="S1318" s="1">
        <v>40450</v>
      </c>
      <c r="T1318" t="str">
        <f t="shared" si="41"/>
        <v>29-Sep-2010</v>
      </c>
    </row>
    <row r="1319" spans="1:20" x14ac:dyDescent="0.3">
      <c r="A1319">
        <v>38340</v>
      </c>
      <c r="B1319" s="1">
        <v>39833</v>
      </c>
      <c r="C1319" t="s">
        <v>43</v>
      </c>
      <c r="D1319" t="str">
        <f t="shared" si="40"/>
        <v>20-Jan-2009</v>
      </c>
      <c r="E1319">
        <v>36</v>
      </c>
      <c r="F1319" s="13">
        <v>2167.0500000000002</v>
      </c>
      <c r="G1319">
        <v>0.02</v>
      </c>
      <c r="H1319" t="s">
        <v>19</v>
      </c>
      <c r="I1319" s="13">
        <v>684.9</v>
      </c>
      <c r="J1319">
        <v>60.22</v>
      </c>
      <c r="K1319">
        <v>3.5</v>
      </c>
      <c r="L1319" t="s">
        <v>136</v>
      </c>
      <c r="M1319" t="s">
        <v>101</v>
      </c>
      <c r="N1319" s="5" t="s">
        <v>102</v>
      </c>
      <c r="O1319" t="s">
        <v>28</v>
      </c>
      <c r="P1319" t="s">
        <v>21</v>
      </c>
      <c r="Q1319" t="s">
        <v>25</v>
      </c>
      <c r="R1319">
        <v>0.56999999999999995</v>
      </c>
      <c r="S1319" s="1">
        <v>39834</v>
      </c>
      <c r="T1319" t="str">
        <f t="shared" si="41"/>
        <v>21-Jan-2009</v>
      </c>
    </row>
    <row r="1320" spans="1:20" x14ac:dyDescent="0.3">
      <c r="A1320">
        <v>48931</v>
      </c>
      <c r="B1320" s="1">
        <v>39981</v>
      </c>
      <c r="C1320" t="s">
        <v>18</v>
      </c>
      <c r="D1320" t="str">
        <f t="shared" si="40"/>
        <v>17-Jun-2009</v>
      </c>
      <c r="E1320">
        <v>42</v>
      </c>
      <c r="F1320" s="13">
        <v>2149.37</v>
      </c>
      <c r="G1320">
        <v>0.03</v>
      </c>
      <c r="H1320" t="s">
        <v>19</v>
      </c>
      <c r="I1320" s="13">
        <v>217.87</v>
      </c>
      <c r="J1320">
        <v>51.75</v>
      </c>
      <c r="K1320">
        <v>19.989999999999998</v>
      </c>
      <c r="L1320" t="s">
        <v>148</v>
      </c>
      <c r="M1320" t="s">
        <v>101</v>
      </c>
      <c r="N1320" s="5" t="s">
        <v>102</v>
      </c>
      <c r="O1320" t="s">
        <v>28</v>
      </c>
      <c r="P1320" t="s">
        <v>32</v>
      </c>
      <c r="Q1320" t="s">
        <v>33</v>
      </c>
      <c r="R1320">
        <v>0.55000000000000004</v>
      </c>
      <c r="S1320" s="1">
        <v>39986</v>
      </c>
      <c r="T1320" t="str">
        <f t="shared" si="41"/>
        <v>22-Jun-2009</v>
      </c>
    </row>
    <row r="1321" spans="1:20" x14ac:dyDescent="0.3">
      <c r="A1321">
        <v>29347</v>
      </c>
      <c r="B1321" s="1">
        <v>41133</v>
      </c>
      <c r="C1321" t="s">
        <v>38</v>
      </c>
      <c r="D1321" t="str">
        <f t="shared" si="40"/>
        <v>12-Aug-2012</v>
      </c>
      <c r="E1321">
        <v>50</v>
      </c>
      <c r="F1321" s="13">
        <v>2040.39</v>
      </c>
      <c r="G1321">
        <v>7.0000000000000007E-2</v>
      </c>
      <c r="H1321" t="s">
        <v>19</v>
      </c>
      <c r="I1321" s="13">
        <v>221.09</v>
      </c>
      <c r="J1321">
        <v>40.99</v>
      </c>
      <c r="K1321">
        <v>19.989999999999998</v>
      </c>
      <c r="L1321" t="s">
        <v>136</v>
      </c>
      <c r="M1321" t="s">
        <v>101</v>
      </c>
      <c r="N1321" s="5" t="s">
        <v>102</v>
      </c>
      <c r="O1321" t="s">
        <v>28</v>
      </c>
      <c r="P1321" t="s">
        <v>21</v>
      </c>
      <c r="Q1321" t="s">
        <v>37</v>
      </c>
      <c r="R1321">
        <v>0.36</v>
      </c>
      <c r="S1321" s="1">
        <v>41135</v>
      </c>
      <c r="T1321" t="str">
        <f t="shared" si="41"/>
        <v>14-Aug-2012</v>
      </c>
    </row>
    <row r="1322" spans="1:20" x14ac:dyDescent="0.3">
      <c r="A1322">
        <v>54501</v>
      </c>
      <c r="B1322" s="1">
        <v>41242</v>
      </c>
      <c r="C1322" t="s">
        <v>43</v>
      </c>
      <c r="D1322" t="str">
        <f t="shared" si="40"/>
        <v>29-Nov-2012</v>
      </c>
      <c r="E1322">
        <v>36</v>
      </c>
      <c r="F1322" s="13">
        <v>2039.0820000000001</v>
      </c>
      <c r="G1322">
        <v>0.01</v>
      </c>
      <c r="H1322" t="s">
        <v>19</v>
      </c>
      <c r="I1322" s="13">
        <v>481.7</v>
      </c>
      <c r="J1322">
        <v>65.989999999999995</v>
      </c>
      <c r="K1322">
        <v>4.99</v>
      </c>
      <c r="L1322" t="s">
        <v>87</v>
      </c>
      <c r="M1322" t="s">
        <v>101</v>
      </c>
      <c r="N1322" s="5" t="s">
        <v>102</v>
      </c>
      <c r="O1322" t="s">
        <v>28</v>
      </c>
      <c r="P1322" t="s">
        <v>29</v>
      </c>
      <c r="Q1322" t="s">
        <v>30</v>
      </c>
      <c r="R1322">
        <v>0.56999999999999995</v>
      </c>
      <c r="S1322" s="1">
        <v>41243</v>
      </c>
      <c r="T1322" t="str">
        <f t="shared" si="41"/>
        <v>30-Nov-2012</v>
      </c>
    </row>
    <row r="1323" spans="1:20" x14ac:dyDescent="0.3">
      <c r="A1323">
        <v>54150</v>
      </c>
      <c r="B1323" s="1">
        <v>40716</v>
      </c>
      <c r="C1323" t="s">
        <v>43</v>
      </c>
      <c r="D1323" t="str">
        <f t="shared" si="40"/>
        <v>22-Jun-2011</v>
      </c>
      <c r="E1323">
        <v>12</v>
      </c>
      <c r="F1323" s="13">
        <v>2011.6355000000001</v>
      </c>
      <c r="G1323">
        <v>0.01</v>
      </c>
      <c r="H1323" t="s">
        <v>35</v>
      </c>
      <c r="I1323" s="13">
        <v>-53.69</v>
      </c>
      <c r="J1323">
        <v>195.99</v>
      </c>
      <c r="K1323">
        <v>3.99</v>
      </c>
      <c r="L1323" t="s">
        <v>150</v>
      </c>
      <c r="M1323" t="s">
        <v>101</v>
      </c>
      <c r="N1323" s="5" t="s">
        <v>102</v>
      </c>
      <c r="O1323" t="s">
        <v>28</v>
      </c>
      <c r="P1323" t="s">
        <v>29</v>
      </c>
      <c r="Q1323" t="s">
        <v>30</v>
      </c>
      <c r="R1323">
        <v>0.59</v>
      </c>
      <c r="S1323" s="1">
        <v>40716</v>
      </c>
      <c r="T1323" t="str">
        <f t="shared" si="41"/>
        <v>22-Jun-2011</v>
      </c>
    </row>
    <row r="1324" spans="1:20" x14ac:dyDescent="0.3">
      <c r="A1324">
        <v>46885</v>
      </c>
      <c r="B1324" s="1">
        <v>40701</v>
      </c>
      <c r="C1324" t="s">
        <v>18</v>
      </c>
      <c r="D1324" t="str">
        <f t="shared" si="40"/>
        <v>07-Jun-2011</v>
      </c>
      <c r="E1324">
        <v>32</v>
      </c>
      <c r="F1324" s="13">
        <v>1997.13</v>
      </c>
      <c r="G1324">
        <v>0.05</v>
      </c>
      <c r="H1324" t="s">
        <v>19</v>
      </c>
      <c r="I1324" s="13">
        <v>720.45</v>
      </c>
      <c r="J1324">
        <v>63.94</v>
      </c>
      <c r="K1324">
        <v>14.48</v>
      </c>
      <c r="L1324" t="s">
        <v>147</v>
      </c>
      <c r="M1324" t="s">
        <v>101</v>
      </c>
      <c r="N1324" s="5" t="s">
        <v>102</v>
      </c>
      <c r="O1324" t="s">
        <v>28</v>
      </c>
      <c r="P1324" t="s">
        <v>32</v>
      </c>
      <c r="Q1324" t="s">
        <v>33</v>
      </c>
      <c r="R1324">
        <v>0.46</v>
      </c>
      <c r="S1324" s="1">
        <v>40706</v>
      </c>
      <c r="T1324" t="str">
        <f t="shared" si="41"/>
        <v>12-Jun-2011</v>
      </c>
    </row>
    <row r="1325" spans="1:20" x14ac:dyDescent="0.3">
      <c r="A1325">
        <v>53703</v>
      </c>
      <c r="B1325" s="1">
        <v>40343</v>
      </c>
      <c r="C1325" t="s">
        <v>31</v>
      </c>
      <c r="D1325" t="str">
        <f t="shared" si="40"/>
        <v>14-Jun-2010</v>
      </c>
      <c r="E1325">
        <v>14</v>
      </c>
      <c r="F1325" s="13">
        <v>1966.26</v>
      </c>
      <c r="G1325">
        <v>0.06</v>
      </c>
      <c r="H1325" t="s">
        <v>19</v>
      </c>
      <c r="I1325" s="13">
        <v>-34.79</v>
      </c>
      <c r="J1325">
        <v>140.85</v>
      </c>
      <c r="K1325">
        <v>19.989999999999998</v>
      </c>
      <c r="L1325" t="s">
        <v>87</v>
      </c>
      <c r="M1325" t="s">
        <v>101</v>
      </c>
      <c r="N1325" s="5" t="s">
        <v>102</v>
      </c>
      <c r="O1325" t="s">
        <v>28</v>
      </c>
      <c r="P1325" t="s">
        <v>21</v>
      </c>
      <c r="Q1325" t="s">
        <v>22</v>
      </c>
      <c r="R1325">
        <v>0.73</v>
      </c>
      <c r="S1325" s="1">
        <v>40344</v>
      </c>
      <c r="T1325" t="str">
        <f t="shared" si="41"/>
        <v>15-Jun-2010</v>
      </c>
    </row>
    <row r="1326" spans="1:20" x14ac:dyDescent="0.3">
      <c r="A1326">
        <v>50404</v>
      </c>
      <c r="B1326" s="1">
        <v>40628</v>
      </c>
      <c r="C1326" t="s">
        <v>23</v>
      </c>
      <c r="D1326" t="str">
        <f t="shared" si="40"/>
        <v>26-Mar-2011</v>
      </c>
      <c r="E1326">
        <v>10</v>
      </c>
      <c r="F1326" s="13">
        <v>1961.68</v>
      </c>
      <c r="G1326">
        <v>0.04</v>
      </c>
      <c r="H1326" t="s">
        <v>19</v>
      </c>
      <c r="I1326" s="13">
        <v>-367</v>
      </c>
      <c r="J1326">
        <v>182.55</v>
      </c>
      <c r="K1326">
        <v>69</v>
      </c>
      <c r="L1326" t="s">
        <v>87</v>
      </c>
      <c r="M1326" t="s">
        <v>101</v>
      </c>
      <c r="N1326" s="5" t="s">
        <v>102</v>
      </c>
      <c r="O1326" t="s">
        <v>28</v>
      </c>
      <c r="P1326" t="s">
        <v>32</v>
      </c>
      <c r="Q1326" t="s">
        <v>46</v>
      </c>
      <c r="R1326">
        <v>0.72</v>
      </c>
      <c r="S1326" s="1">
        <v>40630</v>
      </c>
      <c r="T1326" t="str">
        <f t="shared" si="41"/>
        <v>28-Mar-2011</v>
      </c>
    </row>
    <row r="1327" spans="1:20" x14ac:dyDescent="0.3">
      <c r="A1327">
        <v>902</v>
      </c>
      <c r="B1327" s="1">
        <v>40020</v>
      </c>
      <c r="C1327" t="s">
        <v>31</v>
      </c>
      <c r="D1327" t="str">
        <f t="shared" si="40"/>
        <v>26-Jul-2009</v>
      </c>
      <c r="E1327">
        <v>10</v>
      </c>
      <c r="F1327" s="13">
        <v>1925.83</v>
      </c>
      <c r="G1327">
        <v>0.09</v>
      </c>
      <c r="H1327" t="s">
        <v>19</v>
      </c>
      <c r="I1327" s="13">
        <v>359.83</v>
      </c>
      <c r="J1327">
        <v>207.48</v>
      </c>
      <c r="K1327">
        <v>0.99</v>
      </c>
      <c r="L1327" t="s">
        <v>153</v>
      </c>
      <c r="M1327" t="s">
        <v>101</v>
      </c>
      <c r="N1327" s="5" t="s">
        <v>102</v>
      </c>
      <c r="O1327" t="s">
        <v>28</v>
      </c>
      <c r="P1327" t="s">
        <v>21</v>
      </c>
      <c r="Q1327" t="s">
        <v>25</v>
      </c>
      <c r="R1327">
        <v>0.55000000000000004</v>
      </c>
      <c r="S1327" s="1">
        <v>40023</v>
      </c>
      <c r="T1327" t="str">
        <f t="shared" si="41"/>
        <v>29-Jul-2009</v>
      </c>
    </row>
    <row r="1328" spans="1:20" x14ac:dyDescent="0.3">
      <c r="A1328">
        <v>46721</v>
      </c>
      <c r="B1328" s="1">
        <v>40069</v>
      </c>
      <c r="C1328" t="s">
        <v>38</v>
      </c>
      <c r="D1328" t="str">
        <f t="shared" si="40"/>
        <v>13-Sep-2009</v>
      </c>
      <c r="E1328">
        <v>17</v>
      </c>
      <c r="F1328" s="13">
        <v>1912.76</v>
      </c>
      <c r="G1328">
        <v>0.03</v>
      </c>
      <c r="H1328" t="s">
        <v>19</v>
      </c>
      <c r="I1328" s="13">
        <v>71.56</v>
      </c>
      <c r="J1328">
        <v>111.03</v>
      </c>
      <c r="K1328">
        <v>8.64</v>
      </c>
      <c r="L1328" t="s">
        <v>330</v>
      </c>
      <c r="M1328" t="s">
        <v>101</v>
      </c>
      <c r="N1328" s="5" t="s">
        <v>102</v>
      </c>
      <c r="O1328" t="s">
        <v>28</v>
      </c>
      <c r="P1328" t="s">
        <v>21</v>
      </c>
      <c r="Q1328" t="s">
        <v>22</v>
      </c>
      <c r="R1328">
        <v>0.78</v>
      </c>
      <c r="S1328" s="1">
        <v>40070</v>
      </c>
      <c r="T1328" t="str">
        <f t="shared" si="41"/>
        <v>14-Sep-2009</v>
      </c>
    </row>
    <row r="1329" spans="1:20" x14ac:dyDescent="0.3">
      <c r="A1329">
        <v>52225</v>
      </c>
      <c r="B1329" s="1">
        <v>41011</v>
      </c>
      <c r="C1329" t="s">
        <v>43</v>
      </c>
      <c r="D1329" t="str">
        <f t="shared" si="40"/>
        <v>12-Apr-2012</v>
      </c>
      <c r="E1329">
        <v>33</v>
      </c>
      <c r="F1329" s="13">
        <v>1817.9</v>
      </c>
      <c r="G1329">
        <v>0.06</v>
      </c>
      <c r="H1329" t="s">
        <v>19</v>
      </c>
      <c r="I1329" s="13">
        <v>700.31</v>
      </c>
      <c r="J1329">
        <v>54.96</v>
      </c>
      <c r="K1329">
        <v>10.75</v>
      </c>
      <c r="L1329" t="s">
        <v>149</v>
      </c>
      <c r="M1329" t="s">
        <v>101</v>
      </c>
      <c r="N1329" s="5" t="s">
        <v>102</v>
      </c>
      <c r="O1329" t="s">
        <v>28</v>
      </c>
      <c r="P1329" t="s">
        <v>21</v>
      </c>
      <c r="Q1329" t="s">
        <v>37</v>
      </c>
      <c r="R1329">
        <v>0.36</v>
      </c>
      <c r="S1329" s="1">
        <v>41012</v>
      </c>
      <c r="T1329" t="str">
        <f t="shared" si="41"/>
        <v>13-Apr-2012</v>
      </c>
    </row>
    <row r="1330" spans="1:20" x14ac:dyDescent="0.3">
      <c r="A1330">
        <v>20036</v>
      </c>
      <c r="B1330" s="1">
        <v>40517</v>
      </c>
      <c r="C1330" t="s">
        <v>31</v>
      </c>
      <c r="D1330" t="str">
        <f t="shared" si="40"/>
        <v>05-Dec-2010</v>
      </c>
      <c r="E1330">
        <v>21</v>
      </c>
      <c r="F1330" s="13">
        <v>1745.1179999999999</v>
      </c>
      <c r="G1330">
        <v>0.03</v>
      </c>
      <c r="H1330" t="s">
        <v>19</v>
      </c>
      <c r="I1330" s="13">
        <v>307.25</v>
      </c>
      <c r="J1330">
        <v>95.99</v>
      </c>
      <c r="K1330">
        <v>4.9000000000000004</v>
      </c>
      <c r="L1330" t="s">
        <v>318</v>
      </c>
      <c r="M1330" t="s">
        <v>101</v>
      </c>
      <c r="N1330" s="5" t="s">
        <v>102</v>
      </c>
      <c r="O1330" t="s">
        <v>28</v>
      </c>
      <c r="P1330" t="s">
        <v>29</v>
      </c>
      <c r="Q1330" t="s">
        <v>30</v>
      </c>
      <c r="R1330">
        <v>0.56000000000000005</v>
      </c>
      <c r="S1330" s="1">
        <v>40519</v>
      </c>
      <c r="T1330" t="str">
        <f t="shared" si="41"/>
        <v>07-Dec-2010</v>
      </c>
    </row>
    <row r="1331" spans="1:20" x14ac:dyDescent="0.3">
      <c r="A1331">
        <v>7107</v>
      </c>
      <c r="B1331" s="1">
        <v>40912</v>
      </c>
      <c r="C1331" t="s">
        <v>31</v>
      </c>
      <c r="D1331" t="str">
        <f t="shared" si="40"/>
        <v>04-Jan-2012</v>
      </c>
      <c r="E1331">
        <v>32</v>
      </c>
      <c r="F1331" s="13">
        <v>1724.82</v>
      </c>
      <c r="G1331">
        <v>0.1</v>
      </c>
      <c r="H1331" t="s">
        <v>19</v>
      </c>
      <c r="I1331" s="13">
        <v>407.8</v>
      </c>
      <c r="J1331">
        <v>55.29</v>
      </c>
      <c r="K1331">
        <v>5.08</v>
      </c>
      <c r="L1331" t="s">
        <v>321</v>
      </c>
      <c r="M1331" t="s">
        <v>101</v>
      </c>
      <c r="N1331" s="5" t="s">
        <v>102</v>
      </c>
      <c r="O1331" t="s">
        <v>28</v>
      </c>
      <c r="P1331" t="s">
        <v>21</v>
      </c>
      <c r="Q1331" t="s">
        <v>22</v>
      </c>
      <c r="R1331">
        <v>0.59</v>
      </c>
      <c r="S1331" s="1">
        <v>40913</v>
      </c>
      <c r="T1331" t="str">
        <f t="shared" si="41"/>
        <v>05-Jan-2012</v>
      </c>
    </row>
    <row r="1332" spans="1:20" x14ac:dyDescent="0.3">
      <c r="A1332">
        <v>870</v>
      </c>
      <c r="B1332" s="1">
        <v>40348</v>
      </c>
      <c r="C1332" t="s">
        <v>31</v>
      </c>
      <c r="D1332" t="str">
        <f t="shared" si="40"/>
        <v>19-Jun-2010</v>
      </c>
      <c r="E1332">
        <v>23</v>
      </c>
      <c r="F1332" s="13">
        <v>1661.04</v>
      </c>
      <c r="G1332">
        <v>0.04</v>
      </c>
      <c r="H1332" t="s">
        <v>19</v>
      </c>
      <c r="I1332" s="13">
        <v>475.54</v>
      </c>
      <c r="J1332">
        <v>70.97</v>
      </c>
      <c r="K1332">
        <v>3.5</v>
      </c>
      <c r="L1332" t="s">
        <v>323</v>
      </c>
      <c r="M1332" t="s">
        <v>101</v>
      </c>
      <c r="N1332" s="5" t="s">
        <v>102</v>
      </c>
      <c r="O1332" t="s">
        <v>28</v>
      </c>
      <c r="P1332" t="s">
        <v>21</v>
      </c>
      <c r="Q1332" t="s">
        <v>25</v>
      </c>
      <c r="R1332">
        <v>0.59</v>
      </c>
      <c r="S1332" s="1">
        <v>40348</v>
      </c>
      <c r="T1332" t="str">
        <f t="shared" si="41"/>
        <v>19-Jun-2010</v>
      </c>
    </row>
    <row r="1333" spans="1:20" x14ac:dyDescent="0.3">
      <c r="A1333">
        <v>58086</v>
      </c>
      <c r="B1333" s="1">
        <v>40612</v>
      </c>
      <c r="C1333" t="s">
        <v>38</v>
      </c>
      <c r="D1333" t="str">
        <f t="shared" si="40"/>
        <v>10-Mar-2011</v>
      </c>
      <c r="E1333">
        <v>31</v>
      </c>
      <c r="F1333" s="13">
        <v>1638.2</v>
      </c>
      <c r="G1333">
        <v>0.1</v>
      </c>
      <c r="H1333" t="s">
        <v>19</v>
      </c>
      <c r="I1333" s="13">
        <v>471.22</v>
      </c>
      <c r="J1333">
        <v>55.98</v>
      </c>
      <c r="K1333">
        <v>13.88</v>
      </c>
      <c r="L1333" t="s">
        <v>287</v>
      </c>
      <c r="M1333" t="s">
        <v>101</v>
      </c>
      <c r="N1333" s="5" t="s">
        <v>102</v>
      </c>
      <c r="O1333" t="s">
        <v>28</v>
      </c>
      <c r="P1333" t="s">
        <v>21</v>
      </c>
      <c r="Q1333" t="s">
        <v>37</v>
      </c>
      <c r="R1333">
        <v>0.36</v>
      </c>
      <c r="S1333" s="1">
        <v>40613</v>
      </c>
      <c r="T1333" t="str">
        <f t="shared" si="41"/>
        <v>11-Mar-2011</v>
      </c>
    </row>
    <row r="1334" spans="1:20" x14ac:dyDescent="0.3">
      <c r="A1334">
        <v>3110</v>
      </c>
      <c r="B1334" s="1">
        <v>40163</v>
      </c>
      <c r="C1334" t="s">
        <v>23</v>
      </c>
      <c r="D1334" t="str">
        <f t="shared" si="40"/>
        <v>16-Dec-2009</v>
      </c>
      <c r="E1334">
        <v>13</v>
      </c>
      <c r="F1334" s="13">
        <v>1601.32</v>
      </c>
      <c r="G1334">
        <v>0.04</v>
      </c>
      <c r="H1334" t="s">
        <v>24</v>
      </c>
      <c r="I1334" s="13">
        <v>377.81</v>
      </c>
      <c r="J1334">
        <v>119.99</v>
      </c>
      <c r="K1334">
        <v>14</v>
      </c>
      <c r="L1334" t="s">
        <v>155</v>
      </c>
      <c r="M1334" t="s">
        <v>101</v>
      </c>
      <c r="N1334" s="5" t="s">
        <v>102</v>
      </c>
      <c r="O1334" t="s">
        <v>28</v>
      </c>
      <c r="P1334" t="s">
        <v>29</v>
      </c>
      <c r="Q1334" t="s">
        <v>74</v>
      </c>
      <c r="R1334">
        <v>0.36</v>
      </c>
      <c r="S1334" s="1">
        <v>40165</v>
      </c>
      <c r="T1334" t="str">
        <f t="shared" si="41"/>
        <v>18-Dec-2009</v>
      </c>
    </row>
    <row r="1335" spans="1:20" x14ac:dyDescent="0.3">
      <c r="A1335">
        <v>43398</v>
      </c>
      <c r="B1335" s="1">
        <v>40657</v>
      </c>
      <c r="C1335" t="s">
        <v>31</v>
      </c>
      <c r="D1335" t="str">
        <f t="shared" si="40"/>
        <v>24-Apr-2011</v>
      </c>
      <c r="E1335">
        <v>10</v>
      </c>
      <c r="F1335" s="13">
        <v>1600.85</v>
      </c>
      <c r="G1335">
        <v>7.0000000000000007E-2</v>
      </c>
      <c r="H1335" t="s">
        <v>24</v>
      </c>
      <c r="I1335" s="13">
        <v>-193.97</v>
      </c>
      <c r="J1335">
        <v>159.31</v>
      </c>
      <c r="K1335">
        <v>60</v>
      </c>
      <c r="L1335" t="s">
        <v>318</v>
      </c>
      <c r="M1335" t="s">
        <v>101</v>
      </c>
      <c r="N1335" s="5" t="s">
        <v>102</v>
      </c>
      <c r="O1335" t="s">
        <v>28</v>
      </c>
      <c r="P1335" t="s">
        <v>32</v>
      </c>
      <c r="Q1335" t="s">
        <v>46</v>
      </c>
      <c r="R1335">
        <v>0.55000000000000004</v>
      </c>
      <c r="S1335" s="1">
        <v>40658</v>
      </c>
      <c r="T1335" t="str">
        <f t="shared" si="41"/>
        <v>25-Apr-2011</v>
      </c>
    </row>
    <row r="1336" spans="1:20" x14ac:dyDescent="0.3">
      <c r="A1336">
        <v>13765</v>
      </c>
      <c r="B1336" s="1">
        <v>39908</v>
      </c>
      <c r="C1336" t="s">
        <v>31</v>
      </c>
      <c r="D1336" t="str">
        <f t="shared" si="40"/>
        <v>05-Apr-2009</v>
      </c>
      <c r="E1336">
        <v>45</v>
      </c>
      <c r="F1336" s="13">
        <v>1553.38</v>
      </c>
      <c r="G1336">
        <v>0.1</v>
      </c>
      <c r="H1336" t="s">
        <v>19</v>
      </c>
      <c r="I1336" s="13">
        <v>180.88</v>
      </c>
      <c r="J1336">
        <v>36.549999999999997</v>
      </c>
      <c r="K1336">
        <v>13.89</v>
      </c>
      <c r="L1336" t="s">
        <v>322</v>
      </c>
      <c r="M1336" t="s">
        <v>101</v>
      </c>
      <c r="N1336" s="5" t="s">
        <v>102</v>
      </c>
      <c r="O1336" t="s">
        <v>28</v>
      </c>
      <c r="P1336" t="s">
        <v>21</v>
      </c>
      <c r="Q1336" t="s">
        <v>50</v>
      </c>
      <c r="R1336">
        <v>0.41</v>
      </c>
      <c r="S1336" s="1">
        <v>39910</v>
      </c>
      <c r="T1336" t="str">
        <f t="shared" si="41"/>
        <v>07-Apr-2009</v>
      </c>
    </row>
    <row r="1337" spans="1:20" x14ac:dyDescent="0.3">
      <c r="A1337">
        <v>27364</v>
      </c>
      <c r="B1337" s="1">
        <v>40683</v>
      </c>
      <c r="C1337" t="s">
        <v>38</v>
      </c>
      <c r="D1337" t="str">
        <f t="shared" si="40"/>
        <v>20-May-2011</v>
      </c>
      <c r="E1337">
        <v>29</v>
      </c>
      <c r="F1337" s="13">
        <v>1529.0564999999999</v>
      </c>
      <c r="G1337">
        <v>0.06</v>
      </c>
      <c r="H1337" t="s">
        <v>19</v>
      </c>
      <c r="I1337" s="13">
        <v>201.73</v>
      </c>
      <c r="J1337">
        <v>65.989999999999995</v>
      </c>
      <c r="K1337">
        <v>3.99</v>
      </c>
      <c r="L1337" t="s">
        <v>162</v>
      </c>
      <c r="M1337" t="s">
        <v>101</v>
      </c>
      <c r="N1337" s="5" t="s">
        <v>102</v>
      </c>
      <c r="O1337" t="s">
        <v>28</v>
      </c>
      <c r="P1337" t="s">
        <v>29</v>
      </c>
      <c r="Q1337" t="s">
        <v>30</v>
      </c>
      <c r="R1337">
        <v>0.59</v>
      </c>
      <c r="S1337" s="1">
        <v>40685</v>
      </c>
      <c r="T1337" t="str">
        <f t="shared" si="41"/>
        <v>22-May-2011</v>
      </c>
    </row>
    <row r="1338" spans="1:20" x14ac:dyDescent="0.3">
      <c r="A1338">
        <v>37252</v>
      </c>
      <c r="B1338" s="1">
        <v>40866</v>
      </c>
      <c r="C1338" t="s">
        <v>18</v>
      </c>
      <c r="D1338" t="str">
        <f t="shared" si="40"/>
        <v>19-Nov-2011</v>
      </c>
      <c r="E1338">
        <v>21</v>
      </c>
      <c r="F1338" s="13">
        <v>1503.49</v>
      </c>
      <c r="G1338">
        <v>0.03</v>
      </c>
      <c r="H1338" t="s">
        <v>19</v>
      </c>
      <c r="I1338" s="13">
        <v>408.73</v>
      </c>
      <c r="J1338">
        <v>70.97</v>
      </c>
      <c r="K1338">
        <v>3.5</v>
      </c>
      <c r="L1338" t="s">
        <v>321</v>
      </c>
      <c r="M1338" t="s">
        <v>101</v>
      </c>
      <c r="N1338" s="5" t="s">
        <v>102</v>
      </c>
      <c r="O1338" t="s">
        <v>28</v>
      </c>
      <c r="P1338" t="s">
        <v>21</v>
      </c>
      <c r="Q1338" t="s">
        <v>25</v>
      </c>
      <c r="R1338">
        <v>0.59</v>
      </c>
      <c r="S1338" s="1">
        <v>40868</v>
      </c>
      <c r="T1338" t="str">
        <f t="shared" si="41"/>
        <v>21-Nov-2011</v>
      </c>
    </row>
    <row r="1339" spans="1:20" x14ac:dyDescent="0.3">
      <c r="A1339">
        <v>55618</v>
      </c>
      <c r="B1339" s="1">
        <v>40929</v>
      </c>
      <c r="C1339" t="s">
        <v>38</v>
      </c>
      <c r="D1339" t="str">
        <f t="shared" si="40"/>
        <v>21-Jan-2012</v>
      </c>
      <c r="E1339">
        <v>48</v>
      </c>
      <c r="F1339" s="13">
        <v>1494.232</v>
      </c>
      <c r="G1339">
        <v>0.04</v>
      </c>
      <c r="H1339" t="s">
        <v>19</v>
      </c>
      <c r="I1339" s="13">
        <v>479.95</v>
      </c>
      <c r="J1339">
        <v>35.99</v>
      </c>
      <c r="K1339">
        <v>1.25</v>
      </c>
      <c r="L1339" t="s">
        <v>103</v>
      </c>
      <c r="M1339" t="s">
        <v>101</v>
      </c>
      <c r="N1339" s="5" t="s">
        <v>102</v>
      </c>
      <c r="O1339" t="s">
        <v>28</v>
      </c>
      <c r="P1339" t="s">
        <v>29</v>
      </c>
      <c r="Q1339" t="s">
        <v>30</v>
      </c>
      <c r="R1339">
        <v>0.56999999999999995</v>
      </c>
      <c r="S1339" s="1">
        <v>40930</v>
      </c>
      <c r="T1339" t="str">
        <f t="shared" si="41"/>
        <v>22-Jan-2012</v>
      </c>
    </row>
    <row r="1340" spans="1:20" x14ac:dyDescent="0.3">
      <c r="A1340">
        <v>50054</v>
      </c>
      <c r="B1340" s="1">
        <v>40427</v>
      </c>
      <c r="C1340" t="s">
        <v>31</v>
      </c>
      <c r="D1340" t="str">
        <f t="shared" si="40"/>
        <v>06-Sep-2010</v>
      </c>
      <c r="E1340">
        <v>41</v>
      </c>
      <c r="F1340" s="13">
        <v>1439.96</v>
      </c>
      <c r="G1340">
        <v>0.02</v>
      </c>
      <c r="H1340" t="s">
        <v>19</v>
      </c>
      <c r="I1340" s="13">
        <v>182.46</v>
      </c>
      <c r="J1340">
        <v>33.29</v>
      </c>
      <c r="K1340">
        <v>8.74</v>
      </c>
      <c r="L1340" t="s">
        <v>265</v>
      </c>
      <c r="M1340" t="s">
        <v>101</v>
      </c>
      <c r="N1340" s="5" t="s">
        <v>102</v>
      </c>
      <c r="O1340" t="s">
        <v>28</v>
      </c>
      <c r="P1340" t="s">
        <v>21</v>
      </c>
      <c r="Q1340" t="s">
        <v>22</v>
      </c>
      <c r="R1340">
        <v>0.61</v>
      </c>
      <c r="S1340" s="1">
        <v>40429</v>
      </c>
      <c r="T1340" t="str">
        <f t="shared" si="41"/>
        <v>08-Sep-2010</v>
      </c>
    </row>
    <row r="1341" spans="1:20" x14ac:dyDescent="0.3">
      <c r="A1341">
        <v>28928</v>
      </c>
      <c r="B1341" s="1">
        <v>40298</v>
      </c>
      <c r="C1341" t="s">
        <v>18</v>
      </c>
      <c r="D1341" t="str">
        <f t="shared" si="40"/>
        <v>30-Apr-2010</v>
      </c>
      <c r="E1341">
        <v>46</v>
      </c>
      <c r="F1341" s="13">
        <v>1397.383</v>
      </c>
      <c r="G1341">
        <v>0.01</v>
      </c>
      <c r="H1341" t="s">
        <v>19</v>
      </c>
      <c r="I1341" s="13">
        <v>-135.86000000000001</v>
      </c>
      <c r="J1341">
        <v>35.99</v>
      </c>
      <c r="K1341">
        <v>5</v>
      </c>
      <c r="L1341" t="s">
        <v>337</v>
      </c>
      <c r="M1341" t="s">
        <v>101</v>
      </c>
      <c r="N1341" s="5" t="s">
        <v>102</v>
      </c>
      <c r="O1341" t="s">
        <v>28</v>
      </c>
      <c r="P1341" t="s">
        <v>29</v>
      </c>
      <c r="Q1341" t="s">
        <v>30</v>
      </c>
      <c r="R1341">
        <v>0.82</v>
      </c>
      <c r="S1341" s="1">
        <v>40300</v>
      </c>
      <c r="T1341" t="str">
        <f t="shared" si="41"/>
        <v>02-May-2010</v>
      </c>
    </row>
    <row r="1342" spans="1:20" x14ac:dyDescent="0.3">
      <c r="A1342">
        <v>50242</v>
      </c>
      <c r="B1342" s="1">
        <v>40378</v>
      </c>
      <c r="C1342" t="s">
        <v>31</v>
      </c>
      <c r="D1342" t="str">
        <f t="shared" si="40"/>
        <v>19-Jul-2010</v>
      </c>
      <c r="E1342">
        <v>8</v>
      </c>
      <c r="F1342" s="13">
        <v>1391.7645</v>
      </c>
      <c r="G1342">
        <v>0.08</v>
      </c>
      <c r="H1342" t="s">
        <v>19</v>
      </c>
      <c r="I1342" s="13">
        <v>-426.07</v>
      </c>
      <c r="J1342">
        <v>205.99</v>
      </c>
      <c r="K1342">
        <v>8.99</v>
      </c>
      <c r="L1342" t="s">
        <v>328</v>
      </c>
      <c r="M1342" t="s">
        <v>101</v>
      </c>
      <c r="N1342" s="5" t="s">
        <v>102</v>
      </c>
      <c r="O1342" t="s">
        <v>28</v>
      </c>
      <c r="P1342" t="s">
        <v>29</v>
      </c>
      <c r="Q1342" t="s">
        <v>30</v>
      </c>
      <c r="R1342">
        <v>0.56000000000000005</v>
      </c>
      <c r="S1342" s="1">
        <v>40380</v>
      </c>
      <c r="T1342" t="str">
        <f t="shared" si="41"/>
        <v>21-Jul-2010</v>
      </c>
    </row>
    <row r="1343" spans="1:20" x14ac:dyDescent="0.3">
      <c r="A1343">
        <v>11908</v>
      </c>
      <c r="B1343" s="1">
        <v>40323</v>
      </c>
      <c r="C1343" t="s">
        <v>31</v>
      </c>
      <c r="D1343" t="str">
        <f t="shared" si="40"/>
        <v>25-May-2010</v>
      </c>
      <c r="E1343">
        <v>5</v>
      </c>
      <c r="F1343" s="13">
        <v>1386.6</v>
      </c>
      <c r="G1343">
        <v>0.09</v>
      </c>
      <c r="H1343" t="s">
        <v>24</v>
      </c>
      <c r="I1343" s="13">
        <v>-556.17999999999995</v>
      </c>
      <c r="J1343">
        <v>280.98</v>
      </c>
      <c r="K1343">
        <v>57</v>
      </c>
      <c r="L1343" t="s">
        <v>249</v>
      </c>
      <c r="M1343" t="s">
        <v>101</v>
      </c>
      <c r="N1343" s="5" t="s">
        <v>102</v>
      </c>
      <c r="O1343" t="s">
        <v>28</v>
      </c>
      <c r="P1343" t="s">
        <v>32</v>
      </c>
      <c r="Q1343" t="s">
        <v>56</v>
      </c>
      <c r="R1343">
        <v>0.78</v>
      </c>
      <c r="S1343" s="1">
        <v>40325</v>
      </c>
      <c r="T1343" t="str">
        <f t="shared" si="41"/>
        <v>27-May-2010</v>
      </c>
    </row>
    <row r="1344" spans="1:20" x14ac:dyDescent="0.3">
      <c r="A1344">
        <v>8288</v>
      </c>
      <c r="B1344" s="1">
        <v>40672</v>
      </c>
      <c r="C1344" t="s">
        <v>43</v>
      </c>
      <c r="D1344" t="str">
        <f t="shared" si="40"/>
        <v>09-May-2011</v>
      </c>
      <c r="E1344">
        <v>22</v>
      </c>
      <c r="F1344" s="13">
        <v>1337.81</v>
      </c>
      <c r="G1344">
        <v>0.02</v>
      </c>
      <c r="H1344" t="s">
        <v>19</v>
      </c>
      <c r="I1344" s="13">
        <v>407.12</v>
      </c>
      <c r="J1344">
        <v>59.78</v>
      </c>
      <c r="K1344">
        <v>10.29</v>
      </c>
      <c r="L1344" t="s">
        <v>249</v>
      </c>
      <c r="M1344" t="s">
        <v>101</v>
      </c>
      <c r="N1344" s="5" t="s">
        <v>102</v>
      </c>
      <c r="O1344" t="s">
        <v>28</v>
      </c>
      <c r="P1344" t="s">
        <v>21</v>
      </c>
      <c r="Q1344" t="s">
        <v>26</v>
      </c>
      <c r="R1344">
        <v>0.39</v>
      </c>
      <c r="S1344" s="1">
        <v>40673</v>
      </c>
      <c r="T1344" t="str">
        <f t="shared" si="41"/>
        <v>10-May-2011</v>
      </c>
    </row>
    <row r="1345" spans="1:20" x14ac:dyDescent="0.3">
      <c r="A1345">
        <v>35782</v>
      </c>
      <c r="B1345" s="1">
        <v>40760</v>
      </c>
      <c r="C1345" t="s">
        <v>18</v>
      </c>
      <c r="D1345" t="str">
        <f t="shared" si="40"/>
        <v>05-Aug-2011</v>
      </c>
      <c r="E1345">
        <v>13</v>
      </c>
      <c r="F1345" s="13">
        <v>1330.73</v>
      </c>
      <c r="G1345">
        <v>0.06</v>
      </c>
      <c r="H1345" t="s">
        <v>24</v>
      </c>
      <c r="I1345" s="13">
        <v>-450.1</v>
      </c>
      <c r="J1345">
        <v>105.49</v>
      </c>
      <c r="K1345">
        <v>41.64</v>
      </c>
      <c r="L1345" t="s">
        <v>255</v>
      </c>
      <c r="M1345" t="s">
        <v>101</v>
      </c>
      <c r="N1345" s="5" t="s">
        <v>102</v>
      </c>
      <c r="O1345" t="s">
        <v>28</v>
      </c>
      <c r="P1345" t="s">
        <v>32</v>
      </c>
      <c r="Q1345" t="s">
        <v>46</v>
      </c>
      <c r="R1345">
        <v>0.75</v>
      </c>
      <c r="S1345" s="1">
        <v>40765</v>
      </c>
      <c r="T1345" t="str">
        <f t="shared" si="41"/>
        <v>10-Aug-2011</v>
      </c>
    </row>
    <row r="1346" spans="1:20" x14ac:dyDescent="0.3">
      <c r="A1346">
        <v>53477</v>
      </c>
      <c r="B1346" s="1">
        <v>41034</v>
      </c>
      <c r="C1346" t="s">
        <v>23</v>
      </c>
      <c r="D1346" t="str">
        <f t="shared" ref="D1346:D1409" si="42">TEXT(B1346, "dd-mmm-yyyy" )</f>
        <v>05-May-2012</v>
      </c>
      <c r="E1346">
        <v>36</v>
      </c>
      <c r="F1346" s="13">
        <v>1314.65</v>
      </c>
      <c r="G1346">
        <v>0.06</v>
      </c>
      <c r="H1346" t="s">
        <v>19</v>
      </c>
      <c r="I1346" s="13">
        <v>536.87</v>
      </c>
      <c r="J1346">
        <v>37.94</v>
      </c>
      <c r="K1346">
        <v>5.08</v>
      </c>
      <c r="L1346" t="s">
        <v>90</v>
      </c>
      <c r="M1346" t="s">
        <v>101</v>
      </c>
      <c r="N1346" s="5" t="s">
        <v>102</v>
      </c>
      <c r="O1346" t="s">
        <v>28</v>
      </c>
      <c r="P1346" t="s">
        <v>21</v>
      </c>
      <c r="Q1346" t="s">
        <v>37</v>
      </c>
      <c r="R1346">
        <v>0.38</v>
      </c>
      <c r="S1346" s="1">
        <v>41036</v>
      </c>
      <c r="T1346" t="str">
        <f t="shared" ref="T1346:T1409" si="43">TEXT(S1346, "dd-mmm-yyyy")</f>
        <v>07-May-2012</v>
      </c>
    </row>
    <row r="1347" spans="1:20" x14ac:dyDescent="0.3">
      <c r="A1347">
        <v>24544</v>
      </c>
      <c r="B1347" s="1">
        <v>39839</v>
      </c>
      <c r="C1347" t="s">
        <v>23</v>
      </c>
      <c r="D1347" t="str">
        <f t="shared" si="42"/>
        <v>26-Jan-2009</v>
      </c>
      <c r="E1347">
        <v>39</v>
      </c>
      <c r="F1347" s="13">
        <v>1243.45</v>
      </c>
      <c r="G1347">
        <v>0.1</v>
      </c>
      <c r="H1347" t="s">
        <v>19</v>
      </c>
      <c r="I1347" s="13">
        <v>-1212.55</v>
      </c>
      <c r="J1347">
        <v>32.479999999999997</v>
      </c>
      <c r="K1347">
        <v>35</v>
      </c>
      <c r="L1347" t="s">
        <v>136</v>
      </c>
      <c r="M1347" t="s">
        <v>101</v>
      </c>
      <c r="N1347" s="5" t="s">
        <v>102</v>
      </c>
      <c r="O1347" t="s">
        <v>28</v>
      </c>
      <c r="P1347" t="s">
        <v>21</v>
      </c>
      <c r="Q1347" t="s">
        <v>22</v>
      </c>
      <c r="R1347">
        <v>0.81</v>
      </c>
      <c r="S1347" s="1">
        <v>39840</v>
      </c>
      <c r="T1347" t="str">
        <f t="shared" si="43"/>
        <v>27-Jan-2009</v>
      </c>
    </row>
    <row r="1348" spans="1:20" x14ac:dyDescent="0.3">
      <c r="A1348">
        <v>47941</v>
      </c>
      <c r="B1348" s="1">
        <v>40033</v>
      </c>
      <c r="C1348" t="s">
        <v>23</v>
      </c>
      <c r="D1348" t="str">
        <f t="shared" si="42"/>
        <v>08-Aug-2009</v>
      </c>
      <c r="E1348">
        <v>15</v>
      </c>
      <c r="F1348" s="13">
        <v>1187.1524999999999</v>
      </c>
      <c r="G1348">
        <v>0.03</v>
      </c>
      <c r="H1348" t="s">
        <v>19</v>
      </c>
      <c r="I1348" s="13">
        <v>33.19</v>
      </c>
      <c r="J1348">
        <v>95.99</v>
      </c>
      <c r="K1348">
        <v>4.9000000000000004</v>
      </c>
      <c r="L1348" t="s">
        <v>333</v>
      </c>
      <c r="M1348" t="s">
        <v>101</v>
      </c>
      <c r="N1348" s="5" t="s">
        <v>102</v>
      </c>
      <c r="O1348" t="s">
        <v>28</v>
      </c>
      <c r="P1348" t="s">
        <v>29</v>
      </c>
      <c r="Q1348" t="s">
        <v>30</v>
      </c>
      <c r="R1348">
        <v>0.56000000000000005</v>
      </c>
      <c r="S1348" s="1">
        <v>40033</v>
      </c>
      <c r="T1348" t="str">
        <f t="shared" si="43"/>
        <v>08-Aug-2009</v>
      </c>
    </row>
    <row r="1349" spans="1:20" x14ac:dyDescent="0.3">
      <c r="A1349">
        <v>48230</v>
      </c>
      <c r="B1349" s="1">
        <v>39869</v>
      </c>
      <c r="C1349" t="s">
        <v>31</v>
      </c>
      <c r="D1349" t="str">
        <f t="shared" si="42"/>
        <v>25-Feb-2009</v>
      </c>
      <c r="E1349">
        <v>39</v>
      </c>
      <c r="F1349" s="13">
        <v>1140.26</v>
      </c>
      <c r="G1349">
        <v>0.04</v>
      </c>
      <c r="H1349" t="s">
        <v>35</v>
      </c>
      <c r="I1349" s="13">
        <v>387.2</v>
      </c>
      <c r="J1349">
        <v>29.18</v>
      </c>
      <c r="K1349">
        <v>8.5500000000000007</v>
      </c>
      <c r="L1349" t="s">
        <v>149</v>
      </c>
      <c r="M1349" t="s">
        <v>101</v>
      </c>
      <c r="N1349" s="5" t="s">
        <v>102</v>
      </c>
      <c r="O1349" t="s">
        <v>28</v>
      </c>
      <c r="P1349" t="s">
        <v>32</v>
      </c>
      <c r="Q1349" t="s">
        <v>33</v>
      </c>
      <c r="R1349">
        <v>0.42</v>
      </c>
      <c r="S1349" s="1">
        <v>39871</v>
      </c>
      <c r="T1349" t="str">
        <f t="shared" si="43"/>
        <v>27-Feb-2009</v>
      </c>
    </row>
    <row r="1350" spans="1:20" x14ac:dyDescent="0.3">
      <c r="A1350">
        <v>55138</v>
      </c>
      <c r="B1350" s="1">
        <v>40080</v>
      </c>
      <c r="C1350" t="s">
        <v>23</v>
      </c>
      <c r="D1350" t="str">
        <f t="shared" si="42"/>
        <v>24-Sep-2009</v>
      </c>
      <c r="E1350">
        <v>22</v>
      </c>
      <c r="F1350" s="13">
        <v>1132.54</v>
      </c>
      <c r="G1350">
        <v>0</v>
      </c>
      <c r="H1350" t="s">
        <v>19</v>
      </c>
      <c r="I1350" s="13">
        <v>-628.38</v>
      </c>
      <c r="J1350">
        <v>48.91</v>
      </c>
      <c r="K1350">
        <v>35</v>
      </c>
      <c r="L1350" t="s">
        <v>99</v>
      </c>
      <c r="M1350" t="s">
        <v>101</v>
      </c>
      <c r="N1350" s="5" t="s">
        <v>102</v>
      </c>
      <c r="O1350" t="s">
        <v>28</v>
      </c>
      <c r="P1350" t="s">
        <v>21</v>
      </c>
      <c r="Q1350" t="s">
        <v>22</v>
      </c>
      <c r="R1350">
        <v>0.83</v>
      </c>
      <c r="S1350" s="1">
        <v>40081</v>
      </c>
      <c r="T1350" t="str">
        <f t="shared" si="43"/>
        <v>25-Sep-2009</v>
      </c>
    </row>
    <row r="1351" spans="1:20" x14ac:dyDescent="0.3">
      <c r="A1351">
        <v>56135</v>
      </c>
      <c r="B1351" s="1">
        <v>40495</v>
      </c>
      <c r="C1351" t="s">
        <v>38</v>
      </c>
      <c r="D1351" t="str">
        <f t="shared" si="42"/>
        <v>13-Nov-2010</v>
      </c>
      <c r="E1351">
        <v>8</v>
      </c>
      <c r="F1351" s="13">
        <v>1118.82</v>
      </c>
      <c r="G1351">
        <v>0.04</v>
      </c>
      <c r="H1351" t="s">
        <v>24</v>
      </c>
      <c r="I1351" s="13">
        <v>-320.3</v>
      </c>
      <c r="J1351">
        <v>140.97999999999999</v>
      </c>
      <c r="K1351">
        <v>36.090000000000003</v>
      </c>
      <c r="L1351" t="s">
        <v>139</v>
      </c>
      <c r="M1351" t="s">
        <v>101</v>
      </c>
      <c r="N1351" s="5" t="s">
        <v>102</v>
      </c>
      <c r="O1351" t="s">
        <v>28</v>
      </c>
      <c r="P1351" t="s">
        <v>32</v>
      </c>
      <c r="Q1351" t="s">
        <v>45</v>
      </c>
      <c r="R1351">
        <v>0.77</v>
      </c>
      <c r="S1351" s="1">
        <v>40497</v>
      </c>
      <c r="T1351" t="str">
        <f t="shared" si="43"/>
        <v>15-Nov-2010</v>
      </c>
    </row>
    <row r="1352" spans="1:20" x14ac:dyDescent="0.3">
      <c r="A1352">
        <v>47267</v>
      </c>
      <c r="B1352" s="1">
        <v>40541</v>
      </c>
      <c r="C1352" t="s">
        <v>38</v>
      </c>
      <c r="D1352" t="str">
        <f t="shared" si="42"/>
        <v>29-Dec-2010</v>
      </c>
      <c r="E1352">
        <v>14</v>
      </c>
      <c r="F1352" s="13">
        <v>1042.06</v>
      </c>
      <c r="G1352">
        <v>0.04</v>
      </c>
      <c r="H1352" t="s">
        <v>24</v>
      </c>
      <c r="I1352" s="13">
        <v>-931.25</v>
      </c>
      <c r="J1352">
        <v>70.89</v>
      </c>
      <c r="K1352">
        <v>89.3</v>
      </c>
      <c r="L1352" t="s">
        <v>139</v>
      </c>
      <c r="M1352" t="s">
        <v>101</v>
      </c>
      <c r="N1352" s="5" t="s">
        <v>102</v>
      </c>
      <c r="O1352" t="s">
        <v>28</v>
      </c>
      <c r="P1352" t="s">
        <v>32</v>
      </c>
      <c r="Q1352" t="s">
        <v>46</v>
      </c>
      <c r="R1352">
        <v>0.69</v>
      </c>
      <c r="S1352" s="1">
        <v>40542</v>
      </c>
      <c r="T1352" t="str">
        <f t="shared" si="43"/>
        <v>30-Dec-2010</v>
      </c>
    </row>
    <row r="1353" spans="1:20" x14ac:dyDescent="0.3">
      <c r="A1353">
        <v>4451</v>
      </c>
      <c r="B1353" s="1">
        <v>40086</v>
      </c>
      <c r="C1353" t="s">
        <v>43</v>
      </c>
      <c r="D1353" t="str">
        <f t="shared" si="42"/>
        <v>30-Sep-2009</v>
      </c>
      <c r="E1353">
        <v>47</v>
      </c>
      <c r="F1353" s="13">
        <v>992.95</v>
      </c>
      <c r="G1353">
        <v>0.04</v>
      </c>
      <c r="H1353" t="s">
        <v>19</v>
      </c>
      <c r="I1353" s="13">
        <v>-65.209999999999994</v>
      </c>
      <c r="J1353">
        <v>21.38</v>
      </c>
      <c r="K1353">
        <v>8.99</v>
      </c>
      <c r="L1353" t="s">
        <v>136</v>
      </c>
      <c r="M1353" t="s">
        <v>101</v>
      </c>
      <c r="N1353" s="5" t="s">
        <v>102</v>
      </c>
      <c r="O1353" t="s">
        <v>28</v>
      </c>
      <c r="P1353" t="s">
        <v>21</v>
      </c>
      <c r="Q1353" t="s">
        <v>50</v>
      </c>
      <c r="R1353">
        <v>0.59</v>
      </c>
      <c r="S1353" s="1">
        <v>40086</v>
      </c>
      <c r="T1353" t="str">
        <f t="shared" si="43"/>
        <v>30-Sep-2009</v>
      </c>
    </row>
    <row r="1354" spans="1:20" x14ac:dyDescent="0.3">
      <c r="A1354">
        <v>34400</v>
      </c>
      <c r="B1354" s="1">
        <v>41267</v>
      </c>
      <c r="C1354" t="s">
        <v>18</v>
      </c>
      <c r="D1354" t="str">
        <f t="shared" si="42"/>
        <v>24-Dec-2012</v>
      </c>
      <c r="E1354">
        <v>17</v>
      </c>
      <c r="F1354" s="13">
        <v>988.64350000000002</v>
      </c>
      <c r="G1354">
        <v>0.04</v>
      </c>
      <c r="H1354" t="s">
        <v>19</v>
      </c>
      <c r="I1354" s="13">
        <v>89.89</v>
      </c>
      <c r="J1354">
        <v>65.989999999999995</v>
      </c>
      <c r="K1354">
        <v>4.2</v>
      </c>
      <c r="L1354" t="s">
        <v>338</v>
      </c>
      <c r="M1354" t="s">
        <v>101</v>
      </c>
      <c r="N1354" s="5" t="s">
        <v>102</v>
      </c>
      <c r="O1354" t="s">
        <v>28</v>
      </c>
      <c r="P1354" t="s">
        <v>29</v>
      </c>
      <c r="Q1354" t="s">
        <v>30</v>
      </c>
      <c r="R1354">
        <v>0.59</v>
      </c>
      <c r="S1354" s="1">
        <v>41272</v>
      </c>
      <c r="T1354" t="str">
        <f t="shared" si="43"/>
        <v>29-Dec-2012</v>
      </c>
    </row>
    <row r="1355" spans="1:20" x14ac:dyDescent="0.3">
      <c r="A1355">
        <v>58788</v>
      </c>
      <c r="B1355" s="1">
        <v>40210</v>
      </c>
      <c r="C1355" t="s">
        <v>18</v>
      </c>
      <c r="D1355" t="str">
        <f t="shared" si="42"/>
        <v>01-Feb-2010</v>
      </c>
      <c r="E1355">
        <v>31</v>
      </c>
      <c r="F1355" s="13">
        <v>983.78</v>
      </c>
      <c r="G1355">
        <v>0.04</v>
      </c>
      <c r="H1355" t="s">
        <v>19</v>
      </c>
      <c r="I1355" s="13">
        <v>43.72</v>
      </c>
      <c r="J1355">
        <v>30.98</v>
      </c>
      <c r="K1355">
        <v>6.5</v>
      </c>
      <c r="L1355" t="s">
        <v>89</v>
      </c>
      <c r="M1355" t="s">
        <v>101</v>
      </c>
      <c r="N1355" s="5" t="s">
        <v>102</v>
      </c>
      <c r="O1355" t="s">
        <v>28</v>
      </c>
      <c r="P1355" t="s">
        <v>29</v>
      </c>
      <c r="Q1355" t="s">
        <v>41</v>
      </c>
      <c r="R1355">
        <v>0.64</v>
      </c>
      <c r="S1355" s="1">
        <v>40212</v>
      </c>
      <c r="T1355" t="str">
        <f t="shared" si="43"/>
        <v>03-Feb-2010</v>
      </c>
    </row>
    <row r="1356" spans="1:20" x14ac:dyDescent="0.3">
      <c r="A1356">
        <v>57058</v>
      </c>
      <c r="B1356" s="1">
        <v>41038</v>
      </c>
      <c r="C1356" t="s">
        <v>38</v>
      </c>
      <c r="D1356" t="str">
        <f t="shared" si="42"/>
        <v>09-May-2012</v>
      </c>
      <c r="E1356">
        <v>27</v>
      </c>
      <c r="F1356" s="13">
        <v>979.06</v>
      </c>
      <c r="G1356">
        <v>7.0000000000000007E-2</v>
      </c>
      <c r="H1356" t="s">
        <v>19</v>
      </c>
      <c r="I1356" s="13">
        <v>-131.9</v>
      </c>
      <c r="J1356">
        <v>35.770000000000003</v>
      </c>
      <c r="K1356">
        <v>9.02</v>
      </c>
      <c r="L1356" t="s">
        <v>54</v>
      </c>
      <c r="M1356" t="s">
        <v>101</v>
      </c>
      <c r="N1356" s="5" t="s">
        <v>102</v>
      </c>
      <c r="O1356" t="s">
        <v>28</v>
      </c>
      <c r="P1356" t="s">
        <v>29</v>
      </c>
      <c r="Q1356" t="s">
        <v>41</v>
      </c>
      <c r="R1356">
        <v>0.75</v>
      </c>
      <c r="S1356" s="1">
        <v>41039</v>
      </c>
      <c r="T1356" t="str">
        <f t="shared" si="43"/>
        <v>10-May-2012</v>
      </c>
    </row>
    <row r="1357" spans="1:20" x14ac:dyDescent="0.3">
      <c r="A1357">
        <v>20166</v>
      </c>
      <c r="B1357" s="1">
        <v>39876</v>
      </c>
      <c r="C1357" t="s">
        <v>18</v>
      </c>
      <c r="D1357" t="str">
        <f t="shared" si="42"/>
        <v>04-Mar-2009</v>
      </c>
      <c r="E1357">
        <v>6</v>
      </c>
      <c r="F1357" s="13">
        <v>973.86199999999997</v>
      </c>
      <c r="G1357">
        <v>0.1</v>
      </c>
      <c r="H1357" t="s">
        <v>19</v>
      </c>
      <c r="I1357" s="13">
        <v>-693.33</v>
      </c>
      <c r="J1357">
        <v>205.99</v>
      </c>
      <c r="K1357">
        <v>8.99</v>
      </c>
      <c r="L1357" t="s">
        <v>329</v>
      </c>
      <c r="M1357" t="s">
        <v>101</v>
      </c>
      <c r="N1357" s="5" t="s">
        <v>102</v>
      </c>
      <c r="O1357" t="s">
        <v>28</v>
      </c>
      <c r="P1357" t="s">
        <v>29</v>
      </c>
      <c r="Q1357" t="s">
        <v>30</v>
      </c>
      <c r="R1357">
        <v>0.56000000000000005</v>
      </c>
      <c r="S1357" s="1">
        <v>39880</v>
      </c>
      <c r="T1357" t="str">
        <f t="shared" si="43"/>
        <v>08-Mar-2009</v>
      </c>
    </row>
    <row r="1358" spans="1:20" x14ac:dyDescent="0.3">
      <c r="A1358">
        <v>44325</v>
      </c>
      <c r="B1358" s="1">
        <v>39854</v>
      </c>
      <c r="C1358" t="s">
        <v>38</v>
      </c>
      <c r="D1358" t="str">
        <f t="shared" si="42"/>
        <v>10-Feb-2009</v>
      </c>
      <c r="E1358">
        <v>44</v>
      </c>
      <c r="F1358" s="13">
        <v>951.33</v>
      </c>
      <c r="G1358">
        <v>0</v>
      </c>
      <c r="H1358" t="s">
        <v>19</v>
      </c>
      <c r="I1358" s="13">
        <v>-60.66</v>
      </c>
      <c r="J1358">
        <v>20.28</v>
      </c>
      <c r="K1358">
        <v>14.39</v>
      </c>
      <c r="L1358" t="s">
        <v>339</v>
      </c>
      <c r="M1358" t="s">
        <v>101</v>
      </c>
      <c r="N1358" s="5" t="s">
        <v>102</v>
      </c>
      <c r="O1358" t="s">
        <v>28</v>
      </c>
      <c r="P1358" t="s">
        <v>32</v>
      </c>
      <c r="Q1358" t="s">
        <v>33</v>
      </c>
      <c r="R1358">
        <v>0.47</v>
      </c>
      <c r="S1358" s="1">
        <v>39856</v>
      </c>
      <c r="T1358" t="str">
        <f t="shared" si="43"/>
        <v>12-Feb-2009</v>
      </c>
    </row>
    <row r="1359" spans="1:20" x14ac:dyDescent="0.3">
      <c r="A1359">
        <v>5863</v>
      </c>
      <c r="B1359" s="1">
        <v>40503</v>
      </c>
      <c r="C1359" t="s">
        <v>38</v>
      </c>
      <c r="D1359" t="str">
        <f t="shared" si="42"/>
        <v>21-Nov-2010</v>
      </c>
      <c r="E1359">
        <v>40</v>
      </c>
      <c r="F1359" s="13">
        <v>933.21</v>
      </c>
      <c r="G1359">
        <v>0.05</v>
      </c>
      <c r="H1359" t="s">
        <v>19</v>
      </c>
      <c r="I1359" s="13">
        <v>207.18</v>
      </c>
      <c r="J1359">
        <v>22.98</v>
      </c>
      <c r="K1359">
        <v>7.58</v>
      </c>
      <c r="L1359" t="s">
        <v>157</v>
      </c>
      <c r="M1359" t="s">
        <v>101</v>
      </c>
      <c r="N1359" s="5" t="s">
        <v>102</v>
      </c>
      <c r="O1359" t="s">
        <v>28</v>
      </c>
      <c r="P1359" t="s">
        <v>32</v>
      </c>
      <c r="Q1359" t="s">
        <v>33</v>
      </c>
      <c r="R1359">
        <v>0.51</v>
      </c>
      <c r="S1359" s="1">
        <v>40504</v>
      </c>
      <c r="T1359" t="str">
        <f t="shared" si="43"/>
        <v>22-Nov-2010</v>
      </c>
    </row>
    <row r="1360" spans="1:20" x14ac:dyDescent="0.3">
      <c r="A1360">
        <v>46147</v>
      </c>
      <c r="B1360" s="1">
        <v>40558</v>
      </c>
      <c r="C1360" t="s">
        <v>43</v>
      </c>
      <c r="D1360" t="str">
        <f t="shared" si="42"/>
        <v>15-Jan-2011</v>
      </c>
      <c r="E1360">
        <v>37</v>
      </c>
      <c r="F1360" s="13">
        <v>925.8</v>
      </c>
      <c r="G1360">
        <v>0.01</v>
      </c>
      <c r="H1360" t="s">
        <v>19</v>
      </c>
      <c r="I1360" s="13">
        <v>30.69</v>
      </c>
      <c r="J1360">
        <v>24.92</v>
      </c>
      <c r="K1360">
        <v>12.98</v>
      </c>
      <c r="L1360" t="s">
        <v>329</v>
      </c>
      <c r="M1360" t="s">
        <v>101</v>
      </c>
      <c r="N1360" s="5" t="s">
        <v>102</v>
      </c>
      <c r="O1360" t="s">
        <v>28</v>
      </c>
      <c r="P1360" t="s">
        <v>21</v>
      </c>
      <c r="Q1360" t="s">
        <v>26</v>
      </c>
      <c r="R1360">
        <v>0.39</v>
      </c>
      <c r="S1360" s="1">
        <v>40560</v>
      </c>
      <c r="T1360" t="str">
        <f t="shared" si="43"/>
        <v>17-Jan-2011</v>
      </c>
    </row>
    <row r="1361" spans="1:20" x14ac:dyDescent="0.3">
      <c r="A1361">
        <v>51461</v>
      </c>
      <c r="B1361" s="1">
        <v>40584</v>
      </c>
      <c r="C1361" t="s">
        <v>31</v>
      </c>
      <c r="D1361" t="str">
        <f t="shared" si="42"/>
        <v>10-Feb-2011</v>
      </c>
      <c r="E1361">
        <v>43</v>
      </c>
      <c r="F1361" s="13">
        <v>858.53</v>
      </c>
      <c r="G1361">
        <v>7.0000000000000007E-2</v>
      </c>
      <c r="H1361" t="s">
        <v>19</v>
      </c>
      <c r="I1361" s="13">
        <v>-97.54</v>
      </c>
      <c r="J1361">
        <v>19.989999999999998</v>
      </c>
      <c r="K1361">
        <v>11.17</v>
      </c>
      <c r="L1361" t="s">
        <v>93</v>
      </c>
      <c r="M1361" t="s">
        <v>101</v>
      </c>
      <c r="N1361" s="5" t="s">
        <v>102</v>
      </c>
      <c r="O1361" t="s">
        <v>28</v>
      </c>
      <c r="P1361" t="s">
        <v>32</v>
      </c>
      <c r="Q1361" t="s">
        <v>33</v>
      </c>
      <c r="R1361">
        <v>0.6</v>
      </c>
      <c r="S1361" s="1">
        <v>40586</v>
      </c>
      <c r="T1361" t="str">
        <f t="shared" si="43"/>
        <v>12-Feb-2011</v>
      </c>
    </row>
    <row r="1362" spans="1:20" x14ac:dyDescent="0.3">
      <c r="A1362">
        <v>27460</v>
      </c>
      <c r="B1362" s="1">
        <v>39945</v>
      </c>
      <c r="C1362" t="s">
        <v>31</v>
      </c>
      <c r="D1362" t="str">
        <f t="shared" si="42"/>
        <v>12-May-2009</v>
      </c>
      <c r="E1362">
        <v>7</v>
      </c>
      <c r="F1362" s="13">
        <v>855.03</v>
      </c>
      <c r="G1362">
        <v>0.08</v>
      </c>
      <c r="H1362" t="s">
        <v>19</v>
      </c>
      <c r="I1362" s="13">
        <v>-1.68</v>
      </c>
      <c r="J1362">
        <v>128.24</v>
      </c>
      <c r="K1362">
        <v>12.65</v>
      </c>
      <c r="L1362" t="s">
        <v>333</v>
      </c>
      <c r="M1362" t="s">
        <v>101</v>
      </c>
      <c r="N1362" s="5" t="s">
        <v>102</v>
      </c>
      <c r="O1362" t="s">
        <v>28</v>
      </c>
      <c r="P1362" t="s">
        <v>32</v>
      </c>
      <c r="Q1362" t="s">
        <v>56</v>
      </c>
      <c r="S1362" s="1">
        <v>39946</v>
      </c>
      <c r="T1362" t="str">
        <f t="shared" si="43"/>
        <v>13-May-2009</v>
      </c>
    </row>
    <row r="1363" spans="1:20" x14ac:dyDescent="0.3">
      <c r="A1363">
        <v>52482</v>
      </c>
      <c r="B1363" s="1">
        <v>40574</v>
      </c>
      <c r="C1363" t="s">
        <v>43</v>
      </c>
      <c r="D1363" t="str">
        <f t="shared" si="42"/>
        <v>31-Jan-2011</v>
      </c>
      <c r="E1363">
        <v>21</v>
      </c>
      <c r="F1363" s="13">
        <v>848.2</v>
      </c>
      <c r="G1363">
        <v>0.06</v>
      </c>
      <c r="H1363" t="s">
        <v>35</v>
      </c>
      <c r="I1363" s="13">
        <v>163.78</v>
      </c>
      <c r="J1363">
        <v>40.98</v>
      </c>
      <c r="K1363">
        <v>5.33</v>
      </c>
      <c r="L1363" t="s">
        <v>93</v>
      </c>
      <c r="M1363" t="s">
        <v>101</v>
      </c>
      <c r="N1363" s="5" t="s">
        <v>102</v>
      </c>
      <c r="O1363" t="s">
        <v>28</v>
      </c>
      <c r="P1363" t="s">
        <v>21</v>
      </c>
      <c r="Q1363" t="s">
        <v>25</v>
      </c>
      <c r="R1363">
        <v>0.56999999999999995</v>
      </c>
      <c r="S1363" s="1">
        <v>40574</v>
      </c>
      <c r="T1363" t="str">
        <f t="shared" si="43"/>
        <v>31-Jan-2011</v>
      </c>
    </row>
    <row r="1364" spans="1:20" x14ac:dyDescent="0.3">
      <c r="A1364">
        <v>55651</v>
      </c>
      <c r="B1364" s="1">
        <v>40975</v>
      </c>
      <c r="C1364" t="s">
        <v>38</v>
      </c>
      <c r="D1364" t="str">
        <f t="shared" si="42"/>
        <v>07-Mar-2012</v>
      </c>
      <c r="E1364">
        <v>41</v>
      </c>
      <c r="F1364" s="13">
        <v>830.53</v>
      </c>
      <c r="G1364">
        <v>0.01</v>
      </c>
      <c r="H1364" t="s">
        <v>19</v>
      </c>
      <c r="I1364" s="13">
        <v>120.69</v>
      </c>
      <c r="J1364">
        <v>20.239999999999998</v>
      </c>
      <c r="K1364">
        <v>8.99</v>
      </c>
      <c r="L1364" t="s">
        <v>155</v>
      </c>
      <c r="M1364" t="s">
        <v>101</v>
      </c>
      <c r="N1364" s="5" t="s">
        <v>102</v>
      </c>
      <c r="O1364" t="s">
        <v>28</v>
      </c>
      <c r="P1364" t="s">
        <v>32</v>
      </c>
      <c r="Q1364" t="s">
        <v>33</v>
      </c>
      <c r="R1364">
        <v>0.46</v>
      </c>
      <c r="S1364" s="1">
        <v>40978</v>
      </c>
      <c r="T1364" t="str">
        <f t="shared" si="43"/>
        <v>10-Mar-2012</v>
      </c>
    </row>
    <row r="1365" spans="1:20" x14ac:dyDescent="0.3">
      <c r="A1365">
        <v>25473</v>
      </c>
      <c r="B1365" s="1">
        <v>41196</v>
      </c>
      <c r="C1365" t="s">
        <v>23</v>
      </c>
      <c r="D1365" t="str">
        <f t="shared" si="42"/>
        <v>14-Oct-2012</v>
      </c>
      <c r="E1365">
        <v>20</v>
      </c>
      <c r="F1365" s="13">
        <v>794.32</v>
      </c>
      <c r="G1365">
        <v>0.08</v>
      </c>
      <c r="H1365" t="s">
        <v>19</v>
      </c>
      <c r="I1365" s="13">
        <v>67.61</v>
      </c>
      <c r="J1365">
        <v>40.99</v>
      </c>
      <c r="K1365">
        <v>17.48</v>
      </c>
      <c r="L1365" t="s">
        <v>158</v>
      </c>
      <c r="M1365" t="s">
        <v>101</v>
      </c>
      <c r="N1365" s="5" t="s">
        <v>102</v>
      </c>
      <c r="O1365" t="s">
        <v>28</v>
      </c>
      <c r="P1365" t="s">
        <v>21</v>
      </c>
      <c r="Q1365" t="s">
        <v>37</v>
      </c>
      <c r="R1365">
        <v>0.36</v>
      </c>
      <c r="S1365" s="1">
        <v>41199</v>
      </c>
      <c r="T1365" t="str">
        <f t="shared" si="43"/>
        <v>17-Oct-2012</v>
      </c>
    </row>
    <row r="1366" spans="1:20" x14ac:dyDescent="0.3">
      <c r="A1366">
        <v>2816</v>
      </c>
      <c r="B1366" s="1">
        <v>40075</v>
      </c>
      <c r="C1366" t="s">
        <v>23</v>
      </c>
      <c r="D1366" t="str">
        <f t="shared" si="42"/>
        <v>19-Sep-2009</v>
      </c>
      <c r="E1366">
        <v>35</v>
      </c>
      <c r="F1366" s="13">
        <v>787.56</v>
      </c>
      <c r="G1366">
        <v>0</v>
      </c>
      <c r="H1366" t="s">
        <v>19</v>
      </c>
      <c r="I1366" s="13">
        <v>220.04</v>
      </c>
      <c r="J1366">
        <v>21.98</v>
      </c>
      <c r="K1366">
        <v>2.87</v>
      </c>
      <c r="L1366" t="s">
        <v>328</v>
      </c>
      <c r="M1366" t="s">
        <v>101</v>
      </c>
      <c r="N1366" s="5" t="s">
        <v>102</v>
      </c>
      <c r="O1366" t="s">
        <v>28</v>
      </c>
      <c r="P1366" t="s">
        <v>21</v>
      </c>
      <c r="Q1366" t="s">
        <v>50</v>
      </c>
      <c r="R1366">
        <v>0.55000000000000004</v>
      </c>
      <c r="S1366" s="1">
        <v>40076</v>
      </c>
      <c r="T1366" t="str">
        <f t="shared" si="43"/>
        <v>20-Sep-2009</v>
      </c>
    </row>
    <row r="1367" spans="1:20" x14ac:dyDescent="0.3">
      <c r="A1367">
        <v>54501</v>
      </c>
      <c r="B1367" s="1">
        <v>41242</v>
      </c>
      <c r="C1367" t="s">
        <v>43</v>
      </c>
      <c r="D1367" t="str">
        <f t="shared" si="42"/>
        <v>29-Nov-2012</v>
      </c>
      <c r="E1367">
        <v>38</v>
      </c>
      <c r="F1367" s="13">
        <v>783.96</v>
      </c>
      <c r="G1367">
        <v>0.05</v>
      </c>
      <c r="H1367" t="s">
        <v>19</v>
      </c>
      <c r="I1367" s="13">
        <v>-1195.29</v>
      </c>
      <c r="J1367">
        <v>20.34</v>
      </c>
      <c r="K1367">
        <v>35</v>
      </c>
      <c r="L1367" t="s">
        <v>87</v>
      </c>
      <c r="M1367" t="s">
        <v>101</v>
      </c>
      <c r="N1367" s="5" t="s">
        <v>102</v>
      </c>
      <c r="O1367" t="s">
        <v>28</v>
      </c>
      <c r="P1367" t="s">
        <v>21</v>
      </c>
      <c r="Q1367" t="s">
        <v>22</v>
      </c>
      <c r="R1367">
        <v>0.84</v>
      </c>
      <c r="S1367" s="1">
        <v>41244</v>
      </c>
      <c r="T1367" t="str">
        <f t="shared" si="43"/>
        <v>01-Dec-2012</v>
      </c>
    </row>
    <row r="1368" spans="1:20" x14ac:dyDescent="0.3">
      <c r="A1368">
        <v>8996</v>
      </c>
      <c r="B1368" s="1">
        <v>40696</v>
      </c>
      <c r="C1368" t="s">
        <v>18</v>
      </c>
      <c r="D1368" t="str">
        <f t="shared" si="42"/>
        <v>02-Jun-2011</v>
      </c>
      <c r="E1368">
        <v>13</v>
      </c>
      <c r="F1368" s="13">
        <v>772.26750000000004</v>
      </c>
      <c r="G1368">
        <v>0.02</v>
      </c>
      <c r="H1368" t="s">
        <v>19</v>
      </c>
      <c r="I1368" s="13">
        <v>-48.85</v>
      </c>
      <c r="J1368">
        <v>65.989999999999995</v>
      </c>
      <c r="K1368">
        <v>8.99</v>
      </c>
      <c r="L1368" t="s">
        <v>136</v>
      </c>
      <c r="M1368" t="s">
        <v>101</v>
      </c>
      <c r="N1368" s="5" t="s">
        <v>102</v>
      </c>
      <c r="O1368" t="s">
        <v>28</v>
      </c>
      <c r="P1368" t="s">
        <v>29</v>
      </c>
      <c r="Q1368" t="s">
        <v>30</v>
      </c>
      <c r="R1368">
        <v>0.59</v>
      </c>
      <c r="S1368" s="1">
        <v>40700</v>
      </c>
      <c r="T1368" t="str">
        <f t="shared" si="43"/>
        <v>06-Jun-2011</v>
      </c>
    </row>
    <row r="1369" spans="1:20" x14ac:dyDescent="0.3">
      <c r="A1369">
        <v>30917</v>
      </c>
      <c r="B1369" s="1">
        <v>40483</v>
      </c>
      <c r="C1369" t="s">
        <v>18</v>
      </c>
      <c r="D1369" t="str">
        <f t="shared" si="42"/>
        <v>01-Nov-2010</v>
      </c>
      <c r="E1369">
        <v>8</v>
      </c>
      <c r="F1369" s="13">
        <v>753.8</v>
      </c>
      <c r="G1369">
        <v>0.06</v>
      </c>
      <c r="H1369" t="s">
        <v>19</v>
      </c>
      <c r="I1369" s="13">
        <v>-32.299999999999997</v>
      </c>
      <c r="J1369">
        <v>96.45</v>
      </c>
      <c r="K1369">
        <v>13.99</v>
      </c>
      <c r="L1369" t="s">
        <v>249</v>
      </c>
      <c r="M1369" t="s">
        <v>101</v>
      </c>
      <c r="N1369" s="5" t="s">
        <v>102</v>
      </c>
      <c r="O1369" t="s">
        <v>28</v>
      </c>
      <c r="P1369" t="s">
        <v>29</v>
      </c>
      <c r="Q1369" t="s">
        <v>74</v>
      </c>
      <c r="R1369">
        <v>0.38</v>
      </c>
      <c r="S1369" s="1">
        <v>40487</v>
      </c>
      <c r="T1369" t="str">
        <f t="shared" si="43"/>
        <v>05-Nov-2010</v>
      </c>
    </row>
    <row r="1370" spans="1:20" x14ac:dyDescent="0.3">
      <c r="A1370">
        <v>48931</v>
      </c>
      <c r="B1370" s="1">
        <v>39981</v>
      </c>
      <c r="C1370" t="s">
        <v>18</v>
      </c>
      <c r="D1370" t="str">
        <f t="shared" si="42"/>
        <v>17-Jun-2009</v>
      </c>
      <c r="E1370">
        <v>33</v>
      </c>
      <c r="F1370" s="13">
        <v>750.66</v>
      </c>
      <c r="G1370">
        <v>0</v>
      </c>
      <c r="H1370" t="s">
        <v>19</v>
      </c>
      <c r="I1370" s="13">
        <v>120.05</v>
      </c>
      <c r="J1370">
        <v>20.95</v>
      </c>
      <c r="K1370">
        <v>4</v>
      </c>
      <c r="L1370" t="s">
        <v>148</v>
      </c>
      <c r="M1370" t="s">
        <v>101</v>
      </c>
      <c r="N1370" s="5" t="s">
        <v>102</v>
      </c>
      <c r="O1370" t="s">
        <v>28</v>
      </c>
      <c r="P1370" t="s">
        <v>29</v>
      </c>
      <c r="Q1370" t="s">
        <v>41</v>
      </c>
      <c r="R1370">
        <v>0.6</v>
      </c>
      <c r="S1370" s="1">
        <v>39988</v>
      </c>
      <c r="T1370" t="str">
        <f t="shared" si="43"/>
        <v>24-Jun-2009</v>
      </c>
    </row>
    <row r="1371" spans="1:20" x14ac:dyDescent="0.3">
      <c r="A1371">
        <v>7175</v>
      </c>
      <c r="B1371" s="1">
        <v>40216</v>
      </c>
      <c r="C1371" t="s">
        <v>43</v>
      </c>
      <c r="D1371" t="str">
        <f t="shared" si="42"/>
        <v>07-Feb-2010</v>
      </c>
      <c r="E1371">
        <v>10</v>
      </c>
      <c r="F1371" s="13">
        <v>748.25</v>
      </c>
      <c r="G1371">
        <v>0.05</v>
      </c>
      <c r="H1371" t="s">
        <v>24</v>
      </c>
      <c r="I1371" s="13">
        <v>-86.99</v>
      </c>
      <c r="J1371">
        <v>70.98</v>
      </c>
      <c r="K1371">
        <v>26.74</v>
      </c>
      <c r="L1371" t="s">
        <v>155</v>
      </c>
      <c r="M1371" t="s">
        <v>101</v>
      </c>
      <c r="N1371" s="5" t="s">
        <v>102</v>
      </c>
      <c r="O1371" t="s">
        <v>28</v>
      </c>
      <c r="P1371" t="s">
        <v>32</v>
      </c>
      <c r="Q1371" t="s">
        <v>45</v>
      </c>
      <c r="R1371">
        <v>0.6</v>
      </c>
      <c r="S1371" s="1">
        <v>40218</v>
      </c>
      <c r="T1371" t="str">
        <f t="shared" si="43"/>
        <v>09-Feb-2010</v>
      </c>
    </row>
    <row r="1372" spans="1:20" x14ac:dyDescent="0.3">
      <c r="A1372">
        <v>14534</v>
      </c>
      <c r="B1372" s="1">
        <v>40377</v>
      </c>
      <c r="C1372" t="s">
        <v>38</v>
      </c>
      <c r="D1372" t="str">
        <f t="shared" si="42"/>
        <v>18-Jul-2010</v>
      </c>
      <c r="E1372">
        <v>46</v>
      </c>
      <c r="F1372" s="13">
        <v>745.99</v>
      </c>
      <c r="G1372">
        <v>0.02</v>
      </c>
      <c r="H1372" t="s">
        <v>19</v>
      </c>
      <c r="I1372" s="13">
        <v>226.09</v>
      </c>
      <c r="J1372">
        <v>15.98</v>
      </c>
      <c r="K1372">
        <v>4</v>
      </c>
      <c r="L1372" t="s">
        <v>323</v>
      </c>
      <c r="M1372" t="s">
        <v>101</v>
      </c>
      <c r="N1372" s="5" t="s">
        <v>102</v>
      </c>
      <c r="O1372" t="s">
        <v>28</v>
      </c>
      <c r="P1372" t="s">
        <v>29</v>
      </c>
      <c r="Q1372" t="s">
        <v>41</v>
      </c>
      <c r="R1372">
        <v>0.37</v>
      </c>
      <c r="S1372" s="1">
        <v>40377</v>
      </c>
      <c r="T1372" t="str">
        <f t="shared" si="43"/>
        <v>18-Jul-2010</v>
      </c>
    </row>
    <row r="1373" spans="1:20" x14ac:dyDescent="0.3">
      <c r="A1373">
        <v>4578</v>
      </c>
      <c r="B1373" s="1">
        <v>41164</v>
      </c>
      <c r="C1373" t="s">
        <v>18</v>
      </c>
      <c r="D1373" t="str">
        <f t="shared" si="42"/>
        <v>12-Sep-2012</v>
      </c>
      <c r="E1373">
        <v>48</v>
      </c>
      <c r="F1373" s="13">
        <v>724.13</v>
      </c>
      <c r="G1373">
        <v>0.01</v>
      </c>
      <c r="H1373" t="s">
        <v>19</v>
      </c>
      <c r="I1373" s="13">
        <v>-250.53</v>
      </c>
      <c r="J1373">
        <v>14.81</v>
      </c>
      <c r="K1373">
        <v>13.32</v>
      </c>
      <c r="L1373" t="s">
        <v>80</v>
      </c>
      <c r="M1373" t="s">
        <v>101</v>
      </c>
      <c r="N1373" s="5" t="s">
        <v>102</v>
      </c>
      <c r="O1373" t="s">
        <v>28</v>
      </c>
      <c r="P1373" t="s">
        <v>21</v>
      </c>
      <c r="Q1373" t="s">
        <v>25</v>
      </c>
      <c r="R1373">
        <v>0.43</v>
      </c>
      <c r="S1373" s="1">
        <v>41171</v>
      </c>
      <c r="T1373" t="str">
        <f t="shared" si="43"/>
        <v>19-Sep-2012</v>
      </c>
    </row>
    <row r="1374" spans="1:20" x14ac:dyDescent="0.3">
      <c r="A1374">
        <v>15872</v>
      </c>
      <c r="B1374" s="1">
        <v>41212</v>
      </c>
      <c r="C1374" t="s">
        <v>31</v>
      </c>
      <c r="D1374" t="str">
        <f t="shared" si="42"/>
        <v>30-Oct-2012</v>
      </c>
      <c r="E1374">
        <v>19</v>
      </c>
      <c r="F1374" s="13">
        <v>718.41</v>
      </c>
      <c r="G1374">
        <v>0.1</v>
      </c>
      <c r="H1374" t="s">
        <v>19</v>
      </c>
      <c r="I1374" s="13">
        <v>23.94</v>
      </c>
      <c r="J1374">
        <v>40.99</v>
      </c>
      <c r="K1374">
        <v>17.48</v>
      </c>
      <c r="L1374" t="s">
        <v>155</v>
      </c>
      <c r="M1374" t="s">
        <v>101</v>
      </c>
      <c r="N1374" s="5" t="s">
        <v>102</v>
      </c>
      <c r="O1374" t="s">
        <v>28</v>
      </c>
      <c r="P1374" t="s">
        <v>21</v>
      </c>
      <c r="Q1374" t="s">
        <v>37</v>
      </c>
      <c r="R1374">
        <v>0.36</v>
      </c>
      <c r="S1374" s="1">
        <v>41213</v>
      </c>
      <c r="T1374" t="str">
        <f t="shared" si="43"/>
        <v>31-Oct-2012</v>
      </c>
    </row>
    <row r="1375" spans="1:20" x14ac:dyDescent="0.3">
      <c r="A1375">
        <v>52482</v>
      </c>
      <c r="B1375" s="1">
        <v>40574</v>
      </c>
      <c r="C1375" t="s">
        <v>43</v>
      </c>
      <c r="D1375" t="str">
        <f t="shared" si="42"/>
        <v>31-Jan-2011</v>
      </c>
      <c r="E1375">
        <v>30</v>
      </c>
      <c r="F1375" s="13">
        <v>717.21</v>
      </c>
      <c r="G1375">
        <v>0</v>
      </c>
      <c r="H1375" t="s">
        <v>19</v>
      </c>
      <c r="I1375" s="13">
        <v>217.06</v>
      </c>
      <c r="J1375">
        <v>22.23</v>
      </c>
      <c r="K1375">
        <v>3.63</v>
      </c>
      <c r="L1375" t="s">
        <v>93</v>
      </c>
      <c r="M1375" t="s">
        <v>101</v>
      </c>
      <c r="N1375" s="5" t="s">
        <v>102</v>
      </c>
      <c r="O1375" t="s">
        <v>28</v>
      </c>
      <c r="P1375" t="s">
        <v>32</v>
      </c>
      <c r="Q1375" t="s">
        <v>33</v>
      </c>
      <c r="R1375">
        <v>0.52</v>
      </c>
      <c r="S1375" s="1">
        <v>40576</v>
      </c>
      <c r="T1375" t="str">
        <f t="shared" si="43"/>
        <v>02-Feb-2011</v>
      </c>
    </row>
    <row r="1376" spans="1:20" x14ac:dyDescent="0.3">
      <c r="A1376">
        <v>37987</v>
      </c>
      <c r="B1376" s="1">
        <v>39997</v>
      </c>
      <c r="C1376" t="s">
        <v>23</v>
      </c>
      <c r="D1376" t="str">
        <f t="shared" si="42"/>
        <v>03-Jul-2009</v>
      </c>
      <c r="E1376">
        <v>5</v>
      </c>
      <c r="F1376" s="13">
        <v>708.87</v>
      </c>
      <c r="G1376">
        <v>0.1</v>
      </c>
      <c r="H1376" t="s">
        <v>24</v>
      </c>
      <c r="I1376" s="13">
        <v>-270.85000000000002</v>
      </c>
      <c r="J1376">
        <v>146.34</v>
      </c>
      <c r="K1376">
        <v>43.75</v>
      </c>
      <c r="L1376" t="s">
        <v>326</v>
      </c>
      <c r="M1376" t="s">
        <v>101</v>
      </c>
      <c r="N1376" s="5" t="s">
        <v>102</v>
      </c>
      <c r="O1376" t="s">
        <v>28</v>
      </c>
      <c r="P1376" t="s">
        <v>32</v>
      </c>
      <c r="Q1376" t="s">
        <v>46</v>
      </c>
      <c r="R1376">
        <v>0.64</v>
      </c>
      <c r="S1376" s="1">
        <v>39998</v>
      </c>
      <c r="T1376" t="str">
        <f t="shared" si="43"/>
        <v>04-Jul-2009</v>
      </c>
    </row>
    <row r="1377" spans="1:20" x14ac:dyDescent="0.3">
      <c r="A1377">
        <v>30497</v>
      </c>
      <c r="B1377" s="1">
        <v>40580</v>
      </c>
      <c r="C1377" t="s">
        <v>43</v>
      </c>
      <c r="D1377" t="str">
        <f t="shared" si="42"/>
        <v>06-Feb-2011</v>
      </c>
      <c r="E1377">
        <v>34</v>
      </c>
      <c r="F1377" s="13">
        <v>706.91</v>
      </c>
      <c r="G1377">
        <v>0.03</v>
      </c>
      <c r="H1377" t="s">
        <v>35</v>
      </c>
      <c r="I1377" s="13">
        <v>85.68</v>
      </c>
      <c r="J1377">
        <v>20.98</v>
      </c>
      <c r="K1377">
        <v>8.83</v>
      </c>
      <c r="L1377" t="s">
        <v>321</v>
      </c>
      <c r="M1377" t="s">
        <v>101</v>
      </c>
      <c r="N1377" s="5" t="s">
        <v>102</v>
      </c>
      <c r="O1377" t="s">
        <v>28</v>
      </c>
      <c r="P1377" t="s">
        <v>21</v>
      </c>
      <c r="Q1377" t="s">
        <v>26</v>
      </c>
      <c r="R1377">
        <v>0.37</v>
      </c>
      <c r="S1377" s="1">
        <v>40582</v>
      </c>
      <c r="T1377" t="str">
        <f t="shared" si="43"/>
        <v>08-Feb-2011</v>
      </c>
    </row>
    <row r="1378" spans="1:20" x14ac:dyDescent="0.3">
      <c r="A1378">
        <v>54436</v>
      </c>
      <c r="B1378" s="1">
        <v>40075</v>
      </c>
      <c r="C1378" t="s">
        <v>23</v>
      </c>
      <c r="D1378" t="str">
        <f t="shared" si="42"/>
        <v>19-Sep-2009</v>
      </c>
      <c r="E1378">
        <v>17</v>
      </c>
      <c r="F1378" s="13">
        <v>705.85</v>
      </c>
      <c r="G1378">
        <v>0.04</v>
      </c>
      <c r="H1378" t="s">
        <v>35</v>
      </c>
      <c r="I1378" s="13">
        <v>151.66999999999999</v>
      </c>
      <c r="J1378">
        <v>39.479999999999997</v>
      </c>
      <c r="K1378">
        <v>1.99</v>
      </c>
      <c r="L1378" t="s">
        <v>336</v>
      </c>
      <c r="M1378" t="s">
        <v>101</v>
      </c>
      <c r="N1378" s="5" t="s">
        <v>102</v>
      </c>
      <c r="O1378" t="s">
        <v>28</v>
      </c>
      <c r="P1378" t="s">
        <v>29</v>
      </c>
      <c r="Q1378" t="s">
        <v>41</v>
      </c>
      <c r="R1378">
        <v>0.54</v>
      </c>
      <c r="S1378" s="1">
        <v>40075</v>
      </c>
      <c r="T1378" t="str">
        <f t="shared" si="43"/>
        <v>19-Sep-2009</v>
      </c>
    </row>
    <row r="1379" spans="1:20" x14ac:dyDescent="0.3">
      <c r="A1379">
        <v>54437</v>
      </c>
      <c r="B1379" s="1">
        <v>40531</v>
      </c>
      <c r="C1379" t="s">
        <v>23</v>
      </c>
      <c r="D1379" t="str">
        <f t="shared" si="42"/>
        <v>19-Dec-2010</v>
      </c>
      <c r="E1379">
        <v>15</v>
      </c>
      <c r="F1379" s="13">
        <v>653.87099999999998</v>
      </c>
      <c r="G1379">
        <v>0.09</v>
      </c>
      <c r="H1379" t="s">
        <v>19</v>
      </c>
      <c r="I1379" s="13">
        <v>-311.05</v>
      </c>
      <c r="J1379">
        <v>55.99</v>
      </c>
      <c r="K1379">
        <v>5</v>
      </c>
      <c r="L1379" t="s">
        <v>100</v>
      </c>
      <c r="M1379" t="s">
        <v>101</v>
      </c>
      <c r="N1379" s="5" t="s">
        <v>102</v>
      </c>
      <c r="O1379" t="s">
        <v>28</v>
      </c>
      <c r="P1379" t="s">
        <v>29</v>
      </c>
      <c r="Q1379" t="s">
        <v>30</v>
      </c>
      <c r="R1379">
        <v>0.83</v>
      </c>
      <c r="S1379" s="1">
        <v>40531</v>
      </c>
      <c r="T1379" t="str">
        <f t="shared" si="43"/>
        <v>19-Dec-2010</v>
      </c>
    </row>
    <row r="1380" spans="1:20" x14ac:dyDescent="0.3">
      <c r="A1380">
        <v>53410</v>
      </c>
      <c r="B1380" s="1">
        <v>40032</v>
      </c>
      <c r="C1380" t="s">
        <v>43</v>
      </c>
      <c r="D1380" t="str">
        <f t="shared" si="42"/>
        <v>07-Aug-2009</v>
      </c>
      <c r="E1380">
        <v>44</v>
      </c>
      <c r="F1380" s="13">
        <v>642.79999999999995</v>
      </c>
      <c r="G1380">
        <v>0.08</v>
      </c>
      <c r="H1380" t="s">
        <v>19</v>
      </c>
      <c r="I1380" s="13">
        <v>-253.11</v>
      </c>
      <c r="J1380">
        <v>14.81</v>
      </c>
      <c r="K1380">
        <v>13.32</v>
      </c>
      <c r="L1380" t="s">
        <v>89</v>
      </c>
      <c r="M1380" t="s">
        <v>101</v>
      </c>
      <c r="N1380" s="5" t="s">
        <v>102</v>
      </c>
      <c r="O1380" t="s">
        <v>28</v>
      </c>
      <c r="P1380" t="s">
        <v>21</v>
      </c>
      <c r="Q1380" t="s">
        <v>25</v>
      </c>
      <c r="R1380">
        <v>0.43</v>
      </c>
      <c r="S1380" s="1">
        <v>40034</v>
      </c>
      <c r="T1380" t="str">
        <f t="shared" si="43"/>
        <v>09-Aug-2009</v>
      </c>
    </row>
    <row r="1381" spans="1:20" x14ac:dyDescent="0.3">
      <c r="A1381">
        <v>37025</v>
      </c>
      <c r="B1381" s="1">
        <v>40127</v>
      </c>
      <c r="C1381" t="s">
        <v>23</v>
      </c>
      <c r="D1381" t="str">
        <f t="shared" si="42"/>
        <v>10-Nov-2009</v>
      </c>
      <c r="E1381">
        <v>37</v>
      </c>
      <c r="F1381" s="13">
        <v>641.89</v>
      </c>
      <c r="G1381">
        <v>0.03</v>
      </c>
      <c r="H1381" t="s">
        <v>19</v>
      </c>
      <c r="I1381" s="13">
        <v>207.3</v>
      </c>
      <c r="J1381">
        <v>17.48</v>
      </c>
      <c r="K1381">
        <v>1.99</v>
      </c>
      <c r="L1381" t="s">
        <v>335</v>
      </c>
      <c r="M1381" t="s">
        <v>101</v>
      </c>
      <c r="N1381" s="5" t="s">
        <v>102</v>
      </c>
      <c r="O1381" t="s">
        <v>28</v>
      </c>
      <c r="P1381" t="s">
        <v>29</v>
      </c>
      <c r="Q1381" t="s">
        <v>41</v>
      </c>
      <c r="R1381">
        <v>0.45</v>
      </c>
      <c r="S1381" s="1">
        <v>40128</v>
      </c>
      <c r="T1381" t="str">
        <f t="shared" si="43"/>
        <v>11-Nov-2009</v>
      </c>
    </row>
    <row r="1382" spans="1:20" x14ac:dyDescent="0.3">
      <c r="A1382">
        <v>50784</v>
      </c>
      <c r="B1382" s="1">
        <v>40949</v>
      </c>
      <c r="C1382" t="s">
        <v>23</v>
      </c>
      <c r="D1382" t="str">
        <f t="shared" si="42"/>
        <v>10-Feb-2012</v>
      </c>
      <c r="E1382">
        <v>20</v>
      </c>
      <c r="F1382" s="13">
        <v>638.72</v>
      </c>
      <c r="G1382">
        <v>0.04</v>
      </c>
      <c r="H1382" t="s">
        <v>19</v>
      </c>
      <c r="I1382" s="13">
        <v>-130.88</v>
      </c>
      <c r="J1382">
        <v>32.979999999999997</v>
      </c>
      <c r="K1382">
        <v>5.5</v>
      </c>
      <c r="L1382" t="s">
        <v>96</v>
      </c>
      <c r="M1382" t="s">
        <v>101</v>
      </c>
      <c r="N1382" s="5" t="s">
        <v>102</v>
      </c>
      <c r="O1382" t="s">
        <v>28</v>
      </c>
      <c r="P1382" t="s">
        <v>29</v>
      </c>
      <c r="Q1382" t="s">
        <v>41</v>
      </c>
      <c r="R1382">
        <v>0.75</v>
      </c>
      <c r="S1382" s="1">
        <v>40950</v>
      </c>
      <c r="T1382" t="str">
        <f t="shared" si="43"/>
        <v>11-Feb-2012</v>
      </c>
    </row>
    <row r="1383" spans="1:20" x14ac:dyDescent="0.3">
      <c r="A1383">
        <v>46656</v>
      </c>
      <c r="B1383" s="1">
        <v>40010</v>
      </c>
      <c r="C1383" t="s">
        <v>23</v>
      </c>
      <c r="D1383" t="str">
        <f t="shared" si="42"/>
        <v>16-Jul-2009</v>
      </c>
      <c r="E1383">
        <v>27</v>
      </c>
      <c r="F1383" s="13">
        <v>636.70000000000005</v>
      </c>
      <c r="G1383">
        <v>0.1</v>
      </c>
      <c r="H1383" t="s">
        <v>19</v>
      </c>
      <c r="I1383" s="13">
        <v>-29.91</v>
      </c>
      <c r="J1383">
        <v>24.92</v>
      </c>
      <c r="K1383">
        <v>12.98</v>
      </c>
      <c r="L1383" t="s">
        <v>337</v>
      </c>
      <c r="M1383" t="s">
        <v>101</v>
      </c>
      <c r="N1383" s="5" t="s">
        <v>102</v>
      </c>
      <c r="O1383" t="s">
        <v>28</v>
      </c>
      <c r="P1383" t="s">
        <v>21</v>
      </c>
      <c r="Q1383" t="s">
        <v>26</v>
      </c>
      <c r="R1383">
        <v>0.39</v>
      </c>
      <c r="S1383" s="1">
        <v>40011</v>
      </c>
      <c r="T1383" t="str">
        <f t="shared" si="43"/>
        <v>17-Jul-2009</v>
      </c>
    </row>
    <row r="1384" spans="1:20" x14ac:dyDescent="0.3">
      <c r="A1384">
        <v>46885</v>
      </c>
      <c r="B1384" s="1">
        <v>40701</v>
      </c>
      <c r="C1384" t="s">
        <v>18</v>
      </c>
      <c r="D1384" t="str">
        <f t="shared" si="42"/>
        <v>07-Jun-2011</v>
      </c>
      <c r="E1384">
        <v>27</v>
      </c>
      <c r="F1384" s="13">
        <v>632.54999999999995</v>
      </c>
      <c r="G1384">
        <v>0.05</v>
      </c>
      <c r="H1384" t="s">
        <v>19</v>
      </c>
      <c r="I1384" s="13">
        <v>165.35</v>
      </c>
      <c r="J1384">
        <v>22.72</v>
      </c>
      <c r="K1384">
        <v>8.99</v>
      </c>
      <c r="L1384" t="s">
        <v>147</v>
      </c>
      <c r="M1384" t="s">
        <v>101</v>
      </c>
      <c r="N1384" s="5" t="s">
        <v>102</v>
      </c>
      <c r="O1384" t="s">
        <v>28</v>
      </c>
      <c r="P1384" t="s">
        <v>32</v>
      </c>
      <c r="Q1384" t="s">
        <v>33</v>
      </c>
      <c r="R1384">
        <v>0.44</v>
      </c>
      <c r="S1384" s="1">
        <v>40705</v>
      </c>
      <c r="T1384" t="str">
        <f t="shared" si="43"/>
        <v>11-Jun-2011</v>
      </c>
    </row>
    <row r="1385" spans="1:20" x14ac:dyDescent="0.3">
      <c r="A1385">
        <v>52160</v>
      </c>
      <c r="B1385" s="1">
        <v>40727</v>
      </c>
      <c r="C1385" t="s">
        <v>43</v>
      </c>
      <c r="D1385" t="str">
        <f t="shared" si="42"/>
        <v>03-Jul-2011</v>
      </c>
      <c r="E1385">
        <v>6</v>
      </c>
      <c r="F1385" s="13">
        <v>631.49900000000002</v>
      </c>
      <c r="G1385">
        <v>0.09</v>
      </c>
      <c r="H1385" t="s">
        <v>19</v>
      </c>
      <c r="I1385" s="13">
        <v>-403.02</v>
      </c>
      <c r="J1385">
        <v>125.99</v>
      </c>
      <c r="K1385">
        <v>8.08</v>
      </c>
      <c r="L1385" t="s">
        <v>54</v>
      </c>
      <c r="M1385" t="s">
        <v>101</v>
      </c>
      <c r="N1385" s="5" t="s">
        <v>102</v>
      </c>
      <c r="O1385" t="s">
        <v>28</v>
      </c>
      <c r="P1385" t="s">
        <v>29</v>
      </c>
      <c r="Q1385" t="s">
        <v>30</v>
      </c>
      <c r="R1385">
        <v>0.56999999999999995</v>
      </c>
      <c r="S1385" s="1">
        <v>40729</v>
      </c>
      <c r="T1385" t="str">
        <f t="shared" si="43"/>
        <v>05-Jul-2011</v>
      </c>
    </row>
    <row r="1386" spans="1:20" x14ac:dyDescent="0.3">
      <c r="A1386">
        <v>2818</v>
      </c>
      <c r="B1386" s="1">
        <v>40158</v>
      </c>
      <c r="C1386" t="s">
        <v>38</v>
      </c>
      <c r="D1386" t="str">
        <f t="shared" si="42"/>
        <v>11-Dec-2009</v>
      </c>
      <c r="E1386">
        <v>39</v>
      </c>
      <c r="F1386" s="13">
        <v>593.21</v>
      </c>
      <c r="G1386">
        <v>0</v>
      </c>
      <c r="H1386" t="s">
        <v>19</v>
      </c>
      <c r="I1386" s="13">
        <v>44.71</v>
      </c>
      <c r="J1386">
        <v>14.98</v>
      </c>
      <c r="K1386">
        <v>8.99</v>
      </c>
      <c r="L1386" t="s">
        <v>328</v>
      </c>
      <c r="M1386" t="s">
        <v>101</v>
      </c>
      <c r="N1386" s="5" t="s">
        <v>102</v>
      </c>
      <c r="O1386" t="s">
        <v>28</v>
      </c>
      <c r="P1386" t="s">
        <v>32</v>
      </c>
      <c r="Q1386" t="s">
        <v>33</v>
      </c>
      <c r="R1386">
        <v>0.39</v>
      </c>
      <c r="S1386" s="1">
        <v>40159</v>
      </c>
      <c r="T1386" t="str">
        <f t="shared" si="43"/>
        <v>12-Dec-2009</v>
      </c>
    </row>
    <row r="1387" spans="1:20" x14ac:dyDescent="0.3">
      <c r="A1387">
        <v>10272</v>
      </c>
      <c r="B1387" s="1">
        <v>39830</v>
      </c>
      <c r="C1387" t="s">
        <v>38</v>
      </c>
      <c r="D1387" t="str">
        <f t="shared" si="42"/>
        <v>17-Jan-2009</v>
      </c>
      <c r="E1387">
        <v>26</v>
      </c>
      <c r="F1387" s="13">
        <v>566.39</v>
      </c>
      <c r="G1387">
        <v>0.06</v>
      </c>
      <c r="H1387" t="s">
        <v>19</v>
      </c>
      <c r="I1387" s="13">
        <v>76.430000000000007</v>
      </c>
      <c r="J1387">
        <v>22.84</v>
      </c>
      <c r="K1387">
        <v>8.18</v>
      </c>
      <c r="L1387" t="s">
        <v>334</v>
      </c>
      <c r="M1387" t="s">
        <v>101</v>
      </c>
      <c r="N1387" s="5" t="s">
        <v>102</v>
      </c>
      <c r="O1387" t="s">
        <v>28</v>
      </c>
      <c r="P1387" t="s">
        <v>21</v>
      </c>
      <c r="Q1387" t="s">
        <v>37</v>
      </c>
      <c r="R1387">
        <v>0.39</v>
      </c>
      <c r="S1387" s="1">
        <v>39830</v>
      </c>
      <c r="T1387" t="str">
        <f t="shared" si="43"/>
        <v>17-Jan-2009</v>
      </c>
    </row>
    <row r="1388" spans="1:20" x14ac:dyDescent="0.3">
      <c r="A1388">
        <v>2818</v>
      </c>
      <c r="B1388" s="1">
        <v>40158</v>
      </c>
      <c r="C1388" t="s">
        <v>38</v>
      </c>
      <c r="D1388" t="str">
        <f t="shared" si="42"/>
        <v>11-Dec-2009</v>
      </c>
      <c r="E1388">
        <v>37</v>
      </c>
      <c r="F1388" s="13">
        <v>565.91</v>
      </c>
      <c r="G1388">
        <v>0.05</v>
      </c>
      <c r="H1388" t="s">
        <v>19</v>
      </c>
      <c r="I1388" s="13">
        <v>192.39</v>
      </c>
      <c r="J1388">
        <v>15.68</v>
      </c>
      <c r="K1388">
        <v>3.73</v>
      </c>
      <c r="L1388" t="s">
        <v>328</v>
      </c>
      <c r="M1388" t="s">
        <v>101</v>
      </c>
      <c r="N1388" s="5" t="s">
        <v>102</v>
      </c>
      <c r="O1388" t="s">
        <v>28</v>
      </c>
      <c r="P1388" t="s">
        <v>32</v>
      </c>
      <c r="Q1388" t="s">
        <v>33</v>
      </c>
      <c r="R1388">
        <v>0.46</v>
      </c>
      <c r="S1388" s="1">
        <v>40160</v>
      </c>
      <c r="T1388" t="str">
        <f t="shared" si="43"/>
        <v>13-Dec-2009</v>
      </c>
    </row>
    <row r="1389" spans="1:20" x14ac:dyDescent="0.3">
      <c r="A1389">
        <v>32710</v>
      </c>
      <c r="B1389" s="1">
        <v>40133</v>
      </c>
      <c r="C1389" t="s">
        <v>23</v>
      </c>
      <c r="D1389" t="str">
        <f t="shared" si="42"/>
        <v>16-Nov-2009</v>
      </c>
      <c r="E1389">
        <v>43</v>
      </c>
      <c r="F1389" s="13">
        <v>540.33000000000004</v>
      </c>
      <c r="G1389">
        <v>0.04</v>
      </c>
      <c r="H1389" t="s">
        <v>19</v>
      </c>
      <c r="I1389" s="13">
        <v>-59.06</v>
      </c>
      <c r="J1389">
        <v>12.44</v>
      </c>
      <c r="K1389">
        <v>6.27</v>
      </c>
      <c r="L1389" t="s">
        <v>318</v>
      </c>
      <c r="M1389" t="s">
        <v>101</v>
      </c>
      <c r="N1389" s="5" t="s">
        <v>102</v>
      </c>
      <c r="O1389" t="s">
        <v>28</v>
      </c>
      <c r="P1389" t="s">
        <v>21</v>
      </c>
      <c r="Q1389" t="s">
        <v>22</v>
      </c>
      <c r="R1389">
        <v>0.56999999999999995</v>
      </c>
      <c r="S1389" s="1">
        <v>40134</v>
      </c>
      <c r="T1389" t="str">
        <f t="shared" si="43"/>
        <v>17-Nov-2009</v>
      </c>
    </row>
    <row r="1390" spans="1:20" x14ac:dyDescent="0.3">
      <c r="A1390">
        <v>50081</v>
      </c>
      <c r="B1390" s="1">
        <v>40120</v>
      </c>
      <c r="C1390" t="s">
        <v>31</v>
      </c>
      <c r="D1390" t="str">
        <f t="shared" si="42"/>
        <v>03-Nov-2009</v>
      </c>
      <c r="E1390">
        <v>7</v>
      </c>
      <c r="F1390" s="13">
        <v>538.51</v>
      </c>
      <c r="G1390">
        <v>0</v>
      </c>
      <c r="H1390" t="s">
        <v>24</v>
      </c>
      <c r="I1390" s="13">
        <v>-88.75</v>
      </c>
      <c r="J1390">
        <v>70.98</v>
      </c>
      <c r="K1390">
        <v>26.74</v>
      </c>
      <c r="L1390" t="s">
        <v>87</v>
      </c>
      <c r="M1390" t="s">
        <v>101</v>
      </c>
      <c r="N1390" s="5" t="s">
        <v>102</v>
      </c>
      <c r="O1390" t="s">
        <v>28</v>
      </c>
      <c r="P1390" t="s">
        <v>32</v>
      </c>
      <c r="Q1390" t="s">
        <v>45</v>
      </c>
      <c r="R1390">
        <v>0.6</v>
      </c>
      <c r="S1390" s="1">
        <v>40121</v>
      </c>
      <c r="T1390" t="str">
        <f t="shared" si="43"/>
        <v>04-Nov-2009</v>
      </c>
    </row>
    <row r="1391" spans="1:20" x14ac:dyDescent="0.3">
      <c r="A1391">
        <v>24386</v>
      </c>
      <c r="B1391" s="1">
        <v>41086</v>
      </c>
      <c r="C1391" t="s">
        <v>23</v>
      </c>
      <c r="D1391" t="str">
        <f t="shared" si="42"/>
        <v>26-Jun-2012</v>
      </c>
      <c r="E1391">
        <v>12</v>
      </c>
      <c r="F1391" s="13">
        <v>503.08</v>
      </c>
      <c r="G1391">
        <v>0.01</v>
      </c>
      <c r="H1391" t="s">
        <v>19</v>
      </c>
      <c r="I1391" s="13">
        <v>-102.74</v>
      </c>
      <c r="J1391">
        <v>40.98</v>
      </c>
      <c r="K1391">
        <v>6.5</v>
      </c>
      <c r="L1391" t="s">
        <v>156</v>
      </c>
      <c r="M1391" t="s">
        <v>101</v>
      </c>
      <c r="N1391" s="5" t="s">
        <v>102</v>
      </c>
      <c r="O1391" t="s">
        <v>28</v>
      </c>
      <c r="P1391" t="s">
        <v>29</v>
      </c>
      <c r="Q1391" t="s">
        <v>41</v>
      </c>
      <c r="R1391">
        <v>0.74</v>
      </c>
      <c r="S1391" s="1">
        <v>41088</v>
      </c>
      <c r="T1391" t="str">
        <f t="shared" si="43"/>
        <v>28-Jun-2012</v>
      </c>
    </row>
    <row r="1392" spans="1:20" x14ac:dyDescent="0.3">
      <c r="A1392">
        <v>47267</v>
      </c>
      <c r="B1392" s="1">
        <v>40541</v>
      </c>
      <c r="C1392" t="s">
        <v>38</v>
      </c>
      <c r="D1392" t="str">
        <f t="shared" si="42"/>
        <v>29-Dec-2010</v>
      </c>
      <c r="E1392">
        <v>24</v>
      </c>
      <c r="F1392" s="13">
        <v>492.71</v>
      </c>
      <c r="G1392">
        <v>0.02</v>
      </c>
      <c r="H1392" t="s">
        <v>19</v>
      </c>
      <c r="I1392" s="13">
        <v>67.010000000000005</v>
      </c>
      <c r="J1392">
        <v>19.98</v>
      </c>
      <c r="K1392">
        <v>8.68</v>
      </c>
      <c r="L1392" t="s">
        <v>139</v>
      </c>
      <c r="M1392" t="s">
        <v>101</v>
      </c>
      <c r="N1392" s="5" t="s">
        <v>102</v>
      </c>
      <c r="O1392" t="s">
        <v>28</v>
      </c>
      <c r="P1392" t="s">
        <v>21</v>
      </c>
      <c r="Q1392" t="s">
        <v>37</v>
      </c>
      <c r="R1392">
        <v>0.37</v>
      </c>
      <c r="S1392" s="1">
        <v>40542</v>
      </c>
      <c r="T1392" t="str">
        <f t="shared" si="43"/>
        <v>30-Dec-2010</v>
      </c>
    </row>
    <row r="1393" spans="1:20" x14ac:dyDescent="0.3">
      <c r="A1393">
        <v>58182</v>
      </c>
      <c r="B1393" s="1">
        <v>39864</v>
      </c>
      <c r="C1393" t="s">
        <v>23</v>
      </c>
      <c r="D1393" t="str">
        <f t="shared" si="42"/>
        <v>20-Feb-2009</v>
      </c>
      <c r="E1393">
        <v>24</v>
      </c>
      <c r="F1393" s="13">
        <v>479.13</v>
      </c>
      <c r="G1393">
        <v>0.05</v>
      </c>
      <c r="H1393" t="s">
        <v>35</v>
      </c>
      <c r="I1393" s="13">
        <v>166.92</v>
      </c>
      <c r="J1393">
        <v>19.23</v>
      </c>
      <c r="K1393">
        <v>6.15</v>
      </c>
      <c r="L1393" t="s">
        <v>335</v>
      </c>
      <c r="M1393" t="s">
        <v>101</v>
      </c>
      <c r="N1393" s="5" t="s">
        <v>102</v>
      </c>
      <c r="O1393" t="s">
        <v>28</v>
      </c>
      <c r="P1393" t="s">
        <v>32</v>
      </c>
      <c r="Q1393" t="s">
        <v>33</v>
      </c>
      <c r="R1393">
        <v>0.44</v>
      </c>
      <c r="S1393" s="1">
        <v>39866</v>
      </c>
      <c r="T1393" t="str">
        <f t="shared" si="43"/>
        <v>22-Feb-2009</v>
      </c>
    </row>
    <row r="1394" spans="1:20" x14ac:dyDescent="0.3">
      <c r="A1394">
        <v>14884</v>
      </c>
      <c r="B1394" s="1">
        <v>40813</v>
      </c>
      <c r="C1394" t="s">
        <v>23</v>
      </c>
      <c r="D1394" t="str">
        <f t="shared" si="42"/>
        <v>27-Sep-2011</v>
      </c>
      <c r="E1394">
        <v>6</v>
      </c>
      <c r="F1394" s="13">
        <v>473.9855</v>
      </c>
      <c r="G1394">
        <v>0.06</v>
      </c>
      <c r="H1394" t="s">
        <v>19</v>
      </c>
      <c r="I1394" s="13">
        <v>-301.68</v>
      </c>
      <c r="J1394">
        <v>95.99</v>
      </c>
      <c r="K1394">
        <v>4.9000000000000004</v>
      </c>
      <c r="L1394" t="s">
        <v>326</v>
      </c>
      <c r="M1394" t="s">
        <v>101</v>
      </c>
      <c r="N1394" s="5" t="s">
        <v>102</v>
      </c>
      <c r="O1394" t="s">
        <v>28</v>
      </c>
      <c r="P1394" t="s">
        <v>29</v>
      </c>
      <c r="Q1394" t="s">
        <v>30</v>
      </c>
      <c r="R1394">
        <v>0.56000000000000005</v>
      </c>
      <c r="S1394" s="1">
        <v>40815</v>
      </c>
      <c r="T1394" t="str">
        <f t="shared" si="43"/>
        <v>29-Sep-2011</v>
      </c>
    </row>
    <row r="1395" spans="1:20" x14ac:dyDescent="0.3">
      <c r="A1395">
        <v>57159</v>
      </c>
      <c r="B1395" s="1">
        <v>40221</v>
      </c>
      <c r="C1395" t="s">
        <v>43</v>
      </c>
      <c r="D1395" t="str">
        <f t="shared" si="42"/>
        <v>12-Feb-2010</v>
      </c>
      <c r="E1395">
        <v>42</v>
      </c>
      <c r="F1395" s="13">
        <v>460.2</v>
      </c>
      <c r="G1395">
        <v>0.01</v>
      </c>
      <c r="H1395" t="s">
        <v>19</v>
      </c>
      <c r="I1395" s="13">
        <v>-214.39</v>
      </c>
      <c r="J1395">
        <v>9.99</v>
      </c>
      <c r="K1395">
        <v>11.59</v>
      </c>
      <c r="L1395" t="s">
        <v>92</v>
      </c>
      <c r="M1395" t="s">
        <v>101</v>
      </c>
      <c r="N1395" s="5" t="s">
        <v>102</v>
      </c>
      <c r="O1395" t="s">
        <v>28</v>
      </c>
      <c r="P1395" t="s">
        <v>21</v>
      </c>
      <c r="Q1395" t="s">
        <v>37</v>
      </c>
      <c r="R1395">
        <v>0.4</v>
      </c>
      <c r="S1395" s="1">
        <v>40221</v>
      </c>
      <c r="T1395" t="str">
        <f t="shared" si="43"/>
        <v>12-Feb-2010</v>
      </c>
    </row>
    <row r="1396" spans="1:20" x14ac:dyDescent="0.3">
      <c r="A1396">
        <v>710</v>
      </c>
      <c r="B1396" s="1">
        <v>40179</v>
      </c>
      <c r="C1396" t="s">
        <v>18</v>
      </c>
      <c r="D1396" t="str">
        <f t="shared" si="42"/>
        <v>01-Jan-2010</v>
      </c>
      <c r="E1396">
        <v>11</v>
      </c>
      <c r="F1396" s="13">
        <v>447.09</v>
      </c>
      <c r="G1396">
        <v>0.09</v>
      </c>
      <c r="H1396" t="s">
        <v>19</v>
      </c>
      <c r="I1396" s="13">
        <v>89.03</v>
      </c>
      <c r="J1396">
        <v>41.32</v>
      </c>
      <c r="K1396">
        <v>8.66</v>
      </c>
      <c r="L1396" t="s">
        <v>324</v>
      </c>
      <c r="M1396" t="s">
        <v>101</v>
      </c>
      <c r="N1396" s="5" t="s">
        <v>102</v>
      </c>
      <c r="O1396" t="s">
        <v>28</v>
      </c>
      <c r="P1396" t="s">
        <v>32</v>
      </c>
      <c r="Q1396" t="s">
        <v>33</v>
      </c>
      <c r="R1396">
        <v>0.76</v>
      </c>
      <c r="S1396" s="1">
        <v>40181</v>
      </c>
      <c r="T1396" t="str">
        <f t="shared" si="43"/>
        <v>03-Jan-2010</v>
      </c>
    </row>
    <row r="1397" spans="1:20" x14ac:dyDescent="0.3">
      <c r="A1397">
        <v>14503</v>
      </c>
      <c r="B1397" s="1">
        <v>40579</v>
      </c>
      <c r="C1397" t="s">
        <v>31</v>
      </c>
      <c r="D1397" t="str">
        <f t="shared" si="42"/>
        <v>05-Feb-2011</v>
      </c>
      <c r="E1397">
        <v>14</v>
      </c>
      <c r="F1397" s="13">
        <v>438.47</v>
      </c>
      <c r="G1397">
        <v>0.02</v>
      </c>
      <c r="H1397" t="s">
        <v>35</v>
      </c>
      <c r="I1397" s="13">
        <v>157.88999999999999</v>
      </c>
      <c r="J1397">
        <v>30.56</v>
      </c>
      <c r="K1397">
        <v>2.99</v>
      </c>
      <c r="L1397" t="s">
        <v>156</v>
      </c>
      <c r="M1397" t="s">
        <v>101</v>
      </c>
      <c r="N1397" s="5" t="s">
        <v>102</v>
      </c>
      <c r="O1397" t="s">
        <v>28</v>
      </c>
      <c r="P1397" t="s">
        <v>21</v>
      </c>
      <c r="Q1397" t="s">
        <v>26</v>
      </c>
      <c r="R1397">
        <v>0.35</v>
      </c>
      <c r="S1397" s="1">
        <v>40580</v>
      </c>
      <c r="T1397" t="str">
        <f t="shared" si="43"/>
        <v>06-Feb-2011</v>
      </c>
    </row>
    <row r="1398" spans="1:20" x14ac:dyDescent="0.3">
      <c r="A1398">
        <v>53221</v>
      </c>
      <c r="B1398" s="1">
        <v>40965</v>
      </c>
      <c r="C1398" t="s">
        <v>31</v>
      </c>
      <c r="D1398" t="str">
        <f t="shared" si="42"/>
        <v>26-Feb-2012</v>
      </c>
      <c r="E1398">
        <v>29</v>
      </c>
      <c r="F1398" s="13">
        <v>433.44</v>
      </c>
      <c r="G1398">
        <v>0.1</v>
      </c>
      <c r="H1398" t="s">
        <v>19</v>
      </c>
      <c r="I1398" s="13">
        <v>147.46</v>
      </c>
      <c r="J1398">
        <v>15.68</v>
      </c>
      <c r="K1398">
        <v>3.73</v>
      </c>
      <c r="L1398" t="s">
        <v>140</v>
      </c>
      <c r="M1398" t="s">
        <v>101</v>
      </c>
      <c r="N1398" s="5" t="s">
        <v>102</v>
      </c>
      <c r="O1398" t="s">
        <v>28</v>
      </c>
      <c r="P1398" t="s">
        <v>32</v>
      </c>
      <c r="Q1398" t="s">
        <v>33</v>
      </c>
      <c r="R1398">
        <v>0.46</v>
      </c>
      <c r="S1398" s="1">
        <v>40966</v>
      </c>
      <c r="T1398" t="str">
        <f t="shared" si="43"/>
        <v>27-Feb-2012</v>
      </c>
    </row>
    <row r="1399" spans="1:20" x14ac:dyDescent="0.3">
      <c r="A1399">
        <v>16103</v>
      </c>
      <c r="B1399" s="1">
        <v>41105</v>
      </c>
      <c r="C1399" t="s">
        <v>31</v>
      </c>
      <c r="D1399" t="str">
        <f t="shared" si="42"/>
        <v>15-Jul-2012</v>
      </c>
      <c r="E1399">
        <v>22</v>
      </c>
      <c r="F1399" s="13">
        <v>426.7</v>
      </c>
      <c r="G1399">
        <v>0.06</v>
      </c>
      <c r="H1399" t="s">
        <v>19</v>
      </c>
      <c r="I1399" s="13">
        <v>104.77</v>
      </c>
      <c r="J1399">
        <v>19.84</v>
      </c>
      <c r="K1399">
        <v>4.0999999999999996</v>
      </c>
      <c r="L1399" t="s">
        <v>215</v>
      </c>
      <c r="M1399" t="s">
        <v>101</v>
      </c>
      <c r="N1399" s="5" t="s">
        <v>102</v>
      </c>
      <c r="O1399" t="s">
        <v>28</v>
      </c>
      <c r="P1399" t="s">
        <v>21</v>
      </c>
      <c r="Q1399" t="s">
        <v>50</v>
      </c>
      <c r="R1399">
        <v>0.44</v>
      </c>
      <c r="S1399" s="1">
        <v>41107</v>
      </c>
      <c r="T1399" t="str">
        <f t="shared" si="43"/>
        <v>17-Jul-2012</v>
      </c>
    </row>
    <row r="1400" spans="1:20" x14ac:dyDescent="0.3">
      <c r="A1400">
        <v>48032</v>
      </c>
      <c r="B1400" s="1">
        <v>40416</v>
      </c>
      <c r="C1400" t="s">
        <v>23</v>
      </c>
      <c r="D1400" t="str">
        <f t="shared" si="42"/>
        <v>26-Aug-2010</v>
      </c>
      <c r="E1400">
        <v>29</v>
      </c>
      <c r="F1400" s="13">
        <v>412.86</v>
      </c>
      <c r="G1400">
        <v>7.0000000000000007E-2</v>
      </c>
      <c r="H1400" t="s">
        <v>19</v>
      </c>
      <c r="I1400" s="13">
        <v>-104.43</v>
      </c>
      <c r="J1400">
        <v>15.14</v>
      </c>
      <c r="K1400">
        <v>4.53</v>
      </c>
      <c r="L1400" t="s">
        <v>318</v>
      </c>
      <c r="M1400" t="s">
        <v>101</v>
      </c>
      <c r="N1400" s="5" t="s">
        <v>102</v>
      </c>
      <c r="O1400" t="s">
        <v>28</v>
      </c>
      <c r="P1400" t="s">
        <v>21</v>
      </c>
      <c r="Q1400" t="s">
        <v>22</v>
      </c>
      <c r="R1400">
        <v>0.81</v>
      </c>
      <c r="S1400" s="1">
        <v>40417</v>
      </c>
      <c r="T1400" t="str">
        <f t="shared" si="43"/>
        <v>27-Aug-2010</v>
      </c>
    </row>
    <row r="1401" spans="1:20" x14ac:dyDescent="0.3">
      <c r="A1401">
        <v>49220</v>
      </c>
      <c r="B1401" s="1">
        <v>40768</v>
      </c>
      <c r="C1401" t="s">
        <v>43</v>
      </c>
      <c r="D1401" t="str">
        <f t="shared" si="42"/>
        <v>13-Aug-2011</v>
      </c>
      <c r="E1401">
        <v>13</v>
      </c>
      <c r="F1401" s="13">
        <v>409.97</v>
      </c>
      <c r="G1401">
        <v>7.0000000000000007E-2</v>
      </c>
      <c r="H1401" t="s">
        <v>19</v>
      </c>
      <c r="I1401" s="13">
        <v>39.36</v>
      </c>
      <c r="J1401">
        <v>33.619999999999997</v>
      </c>
      <c r="K1401">
        <v>3.5</v>
      </c>
      <c r="L1401" t="s">
        <v>333</v>
      </c>
      <c r="M1401" t="s">
        <v>101</v>
      </c>
      <c r="N1401" s="5" t="s">
        <v>102</v>
      </c>
      <c r="O1401" t="s">
        <v>28</v>
      </c>
      <c r="P1401" t="s">
        <v>21</v>
      </c>
      <c r="Q1401" t="s">
        <v>25</v>
      </c>
      <c r="R1401">
        <v>0.59</v>
      </c>
      <c r="S1401" s="1">
        <v>40769</v>
      </c>
      <c r="T1401" t="str">
        <f t="shared" si="43"/>
        <v>14-Aug-2011</v>
      </c>
    </row>
    <row r="1402" spans="1:20" x14ac:dyDescent="0.3">
      <c r="A1402">
        <v>56708</v>
      </c>
      <c r="B1402" s="1">
        <v>41245</v>
      </c>
      <c r="C1402" t="s">
        <v>31</v>
      </c>
      <c r="D1402" t="str">
        <f t="shared" si="42"/>
        <v>02-Dec-2012</v>
      </c>
      <c r="E1402">
        <v>36</v>
      </c>
      <c r="F1402" s="13">
        <v>407.17</v>
      </c>
      <c r="G1402">
        <v>0.04</v>
      </c>
      <c r="H1402" t="s">
        <v>19</v>
      </c>
      <c r="I1402" s="13">
        <v>-12.82</v>
      </c>
      <c r="J1402">
        <v>11.58</v>
      </c>
      <c r="K1402">
        <v>6.97</v>
      </c>
      <c r="L1402" t="s">
        <v>140</v>
      </c>
      <c r="M1402" t="s">
        <v>101</v>
      </c>
      <c r="N1402" s="5" t="s">
        <v>102</v>
      </c>
      <c r="O1402" t="s">
        <v>28</v>
      </c>
      <c r="P1402" t="s">
        <v>21</v>
      </c>
      <c r="Q1402" t="s">
        <v>42</v>
      </c>
      <c r="R1402">
        <v>0.35</v>
      </c>
      <c r="S1402" s="1">
        <v>41248</v>
      </c>
      <c r="T1402" t="str">
        <f t="shared" si="43"/>
        <v>05-Dec-2012</v>
      </c>
    </row>
    <row r="1403" spans="1:20" x14ac:dyDescent="0.3">
      <c r="A1403">
        <v>24544</v>
      </c>
      <c r="B1403" s="1">
        <v>39839</v>
      </c>
      <c r="C1403" t="s">
        <v>23</v>
      </c>
      <c r="D1403" t="str">
        <f t="shared" si="42"/>
        <v>26-Jan-2009</v>
      </c>
      <c r="E1403">
        <v>15</v>
      </c>
      <c r="F1403" s="13">
        <v>403.71</v>
      </c>
      <c r="G1403">
        <v>0.03</v>
      </c>
      <c r="H1403" t="s">
        <v>24</v>
      </c>
      <c r="I1403" s="13">
        <v>-97.47</v>
      </c>
      <c r="J1403">
        <v>25.98</v>
      </c>
      <c r="K1403">
        <v>14.36</v>
      </c>
      <c r="L1403" t="s">
        <v>136</v>
      </c>
      <c r="M1403" t="s">
        <v>101</v>
      </c>
      <c r="N1403" s="5" t="s">
        <v>102</v>
      </c>
      <c r="O1403" t="s">
        <v>28</v>
      </c>
      <c r="P1403" t="s">
        <v>32</v>
      </c>
      <c r="Q1403" t="s">
        <v>56</v>
      </c>
      <c r="R1403">
        <v>0.6</v>
      </c>
      <c r="S1403" s="1">
        <v>39840</v>
      </c>
      <c r="T1403" t="str">
        <f t="shared" si="43"/>
        <v>27-Jan-2009</v>
      </c>
    </row>
    <row r="1404" spans="1:20" x14ac:dyDescent="0.3">
      <c r="A1404">
        <v>5921</v>
      </c>
      <c r="B1404" s="1">
        <v>39909</v>
      </c>
      <c r="C1404" t="s">
        <v>18</v>
      </c>
      <c r="D1404" t="str">
        <f t="shared" si="42"/>
        <v>06-Apr-2009</v>
      </c>
      <c r="E1404">
        <v>27</v>
      </c>
      <c r="F1404" s="13">
        <v>384.74</v>
      </c>
      <c r="G1404">
        <v>0.01</v>
      </c>
      <c r="H1404" t="s">
        <v>35</v>
      </c>
      <c r="I1404" s="13">
        <v>2.69</v>
      </c>
      <c r="J1404">
        <v>13.43</v>
      </c>
      <c r="K1404">
        <v>5.5</v>
      </c>
      <c r="L1404" t="s">
        <v>331</v>
      </c>
      <c r="M1404" t="s">
        <v>101</v>
      </c>
      <c r="N1404" s="5" t="s">
        <v>102</v>
      </c>
      <c r="O1404" t="s">
        <v>28</v>
      </c>
      <c r="P1404" t="s">
        <v>21</v>
      </c>
      <c r="Q1404" t="s">
        <v>22</v>
      </c>
      <c r="R1404">
        <v>0.56999999999999995</v>
      </c>
      <c r="S1404" s="1">
        <v>39916</v>
      </c>
      <c r="T1404" t="str">
        <f t="shared" si="43"/>
        <v>13-Apr-2009</v>
      </c>
    </row>
    <row r="1405" spans="1:20" x14ac:dyDescent="0.3">
      <c r="A1405">
        <v>59684</v>
      </c>
      <c r="B1405" s="1">
        <v>40541</v>
      </c>
      <c r="C1405" t="s">
        <v>38</v>
      </c>
      <c r="D1405" t="str">
        <f t="shared" si="42"/>
        <v>29-Dec-2010</v>
      </c>
      <c r="E1405">
        <v>41</v>
      </c>
      <c r="F1405" s="13">
        <v>368.17</v>
      </c>
      <c r="G1405">
        <v>0</v>
      </c>
      <c r="H1405" t="s">
        <v>35</v>
      </c>
      <c r="I1405" s="13">
        <v>-15.12</v>
      </c>
      <c r="J1405">
        <v>8.32</v>
      </c>
      <c r="K1405">
        <v>2.38</v>
      </c>
      <c r="L1405" t="s">
        <v>324</v>
      </c>
      <c r="M1405" t="s">
        <v>101</v>
      </c>
      <c r="N1405" s="5" t="s">
        <v>102</v>
      </c>
      <c r="O1405" t="s">
        <v>28</v>
      </c>
      <c r="P1405" t="s">
        <v>29</v>
      </c>
      <c r="Q1405" t="s">
        <v>41</v>
      </c>
      <c r="R1405">
        <v>0.74</v>
      </c>
      <c r="S1405" s="1">
        <v>40559</v>
      </c>
      <c r="T1405" t="str">
        <f t="shared" si="43"/>
        <v>16-Jan-2011</v>
      </c>
    </row>
    <row r="1406" spans="1:20" x14ac:dyDescent="0.3">
      <c r="A1406">
        <v>55749</v>
      </c>
      <c r="B1406" s="1">
        <v>41032</v>
      </c>
      <c r="C1406" t="s">
        <v>43</v>
      </c>
      <c r="D1406" t="str">
        <f t="shared" si="42"/>
        <v>03-May-2012</v>
      </c>
      <c r="E1406">
        <v>42</v>
      </c>
      <c r="F1406" s="13">
        <v>364.8</v>
      </c>
      <c r="G1406">
        <v>0.01</v>
      </c>
      <c r="H1406" t="s">
        <v>19</v>
      </c>
      <c r="I1406" s="13">
        <v>149.44999999999999</v>
      </c>
      <c r="J1406">
        <v>8.74</v>
      </c>
      <c r="K1406">
        <v>1.39</v>
      </c>
      <c r="L1406" t="s">
        <v>145</v>
      </c>
      <c r="M1406" t="s">
        <v>101</v>
      </c>
      <c r="N1406" s="5" t="s">
        <v>102</v>
      </c>
      <c r="O1406" t="s">
        <v>28</v>
      </c>
      <c r="P1406" t="s">
        <v>21</v>
      </c>
      <c r="Q1406" t="s">
        <v>42</v>
      </c>
      <c r="R1406">
        <v>0.38</v>
      </c>
      <c r="S1406" s="1">
        <v>41033</v>
      </c>
      <c r="T1406" t="str">
        <f t="shared" si="43"/>
        <v>04-May-2012</v>
      </c>
    </row>
    <row r="1407" spans="1:20" x14ac:dyDescent="0.3">
      <c r="A1407">
        <v>7878</v>
      </c>
      <c r="B1407" s="1">
        <v>40664</v>
      </c>
      <c r="C1407" t="s">
        <v>43</v>
      </c>
      <c r="D1407" t="str">
        <f t="shared" si="42"/>
        <v>01-May-2011</v>
      </c>
      <c r="E1407">
        <v>41</v>
      </c>
      <c r="F1407" s="13">
        <v>343.64</v>
      </c>
      <c r="G1407">
        <v>0.06</v>
      </c>
      <c r="H1407" t="s">
        <v>19</v>
      </c>
      <c r="I1407" s="13">
        <v>13.29</v>
      </c>
      <c r="J1407">
        <v>8.57</v>
      </c>
      <c r="K1407">
        <v>3.44</v>
      </c>
      <c r="L1407" t="s">
        <v>153</v>
      </c>
      <c r="M1407" t="s">
        <v>101</v>
      </c>
      <c r="N1407" s="5" t="s">
        <v>102</v>
      </c>
      <c r="O1407" t="s">
        <v>28</v>
      </c>
      <c r="P1407" t="s">
        <v>32</v>
      </c>
      <c r="Q1407" t="s">
        <v>33</v>
      </c>
      <c r="R1407">
        <v>0.49</v>
      </c>
      <c r="S1407" s="1">
        <v>40666</v>
      </c>
      <c r="T1407" t="str">
        <f t="shared" si="43"/>
        <v>03-May-2011</v>
      </c>
    </row>
    <row r="1408" spans="1:20" x14ac:dyDescent="0.3">
      <c r="A1408">
        <v>57922</v>
      </c>
      <c r="B1408" s="1">
        <v>40582</v>
      </c>
      <c r="C1408" t="s">
        <v>43</v>
      </c>
      <c r="D1408" t="str">
        <f t="shared" si="42"/>
        <v>08-Feb-2011</v>
      </c>
      <c r="E1408">
        <v>50</v>
      </c>
      <c r="F1408" s="13">
        <v>343.26</v>
      </c>
      <c r="G1408">
        <v>0.04</v>
      </c>
      <c r="H1408" t="s">
        <v>19</v>
      </c>
      <c r="I1408" s="13">
        <v>-287.27999999999997</v>
      </c>
      <c r="J1408">
        <v>6.84</v>
      </c>
      <c r="K1408">
        <v>8.3699999999999992</v>
      </c>
      <c r="L1408" t="s">
        <v>87</v>
      </c>
      <c r="M1408" t="s">
        <v>101</v>
      </c>
      <c r="N1408" s="5" t="s">
        <v>102</v>
      </c>
      <c r="O1408" t="s">
        <v>28</v>
      </c>
      <c r="P1408" t="s">
        <v>21</v>
      </c>
      <c r="Q1408" t="s">
        <v>67</v>
      </c>
      <c r="R1408">
        <v>0.57999999999999996</v>
      </c>
      <c r="S1408" s="1">
        <v>40582</v>
      </c>
      <c r="T1408" t="str">
        <f t="shared" si="43"/>
        <v>08-Feb-2011</v>
      </c>
    </row>
    <row r="1409" spans="1:20" x14ac:dyDescent="0.3">
      <c r="A1409">
        <v>58725</v>
      </c>
      <c r="B1409" s="1">
        <v>40318</v>
      </c>
      <c r="C1409" t="s">
        <v>31</v>
      </c>
      <c r="D1409" t="str">
        <f t="shared" si="42"/>
        <v>20-May-2010</v>
      </c>
      <c r="E1409">
        <v>39</v>
      </c>
      <c r="F1409" s="13">
        <v>335.35</v>
      </c>
      <c r="G1409">
        <v>0.05</v>
      </c>
      <c r="H1409" t="s">
        <v>19</v>
      </c>
      <c r="I1409" s="13">
        <v>-134.97</v>
      </c>
      <c r="J1409">
        <v>8.74</v>
      </c>
      <c r="K1409">
        <v>8.2899999999999991</v>
      </c>
      <c r="L1409" t="s">
        <v>152</v>
      </c>
      <c r="M1409" t="s">
        <v>101</v>
      </c>
      <c r="N1409" s="5" t="s">
        <v>102</v>
      </c>
      <c r="O1409" t="s">
        <v>28</v>
      </c>
      <c r="P1409" t="s">
        <v>21</v>
      </c>
      <c r="Q1409" t="s">
        <v>42</v>
      </c>
      <c r="R1409">
        <v>0.38</v>
      </c>
      <c r="S1409" s="1">
        <v>40319</v>
      </c>
      <c r="T1409" t="str">
        <f t="shared" si="43"/>
        <v>21-May-2010</v>
      </c>
    </row>
    <row r="1410" spans="1:20" x14ac:dyDescent="0.3">
      <c r="A1410">
        <v>57506</v>
      </c>
      <c r="B1410" s="1">
        <v>39857</v>
      </c>
      <c r="C1410" t="s">
        <v>38</v>
      </c>
      <c r="D1410" t="str">
        <f t="shared" ref="D1410:D1473" si="44">TEXT(B1410, "dd-mmm-yyyy" )</f>
        <v>13-Feb-2009</v>
      </c>
      <c r="E1410">
        <v>48</v>
      </c>
      <c r="F1410" s="13">
        <v>332.55</v>
      </c>
      <c r="G1410">
        <v>0.1</v>
      </c>
      <c r="H1410" t="s">
        <v>19</v>
      </c>
      <c r="I1410" s="13">
        <v>-66.87</v>
      </c>
      <c r="J1410">
        <v>7.28</v>
      </c>
      <c r="K1410">
        <v>5.47</v>
      </c>
      <c r="L1410" t="s">
        <v>325</v>
      </c>
      <c r="M1410" t="s">
        <v>101</v>
      </c>
      <c r="N1410" s="5" t="s">
        <v>102</v>
      </c>
      <c r="O1410" t="s">
        <v>28</v>
      </c>
      <c r="P1410" t="s">
        <v>21</v>
      </c>
      <c r="Q1410" t="s">
        <v>37</v>
      </c>
      <c r="R1410">
        <v>0.35</v>
      </c>
      <c r="S1410" s="1">
        <v>39857</v>
      </c>
      <c r="T1410" t="str">
        <f t="shared" ref="T1410:T1473" si="45">TEXT(S1410, "dd-mmm-yyyy")</f>
        <v>13-Feb-2009</v>
      </c>
    </row>
    <row r="1411" spans="1:20" x14ac:dyDescent="0.3">
      <c r="A1411">
        <v>40261</v>
      </c>
      <c r="B1411" s="1">
        <v>40121</v>
      </c>
      <c r="C1411" t="s">
        <v>43</v>
      </c>
      <c r="D1411" t="str">
        <f t="shared" si="44"/>
        <v>04-Nov-2009</v>
      </c>
      <c r="E1411">
        <v>36</v>
      </c>
      <c r="F1411" s="13">
        <v>331.37</v>
      </c>
      <c r="G1411">
        <v>0.03</v>
      </c>
      <c r="H1411" t="s">
        <v>35</v>
      </c>
      <c r="I1411" s="13">
        <v>-172.17</v>
      </c>
      <c r="J1411">
        <v>9.06</v>
      </c>
      <c r="K1411">
        <v>9.86</v>
      </c>
      <c r="L1411" t="s">
        <v>333</v>
      </c>
      <c r="M1411" t="s">
        <v>101</v>
      </c>
      <c r="N1411" s="5" t="s">
        <v>102</v>
      </c>
      <c r="O1411" t="s">
        <v>28</v>
      </c>
      <c r="P1411" t="s">
        <v>21</v>
      </c>
      <c r="Q1411" t="s">
        <v>37</v>
      </c>
      <c r="R1411">
        <v>0.4</v>
      </c>
      <c r="S1411" s="1">
        <v>40123</v>
      </c>
      <c r="T1411" t="str">
        <f t="shared" si="45"/>
        <v>06-Nov-2009</v>
      </c>
    </row>
    <row r="1412" spans="1:20" x14ac:dyDescent="0.3">
      <c r="A1412">
        <v>15142</v>
      </c>
      <c r="B1412" s="1">
        <v>41003</v>
      </c>
      <c r="C1412" t="s">
        <v>31</v>
      </c>
      <c r="D1412" t="str">
        <f t="shared" si="44"/>
        <v>04-Apr-2012</v>
      </c>
      <c r="E1412">
        <v>21</v>
      </c>
      <c r="F1412" s="13">
        <v>330.22</v>
      </c>
      <c r="G1412">
        <v>7.0000000000000007E-2</v>
      </c>
      <c r="H1412" t="s">
        <v>19</v>
      </c>
      <c r="I1412" s="13">
        <v>-51.72</v>
      </c>
      <c r="J1412">
        <v>15.28</v>
      </c>
      <c r="K1412">
        <v>10.91</v>
      </c>
      <c r="L1412" t="s">
        <v>153</v>
      </c>
      <c r="M1412" t="s">
        <v>101</v>
      </c>
      <c r="N1412" s="5" t="s">
        <v>102</v>
      </c>
      <c r="O1412" t="s">
        <v>28</v>
      </c>
      <c r="P1412" t="s">
        <v>21</v>
      </c>
      <c r="Q1412" t="s">
        <v>26</v>
      </c>
      <c r="R1412">
        <v>0.36</v>
      </c>
      <c r="S1412" s="1">
        <v>41005</v>
      </c>
      <c r="T1412" t="str">
        <f t="shared" si="45"/>
        <v>06-Apr-2012</v>
      </c>
    </row>
    <row r="1413" spans="1:20" x14ac:dyDescent="0.3">
      <c r="A1413">
        <v>54436</v>
      </c>
      <c r="B1413" s="1">
        <v>40075</v>
      </c>
      <c r="C1413" t="s">
        <v>23</v>
      </c>
      <c r="D1413" t="str">
        <f t="shared" si="44"/>
        <v>19-Sep-2009</v>
      </c>
      <c r="E1413">
        <v>37</v>
      </c>
      <c r="F1413" s="13">
        <v>321.3</v>
      </c>
      <c r="G1413">
        <v>0</v>
      </c>
      <c r="H1413" t="s">
        <v>19</v>
      </c>
      <c r="I1413" s="13">
        <v>-47.23</v>
      </c>
      <c r="J1413">
        <v>8.1199999999999992</v>
      </c>
      <c r="K1413">
        <v>2.83</v>
      </c>
      <c r="L1413" t="s">
        <v>336</v>
      </c>
      <c r="M1413" t="s">
        <v>101</v>
      </c>
      <c r="N1413" s="5" t="s">
        <v>102</v>
      </c>
      <c r="O1413" t="s">
        <v>28</v>
      </c>
      <c r="P1413" t="s">
        <v>29</v>
      </c>
      <c r="Q1413" t="s">
        <v>41</v>
      </c>
      <c r="R1413">
        <v>0.77</v>
      </c>
      <c r="S1413" s="1">
        <v>40076</v>
      </c>
      <c r="T1413" t="str">
        <f t="shared" si="45"/>
        <v>20-Sep-2009</v>
      </c>
    </row>
    <row r="1414" spans="1:20" x14ac:dyDescent="0.3">
      <c r="A1414">
        <v>44002</v>
      </c>
      <c r="B1414" s="1">
        <v>39851</v>
      </c>
      <c r="C1414" t="s">
        <v>38</v>
      </c>
      <c r="D1414" t="str">
        <f t="shared" si="44"/>
        <v>07-Feb-2009</v>
      </c>
      <c r="E1414">
        <v>46</v>
      </c>
      <c r="F1414" s="13">
        <v>320.93</v>
      </c>
      <c r="G1414">
        <v>0.05</v>
      </c>
      <c r="H1414" t="s">
        <v>19</v>
      </c>
      <c r="I1414" s="13">
        <v>-66.48</v>
      </c>
      <c r="J1414">
        <v>6.68</v>
      </c>
      <c r="K1414">
        <v>5.66</v>
      </c>
      <c r="L1414" t="s">
        <v>318</v>
      </c>
      <c r="M1414" t="s">
        <v>101</v>
      </c>
      <c r="N1414" s="5" t="s">
        <v>102</v>
      </c>
      <c r="O1414" t="s">
        <v>28</v>
      </c>
      <c r="P1414" t="s">
        <v>21</v>
      </c>
      <c r="Q1414" t="s">
        <v>37</v>
      </c>
      <c r="R1414">
        <v>0.37</v>
      </c>
      <c r="S1414" s="1">
        <v>39853</v>
      </c>
      <c r="T1414" t="str">
        <f t="shared" si="45"/>
        <v>09-Feb-2009</v>
      </c>
    </row>
    <row r="1415" spans="1:20" x14ac:dyDescent="0.3">
      <c r="A1415">
        <v>42437</v>
      </c>
      <c r="B1415" s="1">
        <v>40973</v>
      </c>
      <c r="C1415" t="s">
        <v>43</v>
      </c>
      <c r="D1415" t="str">
        <f t="shared" si="44"/>
        <v>05-Mar-2012</v>
      </c>
      <c r="E1415">
        <v>14</v>
      </c>
      <c r="F1415" s="13">
        <v>313.85000000000002</v>
      </c>
      <c r="G1415">
        <v>0.03</v>
      </c>
      <c r="H1415" t="s">
        <v>19</v>
      </c>
      <c r="I1415" s="13">
        <v>-31.37</v>
      </c>
      <c r="J1415">
        <v>21.38</v>
      </c>
      <c r="K1415">
        <v>8.99</v>
      </c>
      <c r="L1415" t="s">
        <v>307</v>
      </c>
      <c r="M1415" t="s">
        <v>101</v>
      </c>
      <c r="N1415" s="5" t="s">
        <v>102</v>
      </c>
      <c r="O1415" t="s">
        <v>28</v>
      </c>
      <c r="P1415" t="s">
        <v>21</v>
      </c>
      <c r="Q1415" t="s">
        <v>50</v>
      </c>
      <c r="R1415">
        <v>0.59</v>
      </c>
      <c r="S1415" s="1">
        <v>40974</v>
      </c>
      <c r="T1415" t="str">
        <f t="shared" si="45"/>
        <v>06-Mar-2012</v>
      </c>
    </row>
    <row r="1416" spans="1:20" x14ac:dyDescent="0.3">
      <c r="A1416">
        <v>44422</v>
      </c>
      <c r="B1416" s="1">
        <v>41012</v>
      </c>
      <c r="C1416" t="s">
        <v>38</v>
      </c>
      <c r="D1416" t="str">
        <f t="shared" si="44"/>
        <v>13-Apr-2012</v>
      </c>
      <c r="E1416">
        <v>36</v>
      </c>
      <c r="F1416" s="13">
        <v>313.83</v>
      </c>
      <c r="G1416">
        <v>0.08</v>
      </c>
      <c r="H1416" t="s">
        <v>19</v>
      </c>
      <c r="I1416" s="13">
        <v>56.78</v>
      </c>
      <c r="J1416">
        <v>8.69</v>
      </c>
      <c r="K1416">
        <v>2.99</v>
      </c>
      <c r="L1416" t="s">
        <v>325</v>
      </c>
      <c r="M1416" t="s">
        <v>101</v>
      </c>
      <c r="N1416" s="5" t="s">
        <v>102</v>
      </c>
      <c r="O1416" t="s">
        <v>28</v>
      </c>
      <c r="P1416" t="s">
        <v>21</v>
      </c>
      <c r="Q1416" t="s">
        <v>26</v>
      </c>
      <c r="R1416">
        <v>0.39</v>
      </c>
      <c r="S1416" s="1">
        <v>41014</v>
      </c>
      <c r="T1416" t="str">
        <f t="shared" si="45"/>
        <v>15-Apr-2012</v>
      </c>
    </row>
    <row r="1417" spans="1:20" x14ac:dyDescent="0.3">
      <c r="A1417">
        <v>19557</v>
      </c>
      <c r="B1417" s="1">
        <v>40846</v>
      </c>
      <c r="C1417" t="s">
        <v>18</v>
      </c>
      <c r="D1417" t="str">
        <f t="shared" si="44"/>
        <v>30-Oct-2011</v>
      </c>
      <c r="E1417">
        <v>9</v>
      </c>
      <c r="F1417" s="13">
        <v>312.25</v>
      </c>
      <c r="G1417">
        <v>0.05</v>
      </c>
      <c r="H1417" t="s">
        <v>19</v>
      </c>
      <c r="I1417" s="13">
        <v>15.56</v>
      </c>
      <c r="J1417">
        <v>33.89</v>
      </c>
      <c r="K1417">
        <v>5.0999999999999996</v>
      </c>
      <c r="L1417" t="s">
        <v>323</v>
      </c>
      <c r="M1417" t="s">
        <v>101</v>
      </c>
      <c r="N1417" s="5" t="s">
        <v>102</v>
      </c>
      <c r="O1417" t="s">
        <v>28</v>
      </c>
      <c r="P1417" t="s">
        <v>21</v>
      </c>
      <c r="Q1417" t="s">
        <v>22</v>
      </c>
      <c r="R1417">
        <v>0.6</v>
      </c>
      <c r="S1417" s="1">
        <v>40846</v>
      </c>
      <c r="T1417" t="str">
        <f t="shared" si="45"/>
        <v>30-Oct-2011</v>
      </c>
    </row>
    <row r="1418" spans="1:20" x14ac:dyDescent="0.3">
      <c r="A1418">
        <v>48032</v>
      </c>
      <c r="B1418" s="1">
        <v>40416</v>
      </c>
      <c r="C1418" t="s">
        <v>23</v>
      </c>
      <c r="D1418" t="str">
        <f t="shared" si="44"/>
        <v>26-Aug-2010</v>
      </c>
      <c r="E1418">
        <v>42</v>
      </c>
      <c r="F1418" s="13">
        <v>309.17</v>
      </c>
      <c r="G1418">
        <v>0.09</v>
      </c>
      <c r="H1418" t="s">
        <v>19</v>
      </c>
      <c r="I1418" s="13">
        <v>-283.31</v>
      </c>
      <c r="J1418">
        <v>7.77</v>
      </c>
      <c r="K1418">
        <v>9.23</v>
      </c>
      <c r="L1418" t="s">
        <v>318</v>
      </c>
      <c r="M1418" t="s">
        <v>101</v>
      </c>
      <c r="N1418" s="5" t="s">
        <v>102</v>
      </c>
      <c r="O1418" t="s">
        <v>28</v>
      </c>
      <c r="P1418" t="s">
        <v>21</v>
      </c>
      <c r="Q1418" t="s">
        <v>25</v>
      </c>
      <c r="R1418">
        <v>0.57999999999999996</v>
      </c>
      <c r="S1418" s="1">
        <v>40417</v>
      </c>
      <c r="T1418" t="str">
        <f t="shared" si="45"/>
        <v>27-Aug-2010</v>
      </c>
    </row>
    <row r="1419" spans="1:20" x14ac:dyDescent="0.3">
      <c r="A1419">
        <v>49123</v>
      </c>
      <c r="B1419" s="1">
        <v>39869</v>
      </c>
      <c r="C1419" t="s">
        <v>23</v>
      </c>
      <c r="D1419" t="str">
        <f t="shared" si="44"/>
        <v>25-Feb-2009</v>
      </c>
      <c r="E1419">
        <v>31</v>
      </c>
      <c r="F1419" s="13">
        <v>305.76</v>
      </c>
      <c r="G1419">
        <v>0.1</v>
      </c>
      <c r="H1419" t="s">
        <v>19</v>
      </c>
      <c r="I1419" s="13">
        <v>-22.53</v>
      </c>
      <c r="J1419">
        <v>10.44</v>
      </c>
      <c r="K1419">
        <v>5.75</v>
      </c>
      <c r="L1419" t="s">
        <v>329</v>
      </c>
      <c r="M1419" t="s">
        <v>101</v>
      </c>
      <c r="N1419" s="5" t="s">
        <v>102</v>
      </c>
      <c r="O1419" t="s">
        <v>28</v>
      </c>
      <c r="P1419" t="s">
        <v>21</v>
      </c>
      <c r="Q1419" t="s">
        <v>26</v>
      </c>
      <c r="R1419">
        <v>0.39</v>
      </c>
      <c r="S1419" s="1">
        <v>39870</v>
      </c>
      <c r="T1419" t="str">
        <f t="shared" si="45"/>
        <v>26-Feb-2009</v>
      </c>
    </row>
    <row r="1420" spans="1:20" x14ac:dyDescent="0.3">
      <c r="A1420">
        <v>29249</v>
      </c>
      <c r="B1420" s="1">
        <v>40707</v>
      </c>
      <c r="C1420" t="s">
        <v>18</v>
      </c>
      <c r="D1420" t="str">
        <f t="shared" si="44"/>
        <v>13-Jun-2011</v>
      </c>
      <c r="E1420">
        <v>47</v>
      </c>
      <c r="F1420" s="13">
        <v>302.69</v>
      </c>
      <c r="G1420">
        <v>0.05</v>
      </c>
      <c r="H1420" t="s">
        <v>35</v>
      </c>
      <c r="I1420" s="13">
        <v>125.65</v>
      </c>
      <c r="J1420">
        <v>6.35</v>
      </c>
      <c r="K1420">
        <v>1.02</v>
      </c>
      <c r="L1420" t="s">
        <v>338</v>
      </c>
      <c r="M1420" t="s">
        <v>101</v>
      </c>
      <c r="N1420" s="5" t="s">
        <v>102</v>
      </c>
      <c r="O1420" t="s">
        <v>28</v>
      </c>
      <c r="P1420" t="s">
        <v>21</v>
      </c>
      <c r="Q1420" t="s">
        <v>37</v>
      </c>
      <c r="R1420">
        <v>0.39</v>
      </c>
      <c r="S1420" s="1">
        <v>40712</v>
      </c>
      <c r="T1420" t="str">
        <f t="shared" si="45"/>
        <v>18-Jun-2011</v>
      </c>
    </row>
    <row r="1421" spans="1:20" x14ac:dyDescent="0.3">
      <c r="A1421">
        <v>40964</v>
      </c>
      <c r="B1421" s="1">
        <v>40686</v>
      </c>
      <c r="C1421" t="s">
        <v>43</v>
      </c>
      <c r="D1421" t="str">
        <f t="shared" si="44"/>
        <v>23-May-2011</v>
      </c>
      <c r="E1421">
        <v>40</v>
      </c>
      <c r="F1421" s="13">
        <v>301.12</v>
      </c>
      <c r="G1421">
        <v>0</v>
      </c>
      <c r="H1421" t="s">
        <v>19</v>
      </c>
      <c r="I1421" s="13">
        <v>-206.05</v>
      </c>
      <c r="J1421">
        <v>6.84</v>
      </c>
      <c r="K1421">
        <v>8.3699999999999992</v>
      </c>
      <c r="L1421" t="s">
        <v>330</v>
      </c>
      <c r="M1421" t="s">
        <v>101</v>
      </c>
      <c r="N1421" s="5" t="s">
        <v>102</v>
      </c>
      <c r="O1421" t="s">
        <v>28</v>
      </c>
      <c r="P1421" t="s">
        <v>21</v>
      </c>
      <c r="Q1421" t="s">
        <v>67</v>
      </c>
      <c r="R1421">
        <v>0.57999999999999996</v>
      </c>
      <c r="S1421" s="1">
        <v>40689</v>
      </c>
      <c r="T1421" t="str">
        <f t="shared" si="45"/>
        <v>26-May-2011</v>
      </c>
    </row>
    <row r="1422" spans="1:20" x14ac:dyDescent="0.3">
      <c r="A1422">
        <v>10272</v>
      </c>
      <c r="B1422" s="1">
        <v>39830</v>
      </c>
      <c r="C1422" t="s">
        <v>38</v>
      </c>
      <c r="D1422" t="str">
        <f t="shared" si="44"/>
        <v>17-Jan-2009</v>
      </c>
      <c r="E1422">
        <v>3</v>
      </c>
      <c r="F1422" s="13">
        <v>299.08</v>
      </c>
      <c r="G1422">
        <v>0.03</v>
      </c>
      <c r="H1422" t="s">
        <v>19</v>
      </c>
      <c r="I1422" s="13">
        <v>-50.43</v>
      </c>
      <c r="J1422">
        <v>90.48</v>
      </c>
      <c r="K1422">
        <v>19.989999999999998</v>
      </c>
      <c r="L1422" t="s">
        <v>334</v>
      </c>
      <c r="M1422" t="s">
        <v>101</v>
      </c>
      <c r="N1422" s="5" t="s">
        <v>102</v>
      </c>
      <c r="O1422" t="s">
        <v>28</v>
      </c>
      <c r="P1422" t="s">
        <v>21</v>
      </c>
      <c r="Q1422" t="s">
        <v>42</v>
      </c>
      <c r="R1422">
        <v>0.4</v>
      </c>
      <c r="S1422" s="1">
        <v>39832</v>
      </c>
      <c r="T1422" t="str">
        <f t="shared" si="45"/>
        <v>19-Jan-2009</v>
      </c>
    </row>
    <row r="1423" spans="1:20" x14ac:dyDescent="0.3">
      <c r="A1423">
        <v>37987</v>
      </c>
      <c r="B1423" s="1">
        <v>39997</v>
      </c>
      <c r="C1423" t="s">
        <v>23</v>
      </c>
      <c r="D1423" t="str">
        <f t="shared" si="44"/>
        <v>03-Jul-2009</v>
      </c>
      <c r="E1423">
        <v>26</v>
      </c>
      <c r="F1423" s="13">
        <v>299.07</v>
      </c>
      <c r="G1423">
        <v>0.1</v>
      </c>
      <c r="H1423" t="s">
        <v>19</v>
      </c>
      <c r="I1423" s="13">
        <v>137.47</v>
      </c>
      <c r="J1423">
        <v>12.53</v>
      </c>
      <c r="K1423">
        <v>0.49</v>
      </c>
      <c r="L1423" t="s">
        <v>326</v>
      </c>
      <c r="M1423" t="s">
        <v>101</v>
      </c>
      <c r="N1423" s="5" t="s">
        <v>102</v>
      </c>
      <c r="O1423" t="s">
        <v>28</v>
      </c>
      <c r="P1423" t="s">
        <v>21</v>
      </c>
      <c r="Q1423" t="s">
        <v>48</v>
      </c>
      <c r="R1423">
        <v>0.38</v>
      </c>
      <c r="S1423" s="1">
        <v>39998</v>
      </c>
      <c r="T1423" t="str">
        <f t="shared" si="45"/>
        <v>04-Jul-2009</v>
      </c>
    </row>
    <row r="1424" spans="1:20" x14ac:dyDescent="0.3">
      <c r="A1424">
        <v>4578</v>
      </c>
      <c r="B1424" s="1">
        <v>41164</v>
      </c>
      <c r="C1424" t="s">
        <v>18</v>
      </c>
      <c r="D1424" t="str">
        <f t="shared" si="44"/>
        <v>12-Sep-2012</v>
      </c>
      <c r="E1424">
        <v>15</v>
      </c>
      <c r="F1424" s="13">
        <v>294.66000000000003</v>
      </c>
      <c r="G1424">
        <v>7.0000000000000007E-2</v>
      </c>
      <c r="H1424" t="s">
        <v>19</v>
      </c>
      <c r="I1424" s="13">
        <v>86.33</v>
      </c>
      <c r="J1424">
        <v>20.239999999999998</v>
      </c>
      <c r="K1424">
        <v>6.67</v>
      </c>
      <c r="L1424" t="s">
        <v>80</v>
      </c>
      <c r="M1424" t="s">
        <v>101</v>
      </c>
      <c r="N1424" s="5" t="s">
        <v>102</v>
      </c>
      <c r="O1424" t="s">
        <v>28</v>
      </c>
      <c r="P1424" t="s">
        <v>32</v>
      </c>
      <c r="Q1424" t="s">
        <v>33</v>
      </c>
      <c r="R1424">
        <v>0.49</v>
      </c>
      <c r="S1424" s="1">
        <v>41171</v>
      </c>
      <c r="T1424" t="str">
        <f t="shared" si="45"/>
        <v>19-Sep-2012</v>
      </c>
    </row>
    <row r="1425" spans="1:20" x14ac:dyDescent="0.3">
      <c r="A1425">
        <v>47938</v>
      </c>
      <c r="B1425" s="1">
        <v>39988</v>
      </c>
      <c r="C1425" t="s">
        <v>18</v>
      </c>
      <c r="D1425" t="str">
        <f t="shared" si="44"/>
        <v>24-Jun-2009</v>
      </c>
      <c r="E1425">
        <v>17</v>
      </c>
      <c r="F1425" s="13">
        <v>283.65350000000001</v>
      </c>
      <c r="G1425">
        <v>0.09</v>
      </c>
      <c r="H1425" t="s">
        <v>19</v>
      </c>
      <c r="I1425" s="13">
        <v>-113.05</v>
      </c>
      <c r="J1425">
        <v>20.99</v>
      </c>
      <c r="K1425">
        <v>2.5</v>
      </c>
      <c r="L1425" t="s">
        <v>320</v>
      </c>
      <c r="M1425" t="s">
        <v>101</v>
      </c>
      <c r="N1425" s="5" t="s">
        <v>102</v>
      </c>
      <c r="O1425" t="s">
        <v>28</v>
      </c>
      <c r="P1425" t="s">
        <v>29</v>
      </c>
      <c r="Q1425" t="s">
        <v>30</v>
      </c>
      <c r="R1425">
        <v>0.81</v>
      </c>
      <c r="S1425" s="1">
        <v>39995</v>
      </c>
      <c r="T1425" t="str">
        <f t="shared" si="45"/>
        <v>01-Jul-2009</v>
      </c>
    </row>
    <row r="1426" spans="1:20" x14ac:dyDescent="0.3">
      <c r="A1426">
        <v>48167</v>
      </c>
      <c r="B1426" s="1">
        <v>40062</v>
      </c>
      <c r="C1426" t="s">
        <v>43</v>
      </c>
      <c r="D1426" t="str">
        <f t="shared" si="44"/>
        <v>06-Sep-2009</v>
      </c>
      <c r="E1426">
        <v>45</v>
      </c>
      <c r="F1426" s="13">
        <v>282.98</v>
      </c>
      <c r="G1426">
        <v>0.06</v>
      </c>
      <c r="H1426" t="s">
        <v>19</v>
      </c>
      <c r="I1426" s="13">
        <v>-237.47</v>
      </c>
      <c r="J1426">
        <v>6.48</v>
      </c>
      <c r="K1426">
        <v>8.8800000000000008</v>
      </c>
      <c r="L1426" t="s">
        <v>149</v>
      </c>
      <c r="M1426" t="s">
        <v>101</v>
      </c>
      <c r="N1426" s="5" t="s">
        <v>102</v>
      </c>
      <c r="O1426" t="s">
        <v>28</v>
      </c>
      <c r="P1426" t="s">
        <v>21</v>
      </c>
      <c r="Q1426" t="s">
        <v>37</v>
      </c>
      <c r="R1426">
        <v>0.37</v>
      </c>
      <c r="S1426" s="1">
        <v>40063</v>
      </c>
      <c r="T1426" t="str">
        <f t="shared" si="45"/>
        <v>07-Sep-2009</v>
      </c>
    </row>
    <row r="1427" spans="1:20" x14ac:dyDescent="0.3">
      <c r="A1427">
        <v>4578</v>
      </c>
      <c r="B1427" s="1">
        <v>41164</v>
      </c>
      <c r="C1427" t="s">
        <v>18</v>
      </c>
      <c r="D1427" t="str">
        <f t="shared" si="44"/>
        <v>12-Sep-2012</v>
      </c>
      <c r="E1427">
        <v>45</v>
      </c>
      <c r="F1427" s="13">
        <v>282.70999999999998</v>
      </c>
      <c r="G1427">
        <v>0.09</v>
      </c>
      <c r="H1427" t="s">
        <v>19</v>
      </c>
      <c r="I1427" s="13">
        <v>-141.44</v>
      </c>
      <c r="J1427">
        <v>6.48</v>
      </c>
      <c r="K1427">
        <v>6.74</v>
      </c>
      <c r="L1427" t="s">
        <v>80</v>
      </c>
      <c r="M1427" t="s">
        <v>101</v>
      </c>
      <c r="N1427" s="5" t="s">
        <v>102</v>
      </c>
      <c r="O1427" t="s">
        <v>28</v>
      </c>
      <c r="P1427" t="s">
        <v>21</v>
      </c>
      <c r="Q1427" t="s">
        <v>37</v>
      </c>
      <c r="R1427">
        <v>0.37</v>
      </c>
      <c r="S1427" s="1">
        <v>41169</v>
      </c>
      <c r="T1427" t="str">
        <f t="shared" si="45"/>
        <v>17-Sep-2012</v>
      </c>
    </row>
    <row r="1428" spans="1:20" x14ac:dyDescent="0.3">
      <c r="A1428">
        <v>46147</v>
      </c>
      <c r="B1428" s="1">
        <v>40558</v>
      </c>
      <c r="C1428" t="s">
        <v>43</v>
      </c>
      <c r="D1428" t="str">
        <f t="shared" si="44"/>
        <v>15-Jan-2011</v>
      </c>
      <c r="E1428">
        <v>39</v>
      </c>
      <c r="F1428" s="13">
        <v>282.48</v>
      </c>
      <c r="G1428">
        <v>0.08</v>
      </c>
      <c r="H1428" t="s">
        <v>35</v>
      </c>
      <c r="I1428" s="13">
        <v>-87.01</v>
      </c>
      <c r="J1428">
        <v>7.1</v>
      </c>
      <c r="K1428">
        <v>6.05</v>
      </c>
      <c r="L1428" t="s">
        <v>329</v>
      </c>
      <c r="M1428" t="s">
        <v>101</v>
      </c>
      <c r="N1428" s="5" t="s">
        <v>102</v>
      </c>
      <c r="O1428" t="s">
        <v>28</v>
      </c>
      <c r="P1428" t="s">
        <v>21</v>
      </c>
      <c r="Q1428" t="s">
        <v>26</v>
      </c>
      <c r="R1428">
        <v>0.39</v>
      </c>
      <c r="S1428" s="1">
        <v>40560</v>
      </c>
      <c r="T1428" t="str">
        <f t="shared" si="45"/>
        <v>17-Jan-2011</v>
      </c>
    </row>
    <row r="1429" spans="1:20" x14ac:dyDescent="0.3">
      <c r="A1429">
        <v>5635</v>
      </c>
      <c r="B1429" s="1">
        <v>41136</v>
      </c>
      <c r="C1429" t="s">
        <v>38</v>
      </c>
      <c r="D1429" t="str">
        <f t="shared" si="44"/>
        <v>15-Aug-2012</v>
      </c>
      <c r="E1429">
        <v>50</v>
      </c>
      <c r="F1429" s="13">
        <v>281.58</v>
      </c>
      <c r="G1429">
        <v>0.09</v>
      </c>
      <c r="H1429" t="s">
        <v>19</v>
      </c>
      <c r="I1429" s="13">
        <v>-161.56</v>
      </c>
      <c r="J1429">
        <v>5.77</v>
      </c>
      <c r="K1429">
        <v>5.92</v>
      </c>
      <c r="L1429" t="s">
        <v>330</v>
      </c>
      <c r="M1429" t="s">
        <v>101</v>
      </c>
      <c r="N1429" s="5" t="s">
        <v>102</v>
      </c>
      <c r="O1429" t="s">
        <v>28</v>
      </c>
      <c r="P1429" t="s">
        <v>32</v>
      </c>
      <c r="Q1429" t="s">
        <v>33</v>
      </c>
      <c r="R1429">
        <v>0.55000000000000004</v>
      </c>
      <c r="S1429" s="1">
        <v>41138</v>
      </c>
      <c r="T1429" t="str">
        <f t="shared" si="45"/>
        <v>17-Aug-2012</v>
      </c>
    </row>
    <row r="1430" spans="1:20" x14ac:dyDescent="0.3">
      <c r="A1430">
        <v>58278</v>
      </c>
      <c r="B1430" s="1">
        <v>41162</v>
      </c>
      <c r="C1430" t="s">
        <v>23</v>
      </c>
      <c r="D1430" t="str">
        <f t="shared" si="44"/>
        <v>10-Sep-2012</v>
      </c>
      <c r="E1430">
        <v>4</v>
      </c>
      <c r="F1430" s="13">
        <v>281.5455</v>
      </c>
      <c r="G1430">
        <v>0.1</v>
      </c>
      <c r="H1430" t="s">
        <v>19</v>
      </c>
      <c r="I1430" s="13">
        <v>-434.56</v>
      </c>
      <c r="J1430">
        <v>85.99</v>
      </c>
      <c r="K1430">
        <v>0.99</v>
      </c>
      <c r="L1430" t="s">
        <v>100</v>
      </c>
      <c r="M1430" t="s">
        <v>101</v>
      </c>
      <c r="N1430" s="5" t="s">
        <v>102</v>
      </c>
      <c r="O1430" t="s">
        <v>28</v>
      </c>
      <c r="P1430" t="s">
        <v>29</v>
      </c>
      <c r="Q1430" t="s">
        <v>30</v>
      </c>
      <c r="R1430">
        <v>0.85</v>
      </c>
      <c r="S1430" s="1">
        <v>41165</v>
      </c>
      <c r="T1430" t="str">
        <f t="shared" si="45"/>
        <v>13-Sep-2012</v>
      </c>
    </row>
    <row r="1431" spans="1:20" x14ac:dyDescent="0.3">
      <c r="A1431">
        <v>36295</v>
      </c>
      <c r="B1431" s="1">
        <v>40425</v>
      </c>
      <c r="C1431" t="s">
        <v>38</v>
      </c>
      <c r="D1431" t="str">
        <f t="shared" si="44"/>
        <v>04-Sep-2010</v>
      </c>
      <c r="E1431">
        <v>10</v>
      </c>
      <c r="F1431" s="13">
        <v>278.10000000000002</v>
      </c>
      <c r="G1431">
        <v>0.09</v>
      </c>
      <c r="H1431" t="s">
        <v>19</v>
      </c>
      <c r="I1431" s="13">
        <v>68.099999999999994</v>
      </c>
      <c r="J1431">
        <v>30.56</v>
      </c>
      <c r="K1431">
        <v>2.99</v>
      </c>
      <c r="L1431" t="s">
        <v>337</v>
      </c>
      <c r="M1431" t="s">
        <v>101</v>
      </c>
      <c r="N1431" s="5" t="s">
        <v>102</v>
      </c>
      <c r="O1431" t="s">
        <v>28</v>
      </c>
      <c r="P1431" t="s">
        <v>21</v>
      </c>
      <c r="Q1431" t="s">
        <v>26</v>
      </c>
      <c r="R1431">
        <v>0.35</v>
      </c>
      <c r="S1431" s="1">
        <v>40427</v>
      </c>
      <c r="T1431" t="str">
        <f t="shared" si="45"/>
        <v>06-Sep-2010</v>
      </c>
    </row>
    <row r="1432" spans="1:20" x14ac:dyDescent="0.3">
      <c r="A1432">
        <v>612</v>
      </c>
      <c r="B1432" s="1">
        <v>41202</v>
      </c>
      <c r="C1432" t="s">
        <v>38</v>
      </c>
      <c r="D1432" t="str">
        <f t="shared" si="44"/>
        <v>20-Oct-2012</v>
      </c>
      <c r="E1432">
        <v>50</v>
      </c>
      <c r="F1432" s="13">
        <v>262.87</v>
      </c>
      <c r="G1432">
        <v>0.1</v>
      </c>
      <c r="H1432" t="s">
        <v>19</v>
      </c>
      <c r="I1432" s="13">
        <v>-166.29</v>
      </c>
      <c r="J1432">
        <v>5.28</v>
      </c>
      <c r="K1432">
        <v>6.26</v>
      </c>
      <c r="L1432" t="s">
        <v>274</v>
      </c>
      <c r="M1432" t="s">
        <v>101</v>
      </c>
      <c r="N1432" s="5" t="s">
        <v>102</v>
      </c>
      <c r="O1432" t="s">
        <v>28</v>
      </c>
      <c r="P1432" t="s">
        <v>21</v>
      </c>
      <c r="Q1432" t="s">
        <v>37</v>
      </c>
      <c r="R1432">
        <v>0.4</v>
      </c>
      <c r="S1432" s="1">
        <v>41204</v>
      </c>
      <c r="T1432" t="str">
        <f t="shared" si="45"/>
        <v>22-Oct-2012</v>
      </c>
    </row>
    <row r="1433" spans="1:20" x14ac:dyDescent="0.3">
      <c r="A1433">
        <v>44002</v>
      </c>
      <c r="B1433" s="1">
        <v>39851</v>
      </c>
      <c r="C1433" t="s">
        <v>38</v>
      </c>
      <c r="D1433" t="str">
        <f t="shared" si="44"/>
        <v>07-Feb-2009</v>
      </c>
      <c r="E1433">
        <v>14</v>
      </c>
      <c r="F1433" s="13">
        <v>261.85000000000002</v>
      </c>
      <c r="G1433">
        <v>0.03</v>
      </c>
      <c r="H1433" t="s">
        <v>19</v>
      </c>
      <c r="I1433" s="13">
        <v>-52.33</v>
      </c>
      <c r="J1433">
        <v>17.7</v>
      </c>
      <c r="K1433">
        <v>9.4700000000000006</v>
      </c>
      <c r="L1433" t="s">
        <v>318</v>
      </c>
      <c r="M1433" t="s">
        <v>101</v>
      </c>
      <c r="N1433" s="5" t="s">
        <v>102</v>
      </c>
      <c r="O1433" t="s">
        <v>28</v>
      </c>
      <c r="P1433" t="s">
        <v>21</v>
      </c>
      <c r="Q1433" t="s">
        <v>22</v>
      </c>
      <c r="R1433">
        <v>0.59</v>
      </c>
      <c r="S1433" s="1">
        <v>39851</v>
      </c>
      <c r="T1433" t="str">
        <f t="shared" si="45"/>
        <v>07-Feb-2009</v>
      </c>
    </row>
    <row r="1434" spans="1:20" x14ac:dyDescent="0.3">
      <c r="A1434">
        <v>7364</v>
      </c>
      <c r="B1434" s="1">
        <v>39941</v>
      </c>
      <c r="C1434" t="s">
        <v>23</v>
      </c>
      <c r="D1434" t="str">
        <f t="shared" si="44"/>
        <v>08-May-2009</v>
      </c>
      <c r="E1434">
        <v>15</v>
      </c>
      <c r="F1434" s="13">
        <v>260.39</v>
      </c>
      <c r="G1434">
        <v>0.09</v>
      </c>
      <c r="H1434" t="s">
        <v>19</v>
      </c>
      <c r="I1434" s="13">
        <v>-48.57</v>
      </c>
      <c r="J1434">
        <v>16.98</v>
      </c>
      <c r="K1434">
        <v>12.39</v>
      </c>
      <c r="L1434" t="s">
        <v>158</v>
      </c>
      <c r="M1434" t="s">
        <v>101</v>
      </c>
      <c r="N1434" s="5" t="s">
        <v>102</v>
      </c>
      <c r="O1434" t="s">
        <v>28</v>
      </c>
      <c r="P1434" t="s">
        <v>21</v>
      </c>
      <c r="Q1434" t="s">
        <v>42</v>
      </c>
      <c r="R1434">
        <v>0.35</v>
      </c>
      <c r="S1434" s="1">
        <v>39943</v>
      </c>
      <c r="T1434" t="str">
        <f t="shared" si="45"/>
        <v>10-May-2009</v>
      </c>
    </row>
    <row r="1435" spans="1:20" x14ac:dyDescent="0.3">
      <c r="A1435">
        <v>15270</v>
      </c>
      <c r="B1435" s="1">
        <v>39844</v>
      </c>
      <c r="C1435" t="s">
        <v>31</v>
      </c>
      <c r="D1435" t="str">
        <f t="shared" si="44"/>
        <v>31-Jan-2009</v>
      </c>
      <c r="E1435">
        <v>36</v>
      </c>
      <c r="F1435" s="13">
        <v>257.91000000000003</v>
      </c>
      <c r="G1435">
        <v>0</v>
      </c>
      <c r="H1435" t="s">
        <v>19</v>
      </c>
      <c r="I1435" s="13">
        <v>90.86</v>
      </c>
      <c r="J1435">
        <v>6.98</v>
      </c>
      <c r="K1435">
        <v>1.6</v>
      </c>
      <c r="L1435" t="s">
        <v>215</v>
      </c>
      <c r="M1435" t="s">
        <v>101</v>
      </c>
      <c r="N1435" s="5" t="s">
        <v>102</v>
      </c>
      <c r="O1435" t="s">
        <v>28</v>
      </c>
      <c r="P1435" t="s">
        <v>21</v>
      </c>
      <c r="Q1435" t="s">
        <v>37</v>
      </c>
      <c r="R1435">
        <v>0.38</v>
      </c>
      <c r="S1435" s="1">
        <v>39846</v>
      </c>
      <c r="T1435" t="str">
        <f t="shared" si="45"/>
        <v>02-Feb-2009</v>
      </c>
    </row>
    <row r="1436" spans="1:20" x14ac:dyDescent="0.3">
      <c r="A1436">
        <v>25601</v>
      </c>
      <c r="B1436" s="1">
        <v>39818</v>
      </c>
      <c r="C1436" t="s">
        <v>38</v>
      </c>
      <c r="D1436" t="str">
        <f t="shared" si="44"/>
        <v>05-Jan-2009</v>
      </c>
      <c r="E1436">
        <v>43</v>
      </c>
      <c r="F1436" s="13">
        <v>257.41000000000003</v>
      </c>
      <c r="G1436">
        <v>0.09</v>
      </c>
      <c r="H1436" t="s">
        <v>19</v>
      </c>
      <c r="I1436" s="13">
        <v>-131.08000000000001</v>
      </c>
      <c r="J1436">
        <v>5.98</v>
      </c>
      <c r="K1436">
        <v>4.6900000000000004</v>
      </c>
      <c r="L1436" t="s">
        <v>323</v>
      </c>
      <c r="M1436" t="s">
        <v>101</v>
      </c>
      <c r="N1436" s="5" t="s">
        <v>102</v>
      </c>
      <c r="O1436" t="s">
        <v>28</v>
      </c>
      <c r="P1436" t="s">
        <v>21</v>
      </c>
      <c r="Q1436" t="s">
        <v>22</v>
      </c>
      <c r="R1436">
        <v>0.68</v>
      </c>
      <c r="S1436" s="1">
        <v>39819</v>
      </c>
      <c r="T1436" t="str">
        <f t="shared" si="45"/>
        <v>06-Jan-2009</v>
      </c>
    </row>
    <row r="1437" spans="1:20" x14ac:dyDescent="0.3">
      <c r="A1437">
        <v>7878</v>
      </c>
      <c r="B1437" s="1">
        <v>40664</v>
      </c>
      <c r="C1437" t="s">
        <v>18</v>
      </c>
      <c r="D1437" t="str">
        <f t="shared" si="44"/>
        <v>01-May-2011</v>
      </c>
      <c r="E1437">
        <v>42</v>
      </c>
      <c r="F1437" s="13">
        <v>256.64</v>
      </c>
      <c r="G1437">
        <v>0.03</v>
      </c>
      <c r="H1437" t="s">
        <v>19</v>
      </c>
      <c r="I1437" s="13">
        <v>-28.29</v>
      </c>
      <c r="J1437">
        <v>5.81</v>
      </c>
      <c r="K1437">
        <v>3.37</v>
      </c>
      <c r="L1437" t="s">
        <v>153</v>
      </c>
      <c r="M1437" t="s">
        <v>101</v>
      </c>
      <c r="N1437" s="5" t="s">
        <v>102</v>
      </c>
      <c r="O1437" t="s">
        <v>28</v>
      </c>
      <c r="P1437" t="s">
        <v>21</v>
      </c>
      <c r="Q1437" t="s">
        <v>39</v>
      </c>
      <c r="R1437">
        <v>0.54</v>
      </c>
      <c r="S1437" s="1">
        <v>40671</v>
      </c>
      <c r="T1437" t="str">
        <f t="shared" si="45"/>
        <v>08-May-2011</v>
      </c>
    </row>
    <row r="1438" spans="1:20" x14ac:dyDescent="0.3">
      <c r="A1438">
        <v>48931</v>
      </c>
      <c r="B1438" s="1">
        <v>39981</v>
      </c>
      <c r="C1438" t="s">
        <v>18</v>
      </c>
      <c r="D1438" t="str">
        <f t="shared" si="44"/>
        <v>17-Jun-2009</v>
      </c>
      <c r="E1438">
        <v>8</v>
      </c>
      <c r="F1438" s="13">
        <v>254.32</v>
      </c>
      <c r="G1438">
        <v>0.01</v>
      </c>
      <c r="H1438" t="s">
        <v>19</v>
      </c>
      <c r="I1438" s="13">
        <v>-117.39</v>
      </c>
      <c r="J1438">
        <v>30.98</v>
      </c>
      <c r="K1438">
        <v>6.5</v>
      </c>
      <c r="L1438" t="s">
        <v>148</v>
      </c>
      <c r="M1438" t="s">
        <v>101</v>
      </c>
      <c r="N1438" s="5" t="s">
        <v>102</v>
      </c>
      <c r="O1438" t="s">
        <v>28</v>
      </c>
      <c r="P1438" t="s">
        <v>29</v>
      </c>
      <c r="Q1438" t="s">
        <v>41</v>
      </c>
      <c r="R1438">
        <v>0.79</v>
      </c>
      <c r="S1438" s="1">
        <v>39983</v>
      </c>
      <c r="T1438" t="str">
        <f t="shared" si="45"/>
        <v>19-Jun-2009</v>
      </c>
    </row>
    <row r="1439" spans="1:20" x14ac:dyDescent="0.3">
      <c r="A1439">
        <v>20069</v>
      </c>
      <c r="B1439" s="1">
        <v>40082</v>
      </c>
      <c r="C1439" t="s">
        <v>43</v>
      </c>
      <c r="D1439" t="str">
        <f t="shared" si="44"/>
        <v>26-Sep-2009</v>
      </c>
      <c r="E1439">
        <v>6</v>
      </c>
      <c r="F1439" s="13">
        <v>247.15</v>
      </c>
      <c r="G1439">
        <v>7.0000000000000007E-2</v>
      </c>
      <c r="H1439" t="s">
        <v>19</v>
      </c>
      <c r="I1439" s="13">
        <v>-88.35</v>
      </c>
      <c r="J1439">
        <v>40.89</v>
      </c>
      <c r="K1439">
        <v>18.98</v>
      </c>
      <c r="L1439" t="s">
        <v>54</v>
      </c>
      <c r="M1439" t="s">
        <v>101</v>
      </c>
      <c r="N1439" s="5" t="s">
        <v>102</v>
      </c>
      <c r="O1439" t="s">
        <v>28</v>
      </c>
      <c r="P1439" t="s">
        <v>32</v>
      </c>
      <c r="Q1439" t="s">
        <v>33</v>
      </c>
      <c r="R1439">
        <v>0.56999999999999995</v>
      </c>
      <c r="S1439" s="1">
        <v>40084</v>
      </c>
      <c r="T1439" t="str">
        <f t="shared" si="45"/>
        <v>28-Sep-2009</v>
      </c>
    </row>
    <row r="1440" spans="1:20" x14ac:dyDescent="0.3">
      <c r="A1440">
        <v>51558</v>
      </c>
      <c r="B1440" s="1">
        <v>40266</v>
      </c>
      <c r="C1440" t="s">
        <v>31</v>
      </c>
      <c r="D1440" t="str">
        <f t="shared" si="44"/>
        <v>29-Mar-2010</v>
      </c>
      <c r="E1440">
        <v>34</v>
      </c>
      <c r="F1440" s="13">
        <v>245.4</v>
      </c>
      <c r="G1440">
        <v>0</v>
      </c>
      <c r="H1440" t="s">
        <v>19</v>
      </c>
      <c r="I1440" s="13">
        <v>-87.27</v>
      </c>
      <c r="J1440">
        <v>6.68</v>
      </c>
      <c r="K1440">
        <v>6.92</v>
      </c>
      <c r="L1440" t="s">
        <v>93</v>
      </c>
      <c r="M1440" t="s">
        <v>101</v>
      </c>
      <c r="N1440" s="5" t="s">
        <v>102</v>
      </c>
      <c r="O1440" t="s">
        <v>28</v>
      </c>
      <c r="P1440" t="s">
        <v>21</v>
      </c>
      <c r="Q1440" t="s">
        <v>37</v>
      </c>
      <c r="R1440">
        <v>0.37</v>
      </c>
      <c r="S1440" s="1">
        <v>40266</v>
      </c>
      <c r="T1440" t="str">
        <f t="shared" si="45"/>
        <v>29-Mar-2010</v>
      </c>
    </row>
    <row r="1441" spans="1:20" x14ac:dyDescent="0.3">
      <c r="A1441">
        <v>46721</v>
      </c>
      <c r="B1441" s="1">
        <v>40069</v>
      </c>
      <c r="C1441" t="s">
        <v>38</v>
      </c>
      <c r="D1441" t="str">
        <f t="shared" si="44"/>
        <v>13-Sep-2009</v>
      </c>
      <c r="E1441">
        <v>35</v>
      </c>
      <c r="F1441" s="13">
        <v>240.61</v>
      </c>
      <c r="G1441">
        <v>0.05</v>
      </c>
      <c r="H1441" t="s">
        <v>19</v>
      </c>
      <c r="I1441" s="13">
        <v>-133.12</v>
      </c>
      <c r="J1441">
        <v>6.48</v>
      </c>
      <c r="K1441">
        <v>7.91</v>
      </c>
      <c r="L1441" t="s">
        <v>330</v>
      </c>
      <c r="M1441" t="s">
        <v>101</v>
      </c>
      <c r="N1441" s="5" t="s">
        <v>102</v>
      </c>
      <c r="O1441" t="s">
        <v>28</v>
      </c>
      <c r="P1441" t="s">
        <v>21</v>
      </c>
      <c r="Q1441" t="s">
        <v>37</v>
      </c>
      <c r="R1441">
        <v>0.37</v>
      </c>
      <c r="S1441" s="1">
        <v>40070</v>
      </c>
      <c r="T1441" t="str">
        <f t="shared" si="45"/>
        <v>14-Sep-2009</v>
      </c>
    </row>
    <row r="1442" spans="1:20" x14ac:dyDescent="0.3">
      <c r="A1442">
        <v>51333</v>
      </c>
      <c r="B1442" s="1">
        <v>41186</v>
      </c>
      <c r="C1442" t="s">
        <v>31</v>
      </c>
      <c r="D1442" t="str">
        <f t="shared" si="44"/>
        <v>04-Oct-2012</v>
      </c>
      <c r="E1442">
        <v>25</v>
      </c>
      <c r="F1442" s="13">
        <v>237.36</v>
      </c>
      <c r="G1442">
        <v>7.0000000000000007E-2</v>
      </c>
      <c r="H1442" t="s">
        <v>19</v>
      </c>
      <c r="I1442" s="13">
        <v>-117.86</v>
      </c>
      <c r="J1442">
        <v>9.06</v>
      </c>
      <c r="K1442">
        <v>9.86</v>
      </c>
      <c r="L1442" t="s">
        <v>139</v>
      </c>
      <c r="M1442" t="s">
        <v>101</v>
      </c>
      <c r="N1442" s="5" t="s">
        <v>102</v>
      </c>
      <c r="O1442" t="s">
        <v>28</v>
      </c>
      <c r="P1442" t="s">
        <v>21</v>
      </c>
      <c r="Q1442" t="s">
        <v>37</v>
      </c>
      <c r="R1442">
        <v>0.4</v>
      </c>
      <c r="S1442" s="1">
        <v>41188</v>
      </c>
      <c r="T1442" t="str">
        <f t="shared" si="45"/>
        <v>06-Oct-2012</v>
      </c>
    </row>
    <row r="1443" spans="1:20" x14ac:dyDescent="0.3">
      <c r="A1443">
        <v>10659</v>
      </c>
      <c r="B1443" s="1">
        <v>39947</v>
      </c>
      <c r="C1443" t="s">
        <v>43</v>
      </c>
      <c r="D1443" t="str">
        <f t="shared" si="44"/>
        <v>14-May-2009</v>
      </c>
      <c r="E1443">
        <v>40</v>
      </c>
      <c r="F1443" s="13">
        <v>227.37</v>
      </c>
      <c r="G1443">
        <v>0</v>
      </c>
      <c r="H1443" t="s">
        <v>19</v>
      </c>
      <c r="I1443" s="13">
        <v>-92.07</v>
      </c>
      <c r="J1443">
        <v>5.28</v>
      </c>
      <c r="K1443">
        <v>5.61</v>
      </c>
      <c r="L1443" t="s">
        <v>313</v>
      </c>
      <c r="M1443" t="s">
        <v>101</v>
      </c>
      <c r="N1443" s="5" t="s">
        <v>102</v>
      </c>
      <c r="O1443" t="s">
        <v>28</v>
      </c>
      <c r="P1443" t="s">
        <v>21</v>
      </c>
      <c r="Q1443" t="s">
        <v>37</v>
      </c>
      <c r="R1443">
        <v>0.4</v>
      </c>
      <c r="S1443" s="1">
        <v>39947</v>
      </c>
      <c r="T1443" t="str">
        <f t="shared" si="45"/>
        <v>14-May-2009</v>
      </c>
    </row>
    <row r="1444" spans="1:20" x14ac:dyDescent="0.3">
      <c r="A1444">
        <v>8551</v>
      </c>
      <c r="B1444" s="1">
        <v>40023</v>
      </c>
      <c r="C1444" t="s">
        <v>43</v>
      </c>
      <c r="D1444" t="str">
        <f t="shared" si="44"/>
        <v>29-Jul-2009</v>
      </c>
      <c r="E1444">
        <v>34</v>
      </c>
      <c r="F1444" s="13">
        <v>225.98</v>
      </c>
      <c r="G1444">
        <v>0.01</v>
      </c>
      <c r="H1444" t="s">
        <v>19</v>
      </c>
      <c r="I1444" s="13">
        <v>-135.74</v>
      </c>
      <c r="J1444">
        <v>6.48</v>
      </c>
      <c r="K1444">
        <v>7.86</v>
      </c>
      <c r="L1444" t="s">
        <v>153</v>
      </c>
      <c r="M1444" t="s">
        <v>101</v>
      </c>
      <c r="N1444" s="5" t="s">
        <v>102</v>
      </c>
      <c r="O1444" t="s">
        <v>28</v>
      </c>
      <c r="P1444" t="s">
        <v>21</v>
      </c>
      <c r="Q1444" t="s">
        <v>37</v>
      </c>
      <c r="R1444">
        <v>0.37</v>
      </c>
      <c r="S1444" s="1">
        <v>40025</v>
      </c>
      <c r="T1444" t="str">
        <f t="shared" si="45"/>
        <v>31-Jul-2009</v>
      </c>
    </row>
    <row r="1445" spans="1:20" x14ac:dyDescent="0.3">
      <c r="A1445">
        <v>54501</v>
      </c>
      <c r="B1445" s="1">
        <v>41242</v>
      </c>
      <c r="C1445" t="s">
        <v>43</v>
      </c>
      <c r="D1445" t="str">
        <f t="shared" si="44"/>
        <v>29-Nov-2012</v>
      </c>
      <c r="E1445">
        <v>16</v>
      </c>
      <c r="F1445" s="13">
        <v>225.46</v>
      </c>
      <c r="G1445">
        <v>0.09</v>
      </c>
      <c r="H1445" t="s">
        <v>19</v>
      </c>
      <c r="I1445" s="13">
        <v>-33.03</v>
      </c>
      <c r="J1445">
        <v>13.99</v>
      </c>
      <c r="K1445">
        <v>7.51</v>
      </c>
      <c r="L1445" t="s">
        <v>87</v>
      </c>
      <c r="M1445" t="s">
        <v>101</v>
      </c>
      <c r="N1445" s="5" t="s">
        <v>102</v>
      </c>
      <c r="O1445" t="s">
        <v>28</v>
      </c>
      <c r="P1445" t="s">
        <v>29</v>
      </c>
      <c r="Q1445" t="s">
        <v>74</v>
      </c>
      <c r="R1445">
        <v>0.39</v>
      </c>
      <c r="S1445" s="1">
        <v>41244</v>
      </c>
      <c r="T1445" t="str">
        <f t="shared" si="45"/>
        <v>01-Dec-2012</v>
      </c>
    </row>
    <row r="1446" spans="1:20" x14ac:dyDescent="0.3">
      <c r="A1446">
        <v>3810</v>
      </c>
      <c r="B1446" s="1">
        <v>41168</v>
      </c>
      <c r="C1446" t="s">
        <v>43</v>
      </c>
      <c r="D1446" t="str">
        <f t="shared" si="44"/>
        <v>16-Sep-2012</v>
      </c>
      <c r="E1446">
        <v>40</v>
      </c>
      <c r="F1446" s="13">
        <v>221.86</v>
      </c>
      <c r="G1446">
        <v>0.09</v>
      </c>
      <c r="H1446" t="s">
        <v>19</v>
      </c>
      <c r="I1446" s="13">
        <v>-1845.66</v>
      </c>
      <c r="J1446">
        <v>4.4800000000000004</v>
      </c>
      <c r="K1446">
        <v>49</v>
      </c>
      <c r="L1446" t="s">
        <v>136</v>
      </c>
      <c r="M1446" t="s">
        <v>101</v>
      </c>
      <c r="N1446" s="5" t="s">
        <v>102</v>
      </c>
      <c r="O1446" t="s">
        <v>28</v>
      </c>
      <c r="P1446" t="s">
        <v>21</v>
      </c>
      <c r="Q1446" t="s">
        <v>25</v>
      </c>
      <c r="R1446">
        <v>0.6</v>
      </c>
      <c r="S1446" s="1">
        <v>41170</v>
      </c>
      <c r="T1446" t="str">
        <f t="shared" si="45"/>
        <v>18-Sep-2012</v>
      </c>
    </row>
    <row r="1447" spans="1:20" x14ac:dyDescent="0.3">
      <c r="A1447">
        <v>31681</v>
      </c>
      <c r="B1447" s="1">
        <v>41220</v>
      </c>
      <c r="C1447" t="s">
        <v>31</v>
      </c>
      <c r="D1447" t="str">
        <f t="shared" si="44"/>
        <v>07-Nov-2012</v>
      </c>
      <c r="E1447">
        <v>38</v>
      </c>
      <c r="F1447" s="13">
        <v>212.12</v>
      </c>
      <c r="G1447">
        <v>0.02</v>
      </c>
      <c r="H1447" t="s">
        <v>19</v>
      </c>
      <c r="I1447" s="13">
        <v>-93.78</v>
      </c>
      <c r="J1447">
        <v>5.28</v>
      </c>
      <c r="K1447">
        <v>5.66</v>
      </c>
      <c r="L1447" t="s">
        <v>321</v>
      </c>
      <c r="M1447" t="s">
        <v>101</v>
      </c>
      <c r="N1447" s="5" t="s">
        <v>102</v>
      </c>
      <c r="O1447" t="s">
        <v>28</v>
      </c>
      <c r="P1447" t="s">
        <v>21</v>
      </c>
      <c r="Q1447" t="s">
        <v>37</v>
      </c>
      <c r="R1447">
        <v>0.4</v>
      </c>
      <c r="S1447" s="1">
        <v>41221</v>
      </c>
      <c r="T1447" t="str">
        <f t="shared" si="45"/>
        <v>08-Nov-2012</v>
      </c>
    </row>
    <row r="1448" spans="1:20" x14ac:dyDescent="0.3">
      <c r="A1448">
        <v>487</v>
      </c>
      <c r="B1448" s="1">
        <v>41138</v>
      </c>
      <c r="C1448" t="s">
        <v>43</v>
      </c>
      <c r="D1448" t="str">
        <f t="shared" si="44"/>
        <v>17-Aug-2012</v>
      </c>
      <c r="E1448">
        <v>19</v>
      </c>
      <c r="F1448" s="13">
        <v>210.4</v>
      </c>
      <c r="G1448">
        <v>7.0000000000000007E-2</v>
      </c>
      <c r="H1448" t="s">
        <v>19</v>
      </c>
      <c r="I1448" s="13">
        <v>-18.96</v>
      </c>
      <c r="J1448">
        <v>10.89</v>
      </c>
      <c r="K1448">
        <v>4.5</v>
      </c>
      <c r="L1448" t="s">
        <v>323</v>
      </c>
      <c r="M1448" t="s">
        <v>101</v>
      </c>
      <c r="N1448" s="5" t="s">
        <v>102</v>
      </c>
      <c r="O1448" t="s">
        <v>28</v>
      </c>
      <c r="P1448" t="s">
        <v>21</v>
      </c>
      <c r="Q1448" t="s">
        <v>25</v>
      </c>
      <c r="R1448">
        <v>0.59</v>
      </c>
      <c r="S1448" s="1">
        <v>41139</v>
      </c>
      <c r="T1448" t="str">
        <f t="shared" si="45"/>
        <v>18-Aug-2012</v>
      </c>
    </row>
    <row r="1449" spans="1:20" x14ac:dyDescent="0.3">
      <c r="A1449">
        <v>22051</v>
      </c>
      <c r="B1449" s="1">
        <v>40907</v>
      </c>
      <c r="C1449" t="s">
        <v>31</v>
      </c>
      <c r="D1449" t="str">
        <f t="shared" si="44"/>
        <v>30-Dec-2011</v>
      </c>
      <c r="E1449">
        <v>39</v>
      </c>
      <c r="F1449" s="13">
        <v>209.33</v>
      </c>
      <c r="G1449">
        <v>0.01</v>
      </c>
      <c r="H1449" t="s">
        <v>19</v>
      </c>
      <c r="I1449" s="13">
        <v>-160.71</v>
      </c>
      <c r="J1449">
        <v>4.9800000000000004</v>
      </c>
      <c r="K1449">
        <v>7.44</v>
      </c>
      <c r="L1449" t="s">
        <v>326</v>
      </c>
      <c r="M1449" t="s">
        <v>101</v>
      </c>
      <c r="N1449" s="5" t="s">
        <v>102</v>
      </c>
      <c r="O1449" t="s">
        <v>28</v>
      </c>
      <c r="P1449" t="s">
        <v>21</v>
      </c>
      <c r="Q1449" t="s">
        <v>37</v>
      </c>
      <c r="R1449">
        <v>0.36</v>
      </c>
      <c r="S1449" s="1">
        <v>40909</v>
      </c>
      <c r="T1449" t="str">
        <f t="shared" si="45"/>
        <v>01-Jan-2012</v>
      </c>
    </row>
    <row r="1450" spans="1:20" x14ac:dyDescent="0.3">
      <c r="A1450">
        <v>57058</v>
      </c>
      <c r="B1450" s="1">
        <v>41038</v>
      </c>
      <c r="C1450" t="s">
        <v>38</v>
      </c>
      <c r="D1450" t="str">
        <f t="shared" si="44"/>
        <v>09-May-2012</v>
      </c>
      <c r="E1450">
        <v>28</v>
      </c>
      <c r="F1450" s="13">
        <v>205.43</v>
      </c>
      <c r="G1450">
        <v>0</v>
      </c>
      <c r="H1450" t="s">
        <v>35</v>
      </c>
      <c r="I1450" s="13">
        <v>-24.3</v>
      </c>
      <c r="J1450">
        <v>6.54</v>
      </c>
      <c r="K1450">
        <v>5.27</v>
      </c>
      <c r="L1450" t="s">
        <v>54</v>
      </c>
      <c r="M1450" t="s">
        <v>101</v>
      </c>
      <c r="N1450" s="5" t="s">
        <v>102</v>
      </c>
      <c r="O1450" t="s">
        <v>28</v>
      </c>
      <c r="P1450" t="s">
        <v>21</v>
      </c>
      <c r="Q1450" t="s">
        <v>26</v>
      </c>
      <c r="R1450">
        <v>0.36</v>
      </c>
      <c r="S1450" s="1">
        <v>41038</v>
      </c>
      <c r="T1450" t="str">
        <f t="shared" si="45"/>
        <v>09-May-2012</v>
      </c>
    </row>
    <row r="1451" spans="1:20" x14ac:dyDescent="0.3">
      <c r="A1451">
        <v>9954</v>
      </c>
      <c r="B1451" s="1">
        <v>39983</v>
      </c>
      <c r="C1451" t="s">
        <v>31</v>
      </c>
      <c r="D1451" t="str">
        <f t="shared" si="44"/>
        <v>19-Jun-2009</v>
      </c>
      <c r="E1451">
        <v>39</v>
      </c>
      <c r="F1451" s="13">
        <v>203.6</v>
      </c>
      <c r="G1451">
        <v>0</v>
      </c>
      <c r="H1451" t="s">
        <v>19</v>
      </c>
      <c r="I1451" s="13">
        <v>-166.44</v>
      </c>
      <c r="J1451">
        <v>4.9800000000000004</v>
      </c>
      <c r="K1451">
        <v>7.44</v>
      </c>
      <c r="L1451" t="s">
        <v>325</v>
      </c>
      <c r="M1451" t="s">
        <v>101</v>
      </c>
      <c r="N1451" s="5" t="s">
        <v>102</v>
      </c>
      <c r="O1451" t="s">
        <v>28</v>
      </c>
      <c r="P1451" t="s">
        <v>21</v>
      </c>
      <c r="Q1451" t="s">
        <v>37</v>
      </c>
      <c r="R1451">
        <v>0.36</v>
      </c>
      <c r="S1451" s="1">
        <v>39985</v>
      </c>
      <c r="T1451" t="str">
        <f t="shared" si="45"/>
        <v>21-Jun-2009</v>
      </c>
    </row>
    <row r="1452" spans="1:20" x14ac:dyDescent="0.3">
      <c r="A1452">
        <v>44422</v>
      </c>
      <c r="B1452" s="1">
        <v>41012</v>
      </c>
      <c r="C1452" t="s">
        <v>38</v>
      </c>
      <c r="D1452" t="str">
        <f t="shared" si="44"/>
        <v>13-Apr-2012</v>
      </c>
      <c r="E1452">
        <v>11</v>
      </c>
      <c r="F1452" s="13">
        <v>201.59450000000001</v>
      </c>
      <c r="G1452">
        <v>0.04</v>
      </c>
      <c r="H1452" t="s">
        <v>19</v>
      </c>
      <c r="I1452" s="13">
        <v>32.31</v>
      </c>
      <c r="J1452">
        <v>20.99</v>
      </c>
      <c r="K1452">
        <v>0.99</v>
      </c>
      <c r="L1452" t="s">
        <v>325</v>
      </c>
      <c r="M1452" t="s">
        <v>101</v>
      </c>
      <c r="N1452" s="5" t="s">
        <v>102</v>
      </c>
      <c r="O1452" t="s">
        <v>28</v>
      </c>
      <c r="P1452" t="s">
        <v>29</v>
      </c>
      <c r="Q1452" t="s">
        <v>30</v>
      </c>
      <c r="R1452">
        <v>0.37</v>
      </c>
      <c r="S1452" s="1">
        <v>41014</v>
      </c>
      <c r="T1452" t="str">
        <f t="shared" si="45"/>
        <v>15-Apr-2012</v>
      </c>
    </row>
    <row r="1453" spans="1:20" x14ac:dyDescent="0.3">
      <c r="A1453">
        <v>5635</v>
      </c>
      <c r="B1453" s="1">
        <v>41136</v>
      </c>
      <c r="C1453" t="s">
        <v>38</v>
      </c>
      <c r="D1453" t="str">
        <f t="shared" si="44"/>
        <v>15-Aug-2012</v>
      </c>
      <c r="E1453">
        <v>17</v>
      </c>
      <c r="F1453" s="13">
        <v>198.78</v>
      </c>
      <c r="G1453">
        <v>0.02</v>
      </c>
      <c r="H1453" t="s">
        <v>19</v>
      </c>
      <c r="I1453" s="13">
        <v>-28.35</v>
      </c>
      <c r="J1453">
        <v>11.5</v>
      </c>
      <c r="K1453">
        <v>7.19</v>
      </c>
      <c r="L1453" t="s">
        <v>330</v>
      </c>
      <c r="M1453" t="s">
        <v>101</v>
      </c>
      <c r="N1453" s="5" t="s">
        <v>102</v>
      </c>
      <c r="O1453" t="s">
        <v>28</v>
      </c>
      <c r="P1453" t="s">
        <v>21</v>
      </c>
      <c r="Q1453" t="s">
        <v>26</v>
      </c>
      <c r="R1453">
        <v>0.4</v>
      </c>
      <c r="S1453" s="1">
        <v>41138</v>
      </c>
      <c r="T1453" t="str">
        <f t="shared" si="45"/>
        <v>17-Aug-2012</v>
      </c>
    </row>
    <row r="1454" spans="1:20" x14ac:dyDescent="0.3">
      <c r="A1454">
        <v>44224</v>
      </c>
      <c r="B1454" s="1">
        <v>40399</v>
      </c>
      <c r="C1454" t="s">
        <v>23</v>
      </c>
      <c r="D1454" t="str">
        <f t="shared" si="44"/>
        <v>09-Aug-2010</v>
      </c>
      <c r="E1454">
        <v>32</v>
      </c>
      <c r="F1454" s="13">
        <v>198.7</v>
      </c>
      <c r="G1454">
        <v>0.1</v>
      </c>
      <c r="H1454" t="s">
        <v>19</v>
      </c>
      <c r="I1454" s="13">
        <v>-62.13</v>
      </c>
      <c r="J1454">
        <v>6.48</v>
      </c>
      <c r="K1454">
        <v>2.74</v>
      </c>
      <c r="L1454" t="s">
        <v>220</v>
      </c>
      <c r="M1454" t="s">
        <v>101</v>
      </c>
      <c r="N1454" s="5" t="s">
        <v>102</v>
      </c>
      <c r="O1454" t="s">
        <v>28</v>
      </c>
      <c r="P1454" t="s">
        <v>29</v>
      </c>
      <c r="Q1454" t="s">
        <v>41</v>
      </c>
      <c r="R1454">
        <v>0.71</v>
      </c>
      <c r="S1454" s="1">
        <v>40400</v>
      </c>
      <c r="T1454" t="str">
        <f t="shared" si="45"/>
        <v>10-Aug-2010</v>
      </c>
    </row>
    <row r="1455" spans="1:20" x14ac:dyDescent="0.3">
      <c r="A1455">
        <v>54115</v>
      </c>
      <c r="B1455" s="1">
        <v>40915</v>
      </c>
      <c r="C1455" t="s">
        <v>18</v>
      </c>
      <c r="D1455" t="str">
        <f t="shared" si="44"/>
        <v>07-Jan-2012</v>
      </c>
      <c r="E1455">
        <v>39</v>
      </c>
      <c r="F1455" s="13">
        <v>197.11</v>
      </c>
      <c r="G1455">
        <v>0.03</v>
      </c>
      <c r="H1455" t="s">
        <v>19</v>
      </c>
      <c r="I1455" s="13">
        <v>-89.42</v>
      </c>
      <c r="J1455">
        <v>4.9800000000000004</v>
      </c>
      <c r="K1455">
        <v>4.95</v>
      </c>
      <c r="L1455" t="s">
        <v>103</v>
      </c>
      <c r="M1455" t="s">
        <v>101</v>
      </c>
      <c r="N1455" s="5" t="s">
        <v>102</v>
      </c>
      <c r="O1455" t="s">
        <v>28</v>
      </c>
      <c r="P1455" t="s">
        <v>21</v>
      </c>
      <c r="Q1455" t="s">
        <v>26</v>
      </c>
      <c r="R1455">
        <v>0.37</v>
      </c>
      <c r="S1455" s="1">
        <v>40920</v>
      </c>
      <c r="T1455" t="str">
        <f t="shared" si="45"/>
        <v>12-Jan-2012</v>
      </c>
    </row>
    <row r="1456" spans="1:20" x14ac:dyDescent="0.3">
      <c r="A1456">
        <v>27460</v>
      </c>
      <c r="B1456" s="1">
        <v>39945</v>
      </c>
      <c r="C1456" t="s">
        <v>31</v>
      </c>
      <c r="D1456" t="str">
        <f t="shared" si="44"/>
        <v>12-May-2009</v>
      </c>
      <c r="E1456">
        <v>31</v>
      </c>
      <c r="F1456" s="13">
        <v>196.58</v>
      </c>
      <c r="G1456">
        <v>0.04</v>
      </c>
      <c r="H1456" t="s">
        <v>19</v>
      </c>
      <c r="I1456" s="13">
        <v>-102.16</v>
      </c>
      <c r="J1456">
        <v>5.98</v>
      </c>
      <c r="K1456">
        <v>4.38</v>
      </c>
      <c r="L1456" t="s">
        <v>333</v>
      </c>
      <c r="M1456" t="s">
        <v>101</v>
      </c>
      <c r="N1456" s="5" t="s">
        <v>102</v>
      </c>
      <c r="O1456" t="s">
        <v>28</v>
      </c>
      <c r="P1456" t="s">
        <v>29</v>
      </c>
      <c r="Q1456" t="s">
        <v>41</v>
      </c>
      <c r="R1456">
        <v>0.75</v>
      </c>
      <c r="S1456" s="1">
        <v>39947</v>
      </c>
      <c r="T1456" t="str">
        <f t="shared" si="45"/>
        <v>14-May-2009</v>
      </c>
    </row>
    <row r="1457" spans="1:20" x14ac:dyDescent="0.3">
      <c r="A1457">
        <v>51365</v>
      </c>
      <c r="B1457" s="1">
        <v>41128</v>
      </c>
      <c r="C1457" t="s">
        <v>23</v>
      </c>
      <c r="D1457" t="str">
        <f t="shared" si="44"/>
        <v>07-Aug-2012</v>
      </c>
      <c r="E1457">
        <v>35</v>
      </c>
      <c r="F1457" s="13">
        <v>195.23</v>
      </c>
      <c r="G1457">
        <v>0.08</v>
      </c>
      <c r="H1457" t="s">
        <v>19</v>
      </c>
      <c r="I1457" s="13">
        <v>-72.459999999999994</v>
      </c>
      <c r="J1457">
        <v>5.89</v>
      </c>
      <c r="K1457">
        <v>5.57</v>
      </c>
      <c r="L1457" t="s">
        <v>139</v>
      </c>
      <c r="M1457" t="s">
        <v>101</v>
      </c>
      <c r="N1457" s="5" t="s">
        <v>102</v>
      </c>
      <c r="O1457" t="s">
        <v>28</v>
      </c>
      <c r="P1457" t="s">
        <v>32</v>
      </c>
      <c r="Q1457" t="s">
        <v>33</v>
      </c>
      <c r="R1457">
        <v>0.41</v>
      </c>
      <c r="S1457" s="1">
        <v>41130</v>
      </c>
      <c r="T1457" t="str">
        <f t="shared" si="45"/>
        <v>09-Aug-2012</v>
      </c>
    </row>
    <row r="1458" spans="1:20" x14ac:dyDescent="0.3">
      <c r="A1458">
        <v>30497</v>
      </c>
      <c r="B1458" s="1">
        <v>40580</v>
      </c>
      <c r="C1458" t="s">
        <v>43</v>
      </c>
      <c r="D1458" t="str">
        <f t="shared" si="44"/>
        <v>06-Feb-2011</v>
      </c>
      <c r="E1458">
        <v>31</v>
      </c>
      <c r="F1458" s="13">
        <v>190.06</v>
      </c>
      <c r="G1458">
        <v>0.06</v>
      </c>
      <c r="H1458" t="s">
        <v>19</v>
      </c>
      <c r="I1458" s="13">
        <v>-61.9</v>
      </c>
      <c r="J1458">
        <v>5.98</v>
      </c>
      <c r="K1458">
        <v>5.35</v>
      </c>
      <c r="L1458" t="s">
        <v>321</v>
      </c>
      <c r="M1458" t="s">
        <v>101</v>
      </c>
      <c r="N1458" s="5" t="s">
        <v>102</v>
      </c>
      <c r="O1458" t="s">
        <v>28</v>
      </c>
      <c r="P1458" t="s">
        <v>21</v>
      </c>
      <c r="Q1458" t="s">
        <v>37</v>
      </c>
      <c r="R1458">
        <v>0.4</v>
      </c>
      <c r="S1458" s="1">
        <v>40582</v>
      </c>
      <c r="T1458" t="str">
        <f t="shared" si="45"/>
        <v>08-Feb-2011</v>
      </c>
    </row>
    <row r="1459" spans="1:20" x14ac:dyDescent="0.3">
      <c r="A1459">
        <v>15872</v>
      </c>
      <c r="B1459" s="1">
        <v>41212</v>
      </c>
      <c r="C1459" t="s">
        <v>31</v>
      </c>
      <c r="D1459" t="str">
        <f t="shared" si="44"/>
        <v>30-Oct-2012</v>
      </c>
      <c r="E1459">
        <v>23</v>
      </c>
      <c r="F1459" s="13">
        <v>188.53</v>
      </c>
      <c r="G1459">
        <v>0</v>
      </c>
      <c r="H1459" t="s">
        <v>19</v>
      </c>
      <c r="I1459" s="13">
        <v>-27.49</v>
      </c>
      <c r="J1459">
        <v>7.35</v>
      </c>
      <c r="K1459">
        <v>5.96</v>
      </c>
      <c r="L1459" t="s">
        <v>155</v>
      </c>
      <c r="M1459" t="s">
        <v>101</v>
      </c>
      <c r="N1459" s="5" t="s">
        <v>102</v>
      </c>
      <c r="O1459" t="s">
        <v>28</v>
      </c>
      <c r="P1459" t="s">
        <v>21</v>
      </c>
      <c r="Q1459" t="s">
        <v>37</v>
      </c>
      <c r="R1459">
        <v>0.38</v>
      </c>
      <c r="S1459" s="1">
        <v>41214</v>
      </c>
      <c r="T1459" t="str">
        <f t="shared" si="45"/>
        <v>01-Nov-2012</v>
      </c>
    </row>
    <row r="1460" spans="1:20" x14ac:dyDescent="0.3">
      <c r="A1460">
        <v>4037</v>
      </c>
      <c r="B1460" s="1">
        <v>40260</v>
      </c>
      <c r="C1460" t="s">
        <v>23</v>
      </c>
      <c r="D1460" t="str">
        <f t="shared" si="44"/>
        <v>23-Mar-2010</v>
      </c>
      <c r="E1460">
        <v>27</v>
      </c>
      <c r="F1460" s="13">
        <v>188.07</v>
      </c>
      <c r="G1460">
        <v>0</v>
      </c>
      <c r="H1460" t="s">
        <v>19</v>
      </c>
      <c r="I1460" s="13">
        <v>-101.85</v>
      </c>
      <c r="J1460">
        <v>6.48</v>
      </c>
      <c r="K1460">
        <v>7.86</v>
      </c>
      <c r="L1460" t="s">
        <v>156</v>
      </c>
      <c r="M1460" t="s">
        <v>101</v>
      </c>
      <c r="N1460" s="5" t="s">
        <v>102</v>
      </c>
      <c r="O1460" t="s">
        <v>28</v>
      </c>
      <c r="P1460" t="s">
        <v>21</v>
      </c>
      <c r="Q1460" t="s">
        <v>37</v>
      </c>
      <c r="R1460">
        <v>0.37</v>
      </c>
      <c r="S1460" s="1">
        <v>40261</v>
      </c>
      <c r="T1460" t="str">
        <f t="shared" si="45"/>
        <v>24-Mar-2010</v>
      </c>
    </row>
    <row r="1461" spans="1:20" x14ac:dyDescent="0.3">
      <c r="A1461">
        <v>8551</v>
      </c>
      <c r="B1461" s="1">
        <v>40023</v>
      </c>
      <c r="C1461" t="s">
        <v>43</v>
      </c>
      <c r="D1461" t="str">
        <f t="shared" si="44"/>
        <v>29-Jul-2009</v>
      </c>
      <c r="E1461">
        <v>25</v>
      </c>
      <c r="F1461" s="13">
        <v>185.64</v>
      </c>
      <c r="G1461">
        <v>0.1</v>
      </c>
      <c r="H1461" t="s">
        <v>19</v>
      </c>
      <c r="I1461" s="13">
        <v>-69.87</v>
      </c>
      <c r="J1461">
        <v>7.45</v>
      </c>
      <c r="K1461">
        <v>6.28</v>
      </c>
      <c r="L1461" t="s">
        <v>153</v>
      </c>
      <c r="M1461" t="s">
        <v>101</v>
      </c>
      <c r="N1461" s="5" t="s">
        <v>102</v>
      </c>
      <c r="O1461" t="s">
        <v>28</v>
      </c>
      <c r="P1461" t="s">
        <v>21</v>
      </c>
      <c r="Q1461" t="s">
        <v>26</v>
      </c>
      <c r="R1461">
        <v>0.4</v>
      </c>
      <c r="S1461" s="1">
        <v>40026</v>
      </c>
      <c r="T1461" t="str">
        <f t="shared" si="45"/>
        <v>01-Aug-2009</v>
      </c>
    </row>
    <row r="1462" spans="1:20" x14ac:dyDescent="0.3">
      <c r="A1462">
        <v>28928</v>
      </c>
      <c r="B1462" s="1">
        <v>40298</v>
      </c>
      <c r="C1462" t="s">
        <v>18</v>
      </c>
      <c r="D1462" t="str">
        <f t="shared" si="44"/>
        <v>30-Apr-2010</v>
      </c>
      <c r="E1462">
        <v>3</v>
      </c>
      <c r="F1462" s="13">
        <v>185.16</v>
      </c>
      <c r="G1462">
        <v>0.02</v>
      </c>
      <c r="H1462" t="s">
        <v>19</v>
      </c>
      <c r="I1462" s="13">
        <v>-49.34</v>
      </c>
      <c r="J1462">
        <v>59.98</v>
      </c>
      <c r="K1462">
        <v>3.99</v>
      </c>
      <c r="L1462" t="s">
        <v>337</v>
      </c>
      <c r="M1462" t="s">
        <v>101</v>
      </c>
      <c r="N1462" s="5" t="s">
        <v>102</v>
      </c>
      <c r="O1462" t="s">
        <v>28</v>
      </c>
      <c r="P1462" t="s">
        <v>21</v>
      </c>
      <c r="Q1462" t="s">
        <v>25</v>
      </c>
      <c r="R1462">
        <v>0.56999999999999995</v>
      </c>
      <c r="S1462" s="1">
        <v>40300</v>
      </c>
      <c r="T1462" t="str">
        <f t="shared" si="45"/>
        <v>02-May-2010</v>
      </c>
    </row>
    <row r="1463" spans="1:20" x14ac:dyDescent="0.3">
      <c r="A1463">
        <v>24577</v>
      </c>
      <c r="B1463" s="1">
        <v>40238</v>
      </c>
      <c r="C1463" t="s">
        <v>38</v>
      </c>
      <c r="D1463" t="str">
        <f t="shared" si="44"/>
        <v>01-Mar-2010</v>
      </c>
      <c r="E1463">
        <v>8</v>
      </c>
      <c r="F1463" s="13">
        <v>180.79</v>
      </c>
      <c r="G1463">
        <v>0.05</v>
      </c>
      <c r="H1463" t="s">
        <v>19</v>
      </c>
      <c r="I1463" s="13">
        <v>20.09</v>
      </c>
      <c r="J1463">
        <v>22.84</v>
      </c>
      <c r="K1463">
        <v>5.47</v>
      </c>
      <c r="L1463" t="s">
        <v>321</v>
      </c>
      <c r="M1463" t="s">
        <v>101</v>
      </c>
      <c r="N1463" s="5" t="s">
        <v>102</v>
      </c>
      <c r="O1463" t="s">
        <v>28</v>
      </c>
      <c r="P1463" t="s">
        <v>21</v>
      </c>
      <c r="Q1463" t="s">
        <v>37</v>
      </c>
      <c r="R1463">
        <v>0.39</v>
      </c>
      <c r="S1463" s="1">
        <v>40239</v>
      </c>
      <c r="T1463" t="str">
        <f t="shared" si="45"/>
        <v>02-Mar-2010</v>
      </c>
    </row>
    <row r="1464" spans="1:20" x14ac:dyDescent="0.3">
      <c r="A1464">
        <v>14855</v>
      </c>
      <c r="B1464" s="1">
        <v>40298</v>
      </c>
      <c r="C1464" t="s">
        <v>31</v>
      </c>
      <c r="D1464" t="str">
        <f t="shared" si="44"/>
        <v>30-Apr-2010</v>
      </c>
      <c r="E1464">
        <v>44</v>
      </c>
      <c r="F1464" s="13">
        <v>174.9</v>
      </c>
      <c r="G1464">
        <v>0.06</v>
      </c>
      <c r="H1464" t="s">
        <v>35</v>
      </c>
      <c r="I1464" s="13">
        <v>-150.9</v>
      </c>
      <c r="J1464">
        <v>3.58</v>
      </c>
      <c r="K1464">
        <v>5.47</v>
      </c>
      <c r="L1464" t="s">
        <v>318</v>
      </c>
      <c r="M1464" t="s">
        <v>101</v>
      </c>
      <c r="N1464" s="5" t="s">
        <v>102</v>
      </c>
      <c r="O1464" t="s">
        <v>28</v>
      </c>
      <c r="P1464" t="s">
        <v>21</v>
      </c>
      <c r="Q1464" t="s">
        <v>26</v>
      </c>
      <c r="R1464">
        <v>0.37</v>
      </c>
      <c r="S1464" s="1">
        <v>40300</v>
      </c>
      <c r="T1464" t="str">
        <f t="shared" si="45"/>
        <v>02-May-2010</v>
      </c>
    </row>
    <row r="1465" spans="1:20" x14ac:dyDescent="0.3">
      <c r="A1465">
        <v>37696</v>
      </c>
      <c r="B1465" s="1">
        <v>40003</v>
      </c>
      <c r="C1465" t="s">
        <v>31</v>
      </c>
      <c r="D1465" t="str">
        <f t="shared" si="44"/>
        <v>09-Jul-2009</v>
      </c>
      <c r="E1465">
        <v>41</v>
      </c>
      <c r="F1465" s="13">
        <v>173.27</v>
      </c>
      <c r="G1465">
        <v>0.02</v>
      </c>
      <c r="H1465" t="s">
        <v>19</v>
      </c>
      <c r="I1465" s="13">
        <v>51.29</v>
      </c>
      <c r="J1465">
        <v>4</v>
      </c>
      <c r="K1465">
        <v>1.3</v>
      </c>
      <c r="L1465" t="s">
        <v>323</v>
      </c>
      <c r="M1465" t="s">
        <v>101</v>
      </c>
      <c r="N1465" s="5" t="s">
        <v>102</v>
      </c>
      <c r="O1465" t="s">
        <v>28</v>
      </c>
      <c r="P1465" t="s">
        <v>21</v>
      </c>
      <c r="Q1465" t="s">
        <v>37</v>
      </c>
      <c r="R1465">
        <v>0.37</v>
      </c>
      <c r="S1465" s="1">
        <v>40003</v>
      </c>
      <c r="T1465" t="str">
        <f t="shared" si="45"/>
        <v>09-Jul-2009</v>
      </c>
    </row>
    <row r="1466" spans="1:20" x14ac:dyDescent="0.3">
      <c r="A1466">
        <v>8993</v>
      </c>
      <c r="B1466" s="1">
        <v>40691</v>
      </c>
      <c r="C1466" t="s">
        <v>38</v>
      </c>
      <c r="D1466" t="str">
        <f t="shared" si="44"/>
        <v>28-May-2011</v>
      </c>
      <c r="E1466">
        <v>41</v>
      </c>
      <c r="F1466" s="13">
        <v>172.15</v>
      </c>
      <c r="G1466">
        <v>0.02</v>
      </c>
      <c r="H1466" t="s">
        <v>35</v>
      </c>
      <c r="I1466" s="13">
        <v>86.78</v>
      </c>
      <c r="J1466">
        <v>3.69</v>
      </c>
      <c r="K1466">
        <v>0.5</v>
      </c>
      <c r="L1466" t="s">
        <v>279</v>
      </c>
      <c r="M1466" t="s">
        <v>101</v>
      </c>
      <c r="N1466" s="5" t="s">
        <v>102</v>
      </c>
      <c r="O1466" t="s">
        <v>28</v>
      </c>
      <c r="P1466" t="s">
        <v>21</v>
      </c>
      <c r="Q1466" t="s">
        <v>48</v>
      </c>
      <c r="R1466">
        <v>0.38</v>
      </c>
      <c r="S1466" s="1">
        <v>40693</v>
      </c>
      <c r="T1466" t="str">
        <f t="shared" si="45"/>
        <v>30-May-2011</v>
      </c>
    </row>
    <row r="1467" spans="1:20" x14ac:dyDescent="0.3">
      <c r="A1467">
        <v>7107</v>
      </c>
      <c r="B1467" s="1">
        <v>40912</v>
      </c>
      <c r="C1467" t="s">
        <v>31</v>
      </c>
      <c r="D1467" t="str">
        <f t="shared" si="44"/>
        <v>04-Jan-2012</v>
      </c>
      <c r="E1467">
        <v>3</v>
      </c>
      <c r="F1467" s="13">
        <v>172.04</v>
      </c>
      <c r="G1467">
        <v>0.02</v>
      </c>
      <c r="H1467" t="s">
        <v>19</v>
      </c>
      <c r="I1467" s="13">
        <v>143.08000000000001</v>
      </c>
      <c r="J1467">
        <v>54.2</v>
      </c>
      <c r="K1467">
        <v>11.1</v>
      </c>
      <c r="L1467" t="s">
        <v>321</v>
      </c>
      <c r="M1467" t="s">
        <v>101</v>
      </c>
      <c r="N1467" s="5" t="s">
        <v>102</v>
      </c>
      <c r="O1467" t="s">
        <v>28</v>
      </c>
      <c r="P1467" t="s">
        <v>32</v>
      </c>
      <c r="Q1467" t="s">
        <v>33</v>
      </c>
      <c r="R1467">
        <v>0.64</v>
      </c>
      <c r="S1467" s="1">
        <v>40912</v>
      </c>
      <c r="T1467" t="str">
        <f t="shared" si="45"/>
        <v>04-Jan-2012</v>
      </c>
    </row>
    <row r="1468" spans="1:20" x14ac:dyDescent="0.3">
      <c r="A1468">
        <v>59684</v>
      </c>
      <c r="B1468" s="1">
        <v>40541</v>
      </c>
      <c r="C1468" t="s">
        <v>38</v>
      </c>
      <c r="D1468" t="str">
        <f t="shared" si="44"/>
        <v>29-Dec-2010</v>
      </c>
      <c r="E1468">
        <v>25</v>
      </c>
      <c r="F1468" s="13">
        <v>168.39</v>
      </c>
      <c r="G1468">
        <v>0.03</v>
      </c>
      <c r="H1468" t="s">
        <v>19</v>
      </c>
      <c r="I1468" s="13">
        <v>-144.88999999999999</v>
      </c>
      <c r="J1468">
        <v>6.48</v>
      </c>
      <c r="K1468">
        <v>9.68</v>
      </c>
      <c r="L1468" t="s">
        <v>324</v>
      </c>
      <c r="M1468" t="s">
        <v>101</v>
      </c>
      <c r="N1468" s="5" t="s">
        <v>102</v>
      </c>
      <c r="O1468" t="s">
        <v>28</v>
      </c>
      <c r="P1468" t="s">
        <v>21</v>
      </c>
      <c r="Q1468" t="s">
        <v>37</v>
      </c>
      <c r="R1468">
        <v>0.36</v>
      </c>
      <c r="S1468" s="1">
        <v>40542</v>
      </c>
      <c r="T1468" t="str">
        <f t="shared" si="45"/>
        <v>30-Dec-2010</v>
      </c>
    </row>
    <row r="1469" spans="1:20" x14ac:dyDescent="0.3">
      <c r="A1469">
        <v>25638</v>
      </c>
      <c r="B1469" s="1">
        <v>40031</v>
      </c>
      <c r="C1469" t="s">
        <v>23</v>
      </c>
      <c r="D1469" t="str">
        <f t="shared" si="44"/>
        <v>06-Aug-2009</v>
      </c>
      <c r="E1469">
        <v>31</v>
      </c>
      <c r="F1469" s="13">
        <v>163.89</v>
      </c>
      <c r="G1469">
        <v>0.02</v>
      </c>
      <c r="H1469" t="s">
        <v>19</v>
      </c>
      <c r="I1469" s="13">
        <v>-108.55</v>
      </c>
      <c r="J1469">
        <v>4.8899999999999997</v>
      </c>
      <c r="K1469">
        <v>4.93</v>
      </c>
      <c r="L1469" t="s">
        <v>160</v>
      </c>
      <c r="M1469" t="s">
        <v>101</v>
      </c>
      <c r="N1469" s="5" t="s">
        <v>102</v>
      </c>
      <c r="O1469" t="s">
        <v>28</v>
      </c>
      <c r="P1469" t="s">
        <v>29</v>
      </c>
      <c r="Q1469" t="s">
        <v>41</v>
      </c>
      <c r="R1469">
        <v>0.66</v>
      </c>
      <c r="S1469" s="1">
        <v>40032</v>
      </c>
      <c r="T1469" t="str">
        <f t="shared" si="45"/>
        <v>07-Aug-2009</v>
      </c>
    </row>
    <row r="1470" spans="1:20" x14ac:dyDescent="0.3">
      <c r="A1470">
        <v>33537</v>
      </c>
      <c r="B1470" s="1">
        <v>40403</v>
      </c>
      <c r="C1470" t="s">
        <v>38</v>
      </c>
      <c r="D1470" t="str">
        <f t="shared" si="44"/>
        <v>13-Aug-2010</v>
      </c>
      <c r="E1470">
        <v>9</v>
      </c>
      <c r="F1470" s="13">
        <v>163.31049999999999</v>
      </c>
      <c r="G1470">
        <v>0.02</v>
      </c>
      <c r="H1470" t="s">
        <v>19</v>
      </c>
      <c r="I1470" s="13">
        <v>-105.09</v>
      </c>
      <c r="J1470">
        <v>20.99</v>
      </c>
      <c r="K1470">
        <v>3.3</v>
      </c>
      <c r="L1470" t="s">
        <v>329</v>
      </c>
      <c r="M1470" t="s">
        <v>101</v>
      </c>
      <c r="N1470" s="5" t="s">
        <v>102</v>
      </c>
      <c r="O1470" t="s">
        <v>28</v>
      </c>
      <c r="P1470" t="s">
        <v>29</v>
      </c>
      <c r="Q1470" t="s">
        <v>30</v>
      </c>
      <c r="R1470">
        <v>0.81</v>
      </c>
      <c r="S1470" s="1">
        <v>40404</v>
      </c>
      <c r="T1470" t="str">
        <f t="shared" si="45"/>
        <v>14-Aug-2010</v>
      </c>
    </row>
    <row r="1471" spans="1:20" x14ac:dyDescent="0.3">
      <c r="A1471">
        <v>710</v>
      </c>
      <c r="B1471" s="1">
        <v>40179</v>
      </c>
      <c r="C1471" t="s">
        <v>18</v>
      </c>
      <c r="D1471" t="str">
        <f t="shared" si="44"/>
        <v>01-Jan-2010</v>
      </c>
      <c r="E1471">
        <v>42</v>
      </c>
      <c r="F1471" s="13">
        <v>161.77000000000001</v>
      </c>
      <c r="G1471">
        <v>0.01</v>
      </c>
      <c r="H1471" t="s">
        <v>19</v>
      </c>
      <c r="I1471" s="13">
        <v>-150.37</v>
      </c>
      <c r="J1471">
        <v>3.58</v>
      </c>
      <c r="K1471">
        <v>5.47</v>
      </c>
      <c r="L1471" t="s">
        <v>324</v>
      </c>
      <c r="M1471" t="s">
        <v>101</v>
      </c>
      <c r="N1471" s="5" t="s">
        <v>102</v>
      </c>
      <c r="O1471" t="s">
        <v>28</v>
      </c>
      <c r="P1471" t="s">
        <v>21</v>
      </c>
      <c r="Q1471" t="s">
        <v>26</v>
      </c>
      <c r="R1471">
        <v>0.37</v>
      </c>
      <c r="S1471" s="1">
        <v>40183</v>
      </c>
      <c r="T1471" t="str">
        <f t="shared" si="45"/>
        <v>05-Jan-2010</v>
      </c>
    </row>
    <row r="1472" spans="1:20" x14ac:dyDescent="0.3">
      <c r="A1472">
        <v>31842</v>
      </c>
      <c r="B1472" s="1">
        <v>40375</v>
      </c>
      <c r="C1472" t="s">
        <v>38</v>
      </c>
      <c r="D1472" t="str">
        <f t="shared" si="44"/>
        <v>16-Jul-2010</v>
      </c>
      <c r="E1472">
        <v>9</v>
      </c>
      <c r="F1472" s="13">
        <v>157.26</v>
      </c>
      <c r="G1472">
        <v>0.06</v>
      </c>
      <c r="H1472" t="s">
        <v>19</v>
      </c>
      <c r="I1472" s="13">
        <v>-18.84</v>
      </c>
      <c r="J1472">
        <v>17.48</v>
      </c>
      <c r="K1472">
        <v>1.99</v>
      </c>
      <c r="L1472" t="s">
        <v>338</v>
      </c>
      <c r="M1472" t="s">
        <v>101</v>
      </c>
      <c r="N1472" s="5" t="s">
        <v>102</v>
      </c>
      <c r="O1472" t="s">
        <v>28</v>
      </c>
      <c r="P1472" t="s">
        <v>29</v>
      </c>
      <c r="Q1472" t="s">
        <v>41</v>
      </c>
      <c r="R1472">
        <v>0.45</v>
      </c>
      <c r="S1472" s="1">
        <v>40376</v>
      </c>
      <c r="T1472" t="str">
        <f t="shared" si="45"/>
        <v>17-Jul-2010</v>
      </c>
    </row>
    <row r="1473" spans="1:20" x14ac:dyDescent="0.3">
      <c r="A1473">
        <v>35813</v>
      </c>
      <c r="B1473" s="1">
        <v>39924</v>
      </c>
      <c r="C1473" t="s">
        <v>43</v>
      </c>
      <c r="D1473" t="str">
        <f t="shared" si="44"/>
        <v>21-Apr-2009</v>
      </c>
      <c r="E1473">
        <v>21</v>
      </c>
      <c r="F1473" s="13">
        <v>156.31</v>
      </c>
      <c r="G1473">
        <v>0.06</v>
      </c>
      <c r="H1473" t="s">
        <v>35</v>
      </c>
      <c r="I1473" s="13">
        <v>-9.81</v>
      </c>
      <c r="J1473">
        <v>7.59</v>
      </c>
      <c r="K1473">
        <v>4</v>
      </c>
      <c r="L1473" t="s">
        <v>335</v>
      </c>
      <c r="M1473" t="s">
        <v>101</v>
      </c>
      <c r="N1473" s="5" t="s">
        <v>102</v>
      </c>
      <c r="O1473" t="s">
        <v>28</v>
      </c>
      <c r="P1473" t="s">
        <v>32</v>
      </c>
      <c r="Q1473" t="s">
        <v>33</v>
      </c>
      <c r="R1473">
        <v>0.42</v>
      </c>
      <c r="S1473" s="1">
        <v>39924</v>
      </c>
      <c r="T1473" t="str">
        <f t="shared" si="45"/>
        <v>21-Apr-2009</v>
      </c>
    </row>
    <row r="1474" spans="1:20" x14ac:dyDescent="0.3">
      <c r="A1474">
        <v>57507</v>
      </c>
      <c r="B1474" s="1">
        <v>39990</v>
      </c>
      <c r="C1474" t="s">
        <v>43</v>
      </c>
      <c r="D1474" t="str">
        <f t="shared" ref="D1474:D1537" si="46">TEXT(B1474, "dd-mmm-yyyy" )</f>
        <v>26-Jun-2009</v>
      </c>
      <c r="E1474">
        <v>10</v>
      </c>
      <c r="F1474" s="13">
        <v>155.44999999999999</v>
      </c>
      <c r="G1474">
        <v>0.03</v>
      </c>
      <c r="H1474" t="s">
        <v>19</v>
      </c>
      <c r="I1474" s="13">
        <v>-19.68</v>
      </c>
      <c r="J1474">
        <v>15.01</v>
      </c>
      <c r="K1474">
        <v>8.4</v>
      </c>
      <c r="L1474" t="s">
        <v>100</v>
      </c>
      <c r="M1474" t="s">
        <v>101</v>
      </c>
      <c r="N1474" s="5" t="s">
        <v>102</v>
      </c>
      <c r="O1474" t="s">
        <v>28</v>
      </c>
      <c r="P1474" t="s">
        <v>21</v>
      </c>
      <c r="Q1474" t="s">
        <v>26</v>
      </c>
      <c r="R1474">
        <v>0.39</v>
      </c>
      <c r="S1474" s="1">
        <v>39993</v>
      </c>
      <c r="T1474" t="str">
        <f t="shared" ref="T1474:T1537" si="47">TEXT(S1474, "dd-mmm-yyyy")</f>
        <v>29-Jun-2009</v>
      </c>
    </row>
    <row r="1475" spans="1:20" x14ac:dyDescent="0.3">
      <c r="A1475">
        <v>45248</v>
      </c>
      <c r="B1475" s="1">
        <v>40649</v>
      </c>
      <c r="C1475" t="s">
        <v>38</v>
      </c>
      <c r="D1475" t="str">
        <f t="shared" si="46"/>
        <v>16-Apr-2011</v>
      </c>
      <c r="E1475">
        <v>38</v>
      </c>
      <c r="F1475" s="13">
        <v>154.85</v>
      </c>
      <c r="G1475">
        <v>0.05</v>
      </c>
      <c r="H1475" t="s">
        <v>19</v>
      </c>
      <c r="I1475" s="13">
        <v>-136.55000000000001</v>
      </c>
      <c r="J1475">
        <v>3.95</v>
      </c>
      <c r="K1475">
        <v>5.13</v>
      </c>
      <c r="L1475" t="s">
        <v>129</v>
      </c>
      <c r="M1475" t="s">
        <v>101</v>
      </c>
      <c r="N1475" s="5" t="s">
        <v>102</v>
      </c>
      <c r="O1475" t="s">
        <v>28</v>
      </c>
      <c r="P1475" t="s">
        <v>21</v>
      </c>
      <c r="Q1475" t="s">
        <v>25</v>
      </c>
      <c r="R1475">
        <v>0.59</v>
      </c>
      <c r="S1475" s="1">
        <v>40651</v>
      </c>
      <c r="T1475" t="str">
        <f t="shared" si="47"/>
        <v>18-Apr-2011</v>
      </c>
    </row>
    <row r="1476" spans="1:20" x14ac:dyDescent="0.3">
      <c r="A1476">
        <v>58086</v>
      </c>
      <c r="B1476" s="1">
        <v>40612</v>
      </c>
      <c r="C1476" t="s">
        <v>38</v>
      </c>
      <c r="D1476" t="str">
        <f t="shared" si="46"/>
        <v>10-Mar-2011</v>
      </c>
      <c r="E1476">
        <v>27</v>
      </c>
      <c r="F1476" s="13">
        <v>154.62</v>
      </c>
      <c r="G1476">
        <v>0.04</v>
      </c>
      <c r="H1476" t="s">
        <v>19</v>
      </c>
      <c r="I1476" s="13">
        <v>-118.6</v>
      </c>
      <c r="J1476">
        <v>5.53</v>
      </c>
      <c r="K1476">
        <v>6.98</v>
      </c>
      <c r="L1476" t="s">
        <v>287</v>
      </c>
      <c r="M1476" t="s">
        <v>101</v>
      </c>
      <c r="N1476" s="5" t="s">
        <v>102</v>
      </c>
      <c r="O1476" t="s">
        <v>28</v>
      </c>
      <c r="P1476" t="s">
        <v>21</v>
      </c>
      <c r="Q1476" t="s">
        <v>26</v>
      </c>
      <c r="R1476">
        <v>0.39</v>
      </c>
      <c r="S1476" s="1">
        <v>40613</v>
      </c>
      <c r="T1476" t="str">
        <f t="shared" si="47"/>
        <v>11-Mar-2011</v>
      </c>
    </row>
    <row r="1477" spans="1:20" x14ac:dyDescent="0.3">
      <c r="A1477">
        <v>33605</v>
      </c>
      <c r="B1477" s="1">
        <v>41002</v>
      </c>
      <c r="C1477" t="s">
        <v>43</v>
      </c>
      <c r="D1477" t="str">
        <f t="shared" si="46"/>
        <v>03-Apr-2012</v>
      </c>
      <c r="E1477">
        <v>42</v>
      </c>
      <c r="F1477" s="13">
        <v>153.01</v>
      </c>
      <c r="G1477">
        <v>0.04</v>
      </c>
      <c r="H1477" t="s">
        <v>19</v>
      </c>
      <c r="I1477" s="13">
        <v>-218.53</v>
      </c>
      <c r="J1477">
        <v>3.52</v>
      </c>
      <c r="K1477">
        <v>6.83</v>
      </c>
      <c r="L1477" t="s">
        <v>318</v>
      </c>
      <c r="M1477" t="s">
        <v>101</v>
      </c>
      <c r="N1477" s="5" t="s">
        <v>102</v>
      </c>
      <c r="O1477" t="s">
        <v>28</v>
      </c>
      <c r="P1477" t="s">
        <v>21</v>
      </c>
      <c r="Q1477" t="s">
        <v>26</v>
      </c>
      <c r="R1477">
        <v>0.38</v>
      </c>
      <c r="S1477" s="1">
        <v>41004</v>
      </c>
      <c r="T1477" t="str">
        <f t="shared" si="47"/>
        <v>05-Apr-2012</v>
      </c>
    </row>
    <row r="1478" spans="1:20" x14ac:dyDescent="0.3">
      <c r="A1478">
        <v>2630</v>
      </c>
      <c r="B1478" s="1">
        <v>41205</v>
      </c>
      <c r="C1478" t="s">
        <v>18</v>
      </c>
      <c r="D1478" t="str">
        <f t="shared" si="46"/>
        <v>23-Oct-2012</v>
      </c>
      <c r="E1478">
        <v>31</v>
      </c>
      <c r="F1478" s="13">
        <v>146.51</v>
      </c>
      <c r="G1478">
        <v>0.04</v>
      </c>
      <c r="H1478" t="s">
        <v>19</v>
      </c>
      <c r="I1478" s="13">
        <v>37.14</v>
      </c>
      <c r="J1478">
        <v>4.7300000000000004</v>
      </c>
      <c r="K1478">
        <v>1.52</v>
      </c>
      <c r="L1478" t="s">
        <v>327</v>
      </c>
      <c r="M1478" t="s">
        <v>101</v>
      </c>
      <c r="N1478" s="5" t="s">
        <v>102</v>
      </c>
      <c r="O1478" t="s">
        <v>28</v>
      </c>
      <c r="P1478" t="s">
        <v>21</v>
      </c>
      <c r="Q1478" t="s">
        <v>37</v>
      </c>
      <c r="R1478">
        <v>0.36</v>
      </c>
      <c r="S1478" s="1">
        <v>41205</v>
      </c>
      <c r="T1478" t="str">
        <f t="shared" si="47"/>
        <v>23-Oct-2012</v>
      </c>
    </row>
    <row r="1479" spans="1:20" x14ac:dyDescent="0.3">
      <c r="A1479">
        <v>46721</v>
      </c>
      <c r="B1479" s="1">
        <v>40069</v>
      </c>
      <c r="C1479" t="s">
        <v>38</v>
      </c>
      <c r="D1479" t="str">
        <f t="shared" si="46"/>
        <v>13-Sep-2009</v>
      </c>
      <c r="E1479">
        <v>17</v>
      </c>
      <c r="F1479" s="13">
        <v>142.94</v>
      </c>
      <c r="G1479">
        <v>0.03</v>
      </c>
      <c r="H1479" t="s">
        <v>19</v>
      </c>
      <c r="I1479" s="13">
        <v>-129.56</v>
      </c>
      <c r="J1479">
        <v>7.38</v>
      </c>
      <c r="K1479">
        <v>11.51</v>
      </c>
      <c r="L1479" t="s">
        <v>330</v>
      </c>
      <c r="M1479" t="s">
        <v>101</v>
      </c>
      <c r="N1479" s="5" t="s">
        <v>102</v>
      </c>
      <c r="O1479" t="s">
        <v>28</v>
      </c>
      <c r="P1479" t="s">
        <v>21</v>
      </c>
      <c r="Q1479" t="s">
        <v>26</v>
      </c>
      <c r="R1479">
        <v>0.36</v>
      </c>
      <c r="S1479" s="1">
        <v>40070</v>
      </c>
      <c r="T1479" t="str">
        <f t="shared" si="47"/>
        <v>14-Sep-2009</v>
      </c>
    </row>
    <row r="1480" spans="1:20" x14ac:dyDescent="0.3">
      <c r="A1480">
        <v>50403</v>
      </c>
      <c r="B1480" s="1">
        <v>41041</v>
      </c>
      <c r="C1480" t="s">
        <v>31</v>
      </c>
      <c r="D1480" t="str">
        <f t="shared" si="46"/>
        <v>12-May-2012</v>
      </c>
      <c r="E1480">
        <v>22</v>
      </c>
      <c r="F1480" s="13">
        <v>142.88</v>
      </c>
      <c r="G1480">
        <v>0.08</v>
      </c>
      <c r="H1480" t="s">
        <v>19</v>
      </c>
      <c r="I1480" s="13">
        <v>35.369999999999997</v>
      </c>
      <c r="J1480">
        <v>6.98</v>
      </c>
      <c r="K1480">
        <v>1.6</v>
      </c>
      <c r="L1480" t="s">
        <v>334</v>
      </c>
      <c r="M1480" t="s">
        <v>101</v>
      </c>
      <c r="N1480" s="5" t="s">
        <v>102</v>
      </c>
      <c r="O1480" t="s">
        <v>28</v>
      </c>
      <c r="P1480" t="s">
        <v>21</v>
      </c>
      <c r="Q1480" t="s">
        <v>37</v>
      </c>
      <c r="R1480">
        <v>0.38</v>
      </c>
      <c r="S1480" s="1">
        <v>41042</v>
      </c>
      <c r="T1480" t="str">
        <f t="shared" si="47"/>
        <v>13-May-2012</v>
      </c>
    </row>
    <row r="1481" spans="1:20" x14ac:dyDescent="0.3">
      <c r="A1481">
        <v>19621</v>
      </c>
      <c r="B1481" s="1">
        <v>40793</v>
      </c>
      <c r="C1481" t="s">
        <v>43</v>
      </c>
      <c r="D1481" t="str">
        <f t="shared" si="46"/>
        <v>07-Sep-2011</v>
      </c>
      <c r="E1481">
        <v>15</v>
      </c>
      <c r="F1481" s="13">
        <v>140.82</v>
      </c>
      <c r="G1481">
        <v>0.08</v>
      </c>
      <c r="H1481" t="s">
        <v>35</v>
      </c>
      <c r="I1481" s="13">
        <v>-43.26</v>
      </c>
      <c r="J1481">
        <v>7.98</v>
      </c>
      <c r="K1481">
        <v>6.5</v>
      </c>
      <c r="L1481" t="s">
        <v>249</v>
      </c>
      <c r="M1481" t="s">
        <v>101</v>
      </c>
      <c r="N1481" s="5" t="s">
        <v>102</v>
      </c>
      <c r="O1481" t="s">
        <v>28</v>
      </c>
      <c r="P1481" t="s">
        <v>21</v>
      </c>
      <c r="Q1481" t="s">
        <v>22</v>
      </c>
      <c r="R1481">
        <v>0.59</v>
      </c>
      <c r="S1481" s="1">
        <v>40794</v>
      </c>
      <c r="T1481" t="str">
        <f t="shared" si="47"/>
        <v>08-Sep-2011</v>
      </c>
    </row>
    <row r="1482" spans="1:20" x14ac:dyDescent="0.3">
      <c r="A1482">
        <v>11270</v>
      </c>
      <c r="B1482" s="1">
        <v>40724</v>
      </c>
      <c r="C1482" t="s">
        <v>23</v>
      </c>
      <c r="D1482" t="str">
        <f t="shared" si="46"/>
        <v>30-Jun-2011</v>
      </c>
      <c r="E1482">
        <v>15</v>
      </c>
      <c r="F1482" s="13">
        <v>140.07</v>
      </c>
      <c r="G1482">
        <v>0.04</v>
      </c>
      <c r="H1482" t="s">
        <v>35</v>
      </c>
      <c r="I1482" s="13">
        <v>-21.85</v>
      </c>
      <c r="J1482">
        <v>8.6</v>
      </c>
      <c r="K1482">
        <v>6.19</v>
      </c>
      <c r="L1482" t="s">
        <v>136</v>
      </c>
      <c r="M1482" t="s">
        <v>101</v>
      </c>
      <c r="N1482" s="5" t="s">
        <v>102</v>
      </c>
      <c r="O1482" t="s">
        <v>28</v>
      </c>
      <c r="P1482" t="s">
        <v>21</v>
      </c>
      <c r="Q1482" t="s">
        <v>26</v>
      </c>
      <c r="R1482">
        <v>0.38</v>
      </c>
      <c r="S1482" s="1">
        <v>40725</v>
      </c>
      <c r="T1482" t="str">
        <f t="shared" si="47"/>
        <v>01-Jul-2011</v>
      </c>
    </row>
    <row r="1483" spans="1:20" x14ac:dyDescent="0.3">
      <c r="A1483">
        <v>52868</v>
      </c>
      <c r="B1483" s="1">
        <v>40590</v>
      </c>
      <c r="C1483" t="s">
        <v>18</v>
      </c>
      <c r="D1483" t="str">
        <f t="shared" si="46"/>
        <v>16-Feb-2011</v>
      </c>
      <c r="E1483">
        <v>19</v>
      </c>
      <c r="F1483" s="13">
        <v>138.05000000000001</v>
      </c>
      <c r="G1483">
        <v>0.09</v>
      </c>
      <c r="H1483" t="s">
        <v>19</v>
      </c>
      <c r="I1483" s="13">
        <v>-100.49</v>
      </c>
      <c r="J1483">
        <v>7.37</v>
      </c>
      <c r="K1483">
        <v>5.53</v>
      </c>
      <c r="L1483" t="s">
        <v>146</v>
      </c>
      <c r="M1483" t="s">
        <v>101</v>
      </c>
      <c r="N1483" s="5" t="s">
        <v>102</v>
      </c>
      <c r="O1483" t="s">
        <v>28</v>
      </c>
      <c r="P1483" t="s">
        <v>29</v>
      </c>
      <c r="Q1483" t="s">
        <v>41</v>
      </c>
      <c r="R1483">
        <v>0.69</v>
      </c>
      <c r="S1483" s="1">
        <v>40592</v>
      </c>
      <c r="T1483" t="str">
        <f t="shared" si="47"/>
        <v>18-Feb-2011</v>
      </c>
    </row>
    <row r="1484" spans="1:20" x14ac:dyDescent="0.3">
      <c r="A1484">
        <v>58117</v>
      </c>
      <c r="B1484" s="1">
        <v>40594</v>
      </c>
      <c r="C1484" t="s">
        <v>43</v>
      </c>
      <c r="D1484" t="str">
        <f t="shared" si="46"/>
        <v>20-Feb-2011</v>
      </c>
      <c r="E1484">
        <v>42</v>
      </c>
      <c r="F1484" s="13">
        <v>134.86000000000001</v>
      </c>
      <c r="G1484">
        <v>0.04</v>
      </c>
      <c r="H1484" t="s">
        <v>19</v>
      </c>
      <c r="I1484" s="13">
        <v>-62.84</v>
      </c>
      <c r="J1484">
        <v>3.14</v>
      </c>
      <c r="K1484">
        <v>1.92</v>
      </c>
      <c r="L1484" t="s">
        <v>88</v>
      </c>
      <c r="M1484" t="s">
        <v>101</v>
      </c>
      <c r="N1484" s="5" t="s">
        <v>102</v>
      </c>
      <c r="O1484" t="s">
        <v>28</v>
      </c>
      <c r="P1484" t="s">
        <v>21</v>
      </c>
      <c r="Q1484" t="s">
        <v>67</v>
      </c>
      <c r="R1484">
        <v>0.84</v>
      </c>
      <c r="S1484" s="1">
        <v>40595</v>
      </c>
      <c r="T1484" t="str">
        <f t="shared" si="47"/>
        <v>21-Feb-2011</v>
      </c>
    </row>
    <row r="1485" spans="1:20" x14ac:dyDescent="0.3">
      <c r="A1485">
        <v>52225</v>
      </c>
      <c r="B1485" s="1">
        <v>41011</v>
      </c>
      <c r="C1485" t="s">
        <v>43</v>
      </c>
      <c r="D1485" t="str">
        <f t="shared" si="46"/>
        <v>12-Apr-2012</v>
      </c>
      <c r="E1485">
        <v>10</v>
      </c>
      <c r="F1485" s="13">
        <v>131.09</v>
      </c>
      <c r="G1485">
        <v>0.01</v>
      </c>
      <c r="H1485" t="s">
        <v>19</v>
      </c>
      <c r="I1485" s="13">
        <v>10.94</v>
      </c>
      <c r="J1485">
        <v>12.22</v>
      </c>
      <c r="K1485">
        <v>2.85</v>
      </c>
      <c r="L1485" t="s">
        <v>149</v>
      </c>
      <c r="M1485" t="s">
        <v>101</v>
      </c>
      <c r="N1485" s="5" t="s">
        <v>102</v>
      </c>
      <c r="O1485" t="s">
        <v>28</v>
      </c>
      <c r="P1485" t="s">
        <v>32</v>
      </c>
      <c r="Q1485" t="s">
        <v>33</v>
      </c>
      <c r="R1485">
        <v>0.55000000000000004</v>
      </c>
      <c r="S1485" s="1">
        <v>41012</v>
      </c>
      <c r="T1485" t="str">
        <f t="shared" si="47"/>
        <v>13-Apr-2012</v>
      </c>
    </row>
    <row r="1486" spans="1:20" x14ac:dyDescent="0.3">
      <c r="A1486">
        <v>12867</v>
      </c>
      <c r="B1486" s="1">
        <v>40613</v>
      </c>
      <c r="C1486" t="s">
        <v>31</v>
      </c>
      <c r="D1486" t="str">
        <f t="shared" si="46"/>
        <v>11-Mar-2011</v>
      </c>
      <c r="E1486">
        <v>6</v>
      </c>
      <c r="F1486" s="13">
        <v>127.49</v>
      </c>
      <c r="G1486">
        <v>0.08</v>
      </c>
      <c r="H1486" t="s">
        <v>35</v>
      </c>
      <c r="I1486" s="13">
        <v>-57.95</v>
      </c>
      <c r="J1486">
        <v>19.98</v>
      </c>
      <c r="K1486">
        <v>4</v>
      </c>
      <c r="L1486" t="s">
        <v>325</v>
      </c>
      <c r="M1486" t="s">
        <v>101</v>
      </c>
      <c r="N1486" s="5" t="s">
        <v>102</v>
      </c>
      <c r="O1486" t="s">
        <v>28</v>
      </c>
      <c r="P1486" t="s">
        <v>29</v>
      </c>
      <c r="Q1486" t="s">
        <v>41</v>
      </c>
      <c r="R1486">
        <v>0.68</v>
      </c>
      <c r="S1486" s="1">
        <v>40613</v>
      </c>
      <c r="T1486" t="str">
        <f t="shared" si="47"/>
        <v>11-Mar-2011</v>
      </c>
    </row>
    <row r="1487" spans="1:20" x14ac:dyDescent="0.3">
      <c r="A1487">
        <v>4774</v>
      </c>
      <c r="B1487" s="1">
        <v>40287</v>
      </c>
      <c r="C1487" t="s">
        <v>38</v>
      </c>
      <c r="D1487" t="str">
        <f t="shared" si="46"/>
        <v>19-Apr-2010</v>
      </c>
      <c r="E1487">
        <v>4</v>
      </c>
      <c r="F1487" s="13">
        <v>126.87</v>
      </c>
      <c r="G1487">
        <v>0.08</v>
      </c>
      <c r="H1487" t="s">
        <v>19</v>
      </c>
      <c r="I1487" s="13">
        <v>-125.99</v>
      </c>
      <c r="J1487">
        <v>32.979999999999997</v>
      </c>
      <c r="K1487">
        <v>5.5</v>
      </c>
      <c r="L1487" t="s">
        <v>320</v>
      </c>
      <c r="M1487" t="s">
        <v>101</v>
      </c>
      <c r="N1487" s="5" t="s">
        <v>102</v>
      </c>
      <c r="O1487" t="s">
        <v>28</v>
      </c>
      <c r="P1487" t="s">
        <v>29</v>
      </c>
      <c r="Q1487" t="s">
        <v>41</v>
      </c>
      <c r="R1487">
        <v>0.75</v>
      </c>
      <c r="S1487" s="1">
        <v>40288</v>
      </c>
      <c r="T1487" t="str">
        <f t="shared" si="47"/>
        <v>20-Apr-2010</v>
      </c>
    </row>
    <row r="1488" spans="1:20" x14ac:dyDescent="0.3">
      <c r="A1488">
        <v>52487</v>
      </c>
      <c r="B1488" s="1">
        <v>39965</v>
      </c>
      <c r="C1488" t="s">
        <v>43</v>
      </c>
      <c r="D1488" t="str">
        <f t="shared" si="46"/>
        <v>01-Jun-2009</v>
      </c>
      <c r="E1488">
        <v>17</v>
      </c>
      <c r="F1488" s="13">
        <v>124.06</v>
      </c>
      <c r="G1488">
        <v>0.09</v>
      </c>
      <c r="H1488" t="s">
        <v>19</v>
      </c>
      <c r="I1488" s="13">
        <v>15.74</v>
      </c>
      <c r="J1488">
        <v>7.78</v>
      </c>
      <c r="K1488">
        <v>2.5</v>
      </c>
      <c r="L1488" t="s">
        <v>151</v>
      </c>
      <c r="M1488" t="s">
        <v>101</v>
      </c>
      <c r="N1488" s="5" t="s">
        <v>102</v>
      </c>
      <c r="O1488" t="s">
        <v>28</v>
      </c>
      <c r="P1488" t="s">
        <v>21</v>
      </c>
      <c r="Q1488" t="s">
        <v>42</v>
      </c>
      <c r="R1488">
        <v>0.38</v>
      </c>
      <c r="S1488" s="1">
        <v>39966</v>
      </c>
      <c r="T1488" t="str">
        <f t="shared" si="47"/>
        <v>02-Jun-2009</v>
      </c>
    </row>
    <row r="1489" spans="1:20" x14ac:dyDescent="0.3">
      <c r="A1489">
        <v>50370</v>
      </c>
      <c r="B1489" s="1">
        <v>41219</v>
      </c>
      <c r="C1489" t="s">
        <v>43</v>
      </c>
      <c r="D1489" t="str">
        <f t="shared" si="46"/>
        <v>06-Nov-2012</v>
      </c>
      <c r="E1489">
        <v>25</v>
      </c>
      <c r="F1489" s="13">
        <v>122.05</v>
      </c>
      <c r="G1489">
        <v>0</v>
      </c>
      <c r="H1489" t="s">
        <v>35</v>
      </c>
      <c r="I1489" s="13">
        <v>-67.599999999999994</v>
      </c>
      <c r="J1489">
        <v>4.24</v>
      </c>
      <c r="K1489">
        <v>5.41</v>
      </c>
      <c r="L1489" t="s">
        <v>249</v>
      </c>
      <c r="M1489" t="s">
        <v>101</v>
      </c>
      <c r="N1489" s="5" t="s">
        <v>102</v>
      </c>
      <c r="O1489" t="s">
        <v>28</v>
      </c>
      <c r="P1489" t="s">
        <v>21</v>
      </c>
      <c r="Q1489" t="s">
        <v>26</v>
      </c>
      <c r="R1489">
        <v>0.35</v>
      </c>
      <c r="S1489" s="1">
        <v>41220</v>
      </c>
      <c r="T1489" t="str">
        <f t="shared" si="47"/>
        <v>07-Nov-2012</v>
      </c>
    </row>
    <row r="1490" spans="1:20" x14ac:dyDescent="0.3">
      <c r="A1490">
        <v>54371</v>
      </c>
      <c r="B1490" s="1">
        <v>40954</v>
      </c>
      <c r="C1490" t="s">
        <v>31</v>
      </c>
      <c r="D1490" t="str">
        <f t="shared" si="46"/>
        <v>15-Feb-2012</v>
      </c>
      <c r="E1490">
        <v>7</v>
      </c>
      <c r="F1490" s="13">
        <v>118.63</v>
      </c>
      <c r="G1490">
        <v>0.05</v>
      </c>
      <c r="H1490" t="s">
        <v>19</v>
      </c>
      <c r="I1490" s="13">
        <v>6.3</v>
      </c>
      <c r="J1490">
        <v>16.739999999999998</v>
      </c>
      <c r="K1490">
        <v>5.08</v>
      </c>
      <c r="L1490" t="s">
        <v>336</v>
      </c>
      <c r="M1490" t="s">
        <v>101</v>
      </c>
      <c r="N1490" s="5" t="s">
        <v>102</v>
      </c>
      <c r="O1490" t="s">
        <v>28</v>
      </c>
      <c r="P1490" t="s">
        <v>21</v>
      </c>
      <c r="Q1490" t="s">
        <v>26</v>
      </c>
      <c r="R1490">
        <v>0.36</v>
      </c>
      <c r="S1490" s="1">
        <v>40956</v>
      </c>
      <c r="T1490" t="str">
        <f t="shared" si="47"/>
        <v>17-Feb-2012</v>
      </c>
    </row>
    <row r="1491" spans="1:20" x14ac:dyDescent="0.3">
      <c r="A1491">
        <v>9954</v>
      </c>
      <c r="B1491" s="1">
        <v>39983</v>
      </c>
      <c r="C1491" t="s">
        <v>31</v>
      </c>
      <c r="D1491" t="str">
        <f t="shared" si="46"/>
        <v>19-Jun-2009</v>
      </c>
      <c r="E1491">
        <v>30</v>
      </c>
      <c r="F1491" s="13">
        <v>115.81</v>
      </c>
      <c r="G1491">
        <v>0.1</v>
      </c>
      <c r="H1491" t="s">
        <v>19</v>
      </c>
      <c r="I1491" s="13">
        <v>22.06</v>
      </c>
      <c r="J1491">
        <v>3.98</v>
      </c>
      <c r="K1491">
        <v>0.83</v>
      </c>
      <c r="L1491" t="s">
        <v>325</v>
      </c>
      <c r="M1491" t="s">
        <v>101</v>
      </c>
      <c r="N1491" s="5" t="s">
        <v>102</v>
      </c>
      <c r="O1491" t="s">
        <v>28</v>
      </c>
      <c r="P1491" t="s">
        <v>21</v>
      </c>
      <c r="Q1491" t="s">
        <v>50</v>
      </c>
      <c r="R1491">
        <v>0.51</v>
      </c>
      <c r="S1491" s="1">
        <v>39985</v>
      </c>
      <c r="T1491" t="str">
        <f t="shared" si="47"/>
        <v>21-Jun-2009</v>
      </c>
    </row>
    <row r="1492" spans="1:20" x14ac:dyDescent="0.3">
      <c r="A1492">
        <v>25638</v>
      </c>
      <c r="B1492" s="1">
        <v>40031</v>
      </c>
      <c r="C1492" t="s">
        <v>23</v>
      </c>
      <c r="D1492" t="str">
        <f t="shared" si="46"/>
        <v>06-Aug-2009</v>
      </c>
      <c r="E1492">
        <v>12</v>
      </c>
      <c r="F1492" s="13">
        <v>115.45</v>
      </c>
      <c r="G1492">
        <v>7.0000000000000007E-2</v>
      </c>
      <c r="H1492" t="s">
        <v>19</v>
      </c>
      <c r="I1492" s="13">
        <v>23.53</v>
      </c>
      <c r="J1492">
        <v>10.06</v>
      </c>
      <c r="K1492">
        <v>2.06</v>
      </c>
      <c r="L1492" t="s">
        <v>160</v>
      </c>
      <c r="M1492" t="s">
        <v>101</v>
      </c>
      <c r="N1492" s="5" t="s">
        <v>102</v>
      </c>
      <c r="O1492" t="s">
        <v>28</v>
      </c>
      <c r="P1492" t="s">
        <v>21</v>
      </c>
      <c r="Q1492" t="s">
        <v>37</v>
      </c>
      <c r="R1492">
        <v>0.39</v>
      </c>
      <c r="S1492" s="1">
        <v>40032</v>
      </c>
      <c r="T1492" t="str">
        <f t="shared" si="47"/>
        <v>07-Aug-2009</v>
      </c>
    </row>
    <row r="1493" spans="1:20" x14ac:dyDescent="0.3">
      <c r="A1493">
        <v>20135</v>
      </c>
      <c r="B1493" s="1">
        <v>39994</v>
      </c>
      <c r="C1493" t="s">
        <v>43</v>
      </c>
      <c r="D1493" t="str">
        <f t="shared" si="46"/>
        <v>30-Jun-2009</v>
      </c>
      <c r="E1493">
        <v>44</v>
      </c>
      <c r="F1493" s="13">
        <v>115.24</v>
      </c>
      <c r="G1493">
        <v>0.03</v>
      </c>
      <c r="H1493" t="s">
        <v>19</v>
      </c>
      <c r="I1493" s="13">
        <v>43.23</v>
      </c>
      <c r="J1493">
        <v>2.61</v>
      </c>
      <c r="K1493">
        <v>0.5</v>
      </c>
      <c r="L1493" t="s">
        <v>324</v>
      </c>
      <c r="M1493" t="s">
        <v>101</v>
      </c>
      <c r="N1493" s="5" t="s">
        <v>102</v>
      </c>
      <c r="O1493" t="s">
        <v>28</v>
      </c>
      <c r="P1493" t="s">
        <v>21</v>
      </c>
      <c r="Q1493" t="s">
        <v>48</v>
      </c>
      <c r="R1493">
        <v>0.39</v>
      </c>
      <c r="S1493" s="1">
        <v>39994</v>
      </c>
      <c r="T1493" t="str">
        <f t="shared" si="47"/>
        <v>30-Jun-2009</v>
      </c>
    </row>
    <row r="1494" spans="1:20" x14ac:dyDescent="0.3">
      <c r="A1494">
        <v>54371</v>
      </c>
      <c r="B1494" s="1">
        <v>40954</v>
      </c>
      <c r="C1494" t="s">
        <v>31</v>
      </c>
      <c r="D1494" t="str">
        <f t="shared" si="46"/>
        <v>15-Feb-2012</v>
      </c>
      <c r="E1494">
        <v>28</v>
      </c>
      <c r="F1494" s="13">
        <v>115.02</v>
      </c>
      <c r="G1494">
        <v>0</v>
      </c>
      <c r="H1494" t="s">
        <v>19</v>
      </c>
      <c r="I1494" s="13">
        <v>46.3</v>
      </c>
      <c r="J1494">
        <v>3.78</v>
      </c>
      <c r="K1494">
        <v>0.71</v>
      </c>
      <c r="L1494" t="s">
        <v>336</v>
      </c>
      <c r="M1494" t="s">
        <v>101</v>
      </c>
      <c r="N1494" s="5" t="s">
        <v>102</v>
      </c>
      <c r="O1494" t="s">
        <v>28</v>
      </c>
      <c r="P1494" t="s">
        <v>21</v>
      </c>
      <c r="Q1494" t="s">
        <v>39</v>
      </c>
      <c r="R1494">
        <v>0.39</v>
      </c>
      <c r="S1494" s="1">
        <v>40954</v>
      </c>
      <c r="T1494" t="str">
        <f t="shared" si="47"/>
        <v>15-Feb-2012</v>
      </c>
    </row>
    <row r="1495" spans="1:20" x14ac:dyDescent="0.3">
      <c r="A1495">
        <v>54115</v>
      </c>
      <c r="B1495" s="1">
        <v>40915</v>
      </c>
      <c r="C1495" t="s">
        <v>18</v>
      </c>
      <c r="D1495" t="str">
        <f t="shared" si="46"/>
        <v>07-Jan-2012</v>
      </c>
      <c r="E1495">
        <v>24</v>
      </c>
      <c r="F1495" s="13">
        <v>114.17</v>
      </c>
      <c r="G1495">
        <v>0.01</v>
      </c>
      <c r="H1495" t="s">
        <v>19</v>
      </c>
      <c r="I1495" s="13">
        <v>-80.05</v>
      </c>
      <c r="J1495">
        <v>4.37</v>
      </c>
      <c r="K1495">
        <v>5.15</v>
      </c>
      <c r="L1495" t="s">
        <v>103</v>
      </c>
      <c r="M1495" t="s">
        <v>101</v>
      </c>
      <c r="N1495" s="5" t="s">
        <v>102</v>
      </c>
      <c r="O1495" t="s">
        <v>28</v>
      </c>
      <c r="P1495" t="s">
        <v>21</v>
      </c>
      <c r="Q1495" t="s">
        <v>25</v>
      </c>
      <c r="R1495">
        <v>0.59</v>
      </c>
      <c r="S1495" s="1">
        <v>40920</v>
      </c>
      <c r="T1495" t="str">
        <f t="shared" si="47"/>
        <v>12-Jan-2012</v>
      </c>
    </row>
    <row r="1496" spans="1:20" x14ac:dyDescent="0.3">
      <c r="A1496">
        <v>2306</v>
      </c>
      <c r="B1496" s="1">
        <v>40749</v>
      </c>
      <c r="C1496" t="s">
        <v>23</v>
      </c>
      <c r="D1496" t="str">
        <f t="shared" si="46"/>
        <v>25-Jul-2011</v>
      </c>
      <c r="E1496">
        <v>15</v>
      </c>
      <c r="F1496" s="13">
        <v>113.5</v>
      </c>
      <c r="G1496">
        <v>0.05</v>
      </c>
      <c r="H1496" t="s">
        <v>19</v>
      </c>
      <c r="I1496" s="13">
        <v>-46.35</v>
      </c>
      <c r="J1496">
        <v>7.45</v>
      </c>
      <c r="K1496">
        <v>6.28</v>
      </c>
      <c r="L1496" t="s">
        <v>154</v>
      </c>
      <c r="M1496" t="s">
        <v>101</v>
      </c>
      <c r="N1496" s="5" t="s">
        <v>102</v>
      </c>
      <c r="O1496" t="s">
        <v>28</v>
      </c>
      <c r="P1496" t="s">
        <v>21</v>
      </c>
      <c r="Q1496" t="s">
        <v>26</v>
      </c>
      <c r="R1496">
        <v>0.4</v>
      </c>
      <c r="S1496" s="1">
        <v>40751</v>
      </c>
      <c r="T1496" t="str">
        <f t="shared" si="47"/>
        <v>27-Jul-2011</v>
      </c>
    </row>
    <row r="1497" spans="1:20" x14ac:dyDescent="0.3">
      <c r="A1497">
        <v>7107</v>
      </c>
      <c r="B1497" s="1">
        <v>40912</v>
      </c>
      <c r="C1497" t="s">
        <v>31</v>
      </c>
      <c r="D1497" t="str">
        <f t="shared" si="46"/>
        <v>04-Jan-2012</v>
      </c>
      <c r="E1497">
        <v>3</v>
      </c>
      <c r="F1497" s="13">
        <v>113.14</v>
      </c>
      <c r="G1497">
        <v>0.06</v>
      </c>
      <c r="H1497" t="s">
        <v>19</v>
      </c>
      <c r="I1497" s="13">
        <v>-21.23</v>
      </c>
      <c r="J1497">
        <v>37.94</v>
      </c>
      <c r="K1497">
        <v>5.08</v>
      </c>
      <c r="L1497" t="s">
        <v>321</v>
      </c>
      <c r="M1497" t="s">
        <v>101</v>
      </c>
      <c r="N1497" s="5" t="s">
        <v>102</v>
      </c>
      <c r="O1497" t="s">
        <v>28</v>
      </c>
      <c r="P1497" t="s">
        <v>21</v>
      </c>
      <c r="Q1497" t="s">
        <v>37</v>
      </c>
      <c r="R1497">
        <v>0.38</v>
      </c>
      <c r="S1497" s="1">
        <v>40914</v>
      </c>
      <c r="T1497" t="str">
        <f t="shared" si="47"/>
        <v>06-Jan-2012</v>
      </c>
    </row>
    <row r="1498" spans="1:20" x14ac:dyDescent="0.3">
      <c r="A1498">
        <v>35461</v>
      </c>
      <c r="B1498" s="1">
        <v>39965</v>
      </c>
      <c r="C1498" t="s">
        <v>43</v>
      </c>
      <c r="D1498" t="str">
        <f t="shared" si="46"/>
        <v>01-Jun-2009</v>
      </c>
      <c r="E1498">
        <v>30</v>
      </c>
      <c r="F1498" s="13">
        <v>112.6</v>
      </c>
      <c r="G1498">
        <v>0.04</v>
      </c>
      <c r="H1498" t="s">
        <v>19</v>
      </c>
      <c r="I1498" s="13">
        <v>-25.99</v>
      </c>
      <c r="J1498">
        <v>3.68</v>
      </c>
      <c r="K1498">
        <v>1.32</v>
      </c>
      <c r="L1498" t="s">
        <v>255</v>
      </c>
      <c r="M1498" t="s">
        <v>101</v>
      </c>
      <c r="N1498" s="5" t="s">
        <v>102</v>
      </c>
      <c r="O1498" t="s">
        <v>28</v>
      </c>
      <c r="P1498" t="s">
        <v>21</v>
      </c>
      <c r="Q1498" t="s">
        <v>67</v>
      </c>
      <c r="R1498">
        <v>0.83</v>
      </c>
      <c r="S1498" s="1">
        <v>39966</v>
      </c>
      <c r="T1498" t="str">
        <f t="shared" si="47"/>
        <v>02-Jun-2009</v>
      </c>
    </row>
    <row r="1499" spans="1:20" x14ac:dyDescent="0.3">
      <c r="A1499">
        <v>13762</v>
      </c>
      <c r="B1499" s="1">
        <v>40350</v>
      </c>
      <c r="C1499" t="s">
        <v>38</v>
      </c>
      <c r="D1499" t="str">
        <f t="shared" si="46"/>
        <v>21-Jun-2010</v>
      </c>
      <c r="E1499">
        <v>37</v>
      </c>
      <c r="F1499" s="13">
        <v>107.73</v>
      </c>
      <c r="G1499">
        <v>0.08</v>
      </c>
      <c r="H1499" t="s">
        <v>19</v>
      </c>
      <c r="I1499" s="13">
        <v>39.81</v>
      </c>
      <c r="J1499">
        <v>3.15</v>
      </c>
      <c r="K1499">
        <v>0.5</v>
      </c>
      <c r="L1499" t="s">
        <v>307</v>
      </c>
      <c r="M1499" t="s">
        <v>101</v>
      </c>
      <c r="N1499" s="5" t="s">
        <v>102</v>
      </c>
      <c r="O1499" t="s">
        <v>28</v>
      </c>
      <c r="P1499" t="s">
        <v>21</v>
      </c>
      <c r="Q1499" t="s">
        <v>48</v>
      </c>
      <c r="R1499">
        <v>0.37</v>
      </c>
      <c r="S1499" s="1">
        <v>40352</v>
      </c>
      <c r="T1499" t="str">
        <f t="shared" si="47"/>
        <v>23-Jun-2010</v>
      </c>
    </row>
    <row r="1500" spans="1:20" x14ac:dyDescent="0.3">
      <c r="A1500">
        <v>50464</v>
      </c>
      <c r="B1500" s="1">
        <v>40813</v>
      </c>
      <c r="C1500" t="s">
        <v>43</v>
      </c>
      <c r="D1500" t="str">
        <f t="shared" si="46"/>
        <v>27-Sep-2011</v>
      </c>
      <c r="E1500">
        <v>7</v>
      </c>
      <c r="F1500" s="13">
        <v>105.94</v>
      </c>
      <c r="G1500">
        <v>7.0000000000000007E-2</v>
      </c>
      <c r="H1500" t="s">
        <v>19</v>
      </c>
      <c r="I1500" s="13">
        <v>-13.33</v>
      </c>
      <c r="J1500">
        <v>14.45</v>
      </c>
      <c r="K1500">
        <v>7.17</v>
      </c>
      <c r="L1500" t="s">
        <v>220</v>
      </c>
      <c r="M1500" t="s">
        <v>101</v>
      </c>
      <c r="N1500" s="5" t="s">
        <v>102</v>
      </c>
      <c r="O1500" t="s">
        <v>28</v>
      </c>
      <c r="P1500" t="s">
        <v>21</v>
      </c>
      <c r="Q1500" t="s">
        <v>26</v>
      </c>
      <c r="R1500">
        <v>0.38</v>
      </c>
      <c r="S1500" s="1">
        <v>40816</v>
      </c>
      <c r="T1500" t="str">
        <f t="shared" si="47"/>
        <v>30-Sep-2011</v>
      </c>
    </row>
    <row r="1501" spans="1:20" x14ac:dyDescent="0.3">
      <c r="A1501">
        <v>31078</v>
      </c>
      <c r="B1501" s="1">
        <v>39854</v>
      </c>
      <c r="C1501" t="s">
        <v>43</v>
      </c>
      <c r="D1501" t="str">
        <f t="shared" si="46"/>
        <v>10-Feb-2009</v>
      </c>
      <c r="E1501">
        <v>7</v>
      </c>
      <c r="F1501" s="13">
        <v>104.46</v>
      </c>
      <c r="G1501">
        <v>0.01</v>
      </c>
      <c r="H1501" t="s">
        <v>19</v>
      </c>
      <c r="I1501" s="13">
        <v>-36.770000000000003</v>
      </c>
      <c r="J1501">
        <v>13.99</v>
      </c>
      <c r="K1501">
        <v>7.51</v>
      </c>
      <c r="L1501" t="s">
        <v>333</v>
      </c>
      <c r="M1501" t="s">
        <v>101</v>
      </c>
      <c r="N1501" s="5" t="s">
        <v>102</v>
      </c>
      <c r="O1501" t="s">
        <v>28</v>
      </c>
      <c r="P1501" t="s">
        <v>29</v>
      </c>
      <c r="Q1501" t="s">
        <v>74</v>
      </c>
      <c r="R1501">
        <v>0.39</v>
      </c>
      <c r="S1501" s="1">
        <v>39855</v>
      </c>
      <c r="T1501" t="str">
        <f t="shared" si="47"/>
        <v>11-Feb-2009</v>
      </c>
    </row>
    <row r="1502" spans="1:20" x14ac:dyDescent="0.3">
      <c r="A1502">
        <v>14855</v>
      </c>
      <c r="B1502" s="1">
        <v>40298</v>
      </c>
      <c r="C1502" t="s">
        <v>31</v>
      </c>
      <c r="D1502" t="str">
        <f t="shared" si="46"/>
        <v>30-Apr-2010</v>
      </c>
      <c r="E1502">
        <v>48</v>
      </c>
      <c r="F1502" s="13">
        <v>103.8</v>
      </c>
      <c r="G1502">
        <v>0.1</v>
      </c>
      <c r="H1502" t="s">
        <v>19</v>
      </c>
      <c r="I1502" s="13">
        <v>-150.53</v>
      </c>
      <c r="J1502">
        <v>2.23</v>
      </c>
      <c r="K1502">
        <v>4.57</v>
      </c>
      <c r="L1502" t="s">
        <v>318</v>
      </c>
      <c r="M1502" t="s">
        <v>101</v>
      </c>
      <c r="N1502" s="5" t="s">
        <v>102</v>
      </c>
      <c r="O1502" t="s">
        <v>28</v>
      </c>
      <c r="P1502" t="s">
        <v>32</v>
      </c>
      <c r="Q1502" t="s">
        <v>33</v>
      </c>
      <c r="R1502">
        <v>0.41</v>
      </c>
      <c r="S1502" s="1">
        <v>40300</v>
      </c>
      <c r="T1502" t="str">
        <f t="shared" si="47"/>
        <v>02-May-2010</v>
      </c>
    </row>
    <row r="1503" spans="1:20" x14ac:dyDescent="0.3">
      <c r="A1503">
        <v>40708</v>
      </c>
      <c r="B1503" s="1">
        <v>40098</v>
      </c>
      <c r="C1503" t="s">
        <v>31</v>
      </c>
      <c r="D1503" t="str">
        <f t="shared" si="46"/>
        <v>12-Oct-2009</v>
      </c>
      <c r="E1503">
        <v>15</v>
      </c>
      <c r="F1503" s="13">
        <v>103.55</v>
      </c>
      <c r="G1503">
        <v>0.03</v>
      </c>
      <c r="H1503" t="s">
        <v>19</v>
      </c>
      <c r="I1503" s="13">
        <v>19.59</v>
      </c>
      <c r="J1503">
        <v>6.68</v>
      </c>
      <c r="K1503">
        <v>1.5</v>
      </c>
      <c r="L1503" t="s">
        <v>336</v>
      </c>
      <c r="M1503" t="s">
        <v>101</v>
      </c>
      <c r="N1503" s="5" t="s">
        <v>102</v>
      </c>
      <c r="O1503" t="s">
        <v>28</v>
      </c>
      <c r="P1503" t="s">
        <v>21</v>
      </c>
      <c r="Q1503" t="s">
        <v>50</v>
      </c>
      <c r="R1503">
        <v>0.48</v>
      </c>
      <c r="S1503" s="1">
        <v>40099</v>
      </c>
      <c r="T1503" t="str">
        <f t="shared" si="47"/>
        <v>13-Oct-2009</v>
      </c>
    </row>
    <row r="1504" spans="1:20" x14ac:dyDescent="0.3">
      <c r="A1504">
        <v>15712</v>
      </c>
      <c r="B1504" s="1">
        <v>41247</v>
      </c>
      <c r="C1504" t="s">
        <v>23</v>
      </c>
      <c r="D1504" t="str">
        <f t="shared" si="46"/>
        <v>04-Dec-2012</v>
      </c>
      <c r="E1504">
        <v>1</v>
      </c>
      <c r="F1504" s="13">
        <v>102.9</v>
      </c>
      <c r="G1504">
        <v>7.0000000000000007E-2</v>
      </c>
      <c r="H1504" t="s">
        <v>24</v>
      </c>
      <c r="I1504" s="13">
        <v>-81.89</v>
      </c>
      <c r="J1504">
        <v>48.58</v>
      </c>
      <c r="K1504">
        <v>54.11</v>
      </c>
      <c r="L1504" t="s">
        <v>220</v>
      </c>
      <c r="M1504" t="s">
        <v>101</v>
      </c>
      <c r="N1504" s="5" t="s">
        <v>102</v>
      </c>
      <c r="O1504" t="s">
        <v>28</v>
      </c>
      <c r="P1504" t="s">
        <v>32</v>
      </c>
      <c r="Q1504" t="s">
        <v>45</v>
      </c>
      <c r="R1504">
        <v>0.69</v>
      </c>
      <c r="S1504" s="1">
        <v>41249</v>
      </c>
      <c r="T1504" t="str">
        <f t="shared" si="47"/>
        <v>06-Dec-2012</v>
      </c>
    </row>
    <row r="1505" spans="1:20" x14ac:dyDescent="0.3">
      <c r="A1505">
        <v>17508</v>
      </c>
      <c r="B1505" s="1">
        <v>41087</v>
      </c>
      <c r="C1505" t="s">
        <v>18</v>
      </c>
      <c r="D1505" t="str">
        <f t="shared" si="46"/>
        <v>27-Jun-2012</v>
      </c>
      <c r="E1505">
        <v>50</v>
      </c>
      <c r="F1505" s="13">
        <v>99.08</v>
      </c>
      <c r="G1505">
        <v>0.01</v>
      </c>
      <c r="H1505" t="s">
        <v>35</v>
      </c>
      <c r="I1505" s="13">
        <v>11.28</v>
      </c>
      <c r="J1505">
        <v>1.76</v>
      </c>
      <c r="K1505">
        <v>0.7</v>
      </c>
      <c r="L1505" t="s">
        <v>80</v>
      </c>
      <c r="M1505" t="s">
        <v>101</v>
      </c>
      <c r="N1505" s="5" t="s">
        <v>102</v>
      </c>
      <c r="O1505" t="s">
        <v>28</v>
      </c>
      <c r="P1505" t="s">
        <v>21</v>
      </c>
      <c r="Q1505" t="s">
        <v>50</v>
      </c>
      <c r="R1505">
        <v>0.56000000000000005</v>
      </c>
      <c r="S1505" s="1">
        <v>41089</v>
      </c>
      <c r="T1505" t="str">
        <f t="shared" si="47"/>
        <v>29-Jun-2012</v>
      </c>
    </row>
    <row r="1506" spans="1:20" x14ac:dyDescent="0.3">
      <c r="A1506">
        <v>3492</v>
      </c>
      <c r="B1506" s="1">
        <v>40140</v>
      </c>
      <c r="C1506" t="s">
        <v>18</v>
      </c>
      <c r="D1506" t="str">
        <f t="shared" si="46"/>
        <v>23-Nov-2009</v>
      </c>
      <c r="E1506">
        <v>33</v>
      </c>
      <c r="F1506" s="13">
        <v>94.6</v>
      </c>
      <c r="G1506">
        <v>0.04</v>
      </c>
      <c r="H1506" t="s">
        <v>19</v>
      </c>
      <c r="I1506" s="13">
        <v>-6.34</v>
      </c>
      <c r="J1506">
        <v>2.78</v>
      </c>
      <c r="K1506">
        <v>1.25</v>
      </c>
      <c r="L1506" t="s">
        <v>80</v>
      </c>
      <c r="M1506" t="s">
        <v>101</v>
      </c>
      <c r="N1506" s="5" t="s">
        <v>102</v>
      </c>
      <c r="O1506" t="s">
        <v>28</v>
      </c>
      <c r="P1506" t="s">
        <v>21</v>
      </c>
      <c r="Q1506" t="s">
        <v>50</v>
      </c>
      <c r="R1506">
        <v>0.59</v>
      </c>
      <c r="S1506" s="1">
        <v>40140</v>
      </c>
      <c r="T1506" t="str">
        <f t="shared" si="47"/>
        <v>23-Nov-2009</v>
      </c>
    </row>
    <row r="1507" spans="1:20" x14ac:dyDescent="0.3">
      <c r="A1507">
        <v>34400</v>
      </c>
      <c r="B1507" s="1">
        <v>41267</v>
      </c>
      <c r="C1507" t="s">
        <v>18</v>
      </c>
      <c r="D1507" t="str">
        <f t="shared" si="46"/>
        <v>24-Dec-2012</v>
      </c>
      <c r="E1507">
        <v>25</v>
      </c>
      <c r="F1507" s="13">
        <v>92.53</v>
      </c>
      <c r="G1507">
        <v>0.01</v>
      </c>
      <c r="H1507" t="s">
        <v>19</v>
      </c>
      <c r="I1507" s="13">
        <v>-71.52</v>
      </c>
      <c r="J1507">
        <v>3.57</v>
      </c>
      <c r="K1507">
        <v>4.17</v>
      </c>
      <c r="L1507" t="s">
        <v>338</v>
      </c>
      <c r="M1507" t="s">
        <v>101</v>
      </c>
      <c r="N1507" s="5" t="s">
        <v>102</v>
      </c>
      <c r="O1507" t="s">
        <v>28</v>
      </c>
      <c r="P1507" t="s">
        <v>21</v>
      </c>
      <c r="Q1507" t="s">
        <v>50</v>
      </c>
      <c r="R1507">
        <v>0.59</v>
      </c>
      <c r="S1507" s="1">
        <v>41271</v>
      </c>
      <c r="T1507" t="str">
        <f t="shared" si="47"/>
        <v>28-Dec-2012</v>
      </c>
    </row>
    <row r="1508" spans="1:20" x14ac:dyDescent="0.3">
      <c r="A1508">
        <v>46885</v>
      </c>
      <c r="B1508" s="1">
        <v>40701</v>
      </c>
      <c r="C1508" t="s">
        <v>18</v>
      </c>
      <c r="D1508" t="str">
        <f t="shared" si="46"/>
        <v>07-Jun-2011</v>
      </c>
      <c r="E1508">
        <v>48</v>
      </c>
      <c r="F1508" s="13">
        <v>90.96</v>
      </c>
      <c r="G1508">
        <v>0.02</v>
      </c>
      <c r="H1508" t="s">
        <v>19</v>
      </c>
      <c r="I1508" s="13">
        <v>-30.11</v>
      </c>
      <c r="J1508">
        <v>1.81</v>
      </c>
      <c r="K1508">
        <v>1.56</v>
      </c>
      <c r="L1508" t="s">
        <v>147</v>
      </c>
      <c r="M1508" t="s">
        <v>101</v>
      </c>
      <c r="N1508" s="5" t="s">
        <v>102</v>
      </c>
      <c r="O1508" t="s">
        <v>28</v>
      </c>
      <c r="P1508" t="s">
        <v>21</v>
      </c>
      <c r="Q1508" t="s">
        <v>39</v>
      </c>
      <c r="R1508">
        <v>0.49</v>
      </c>
      <c r="S1508" s="1">
        <v>40705</v>
      </c>
      <c r="T1508" t="str">
        <f t="shared" si="47"/>
        <v>11-Jun-2011</v>
      </c>
    </row>
    <row r="1509" spans="1:20" x14ac:dyDescent="0.3">
      <c r="A1509">
        <v>2818</v>
      </c>
      <c r="B1509" s="1">
        <v>40158</v>
      </c>
      <c r="C1509" t="s">
        <v>38</v>
      </c>
      <c r="D1509" t="str">
        <f t="shared" si="46"/>
        <v>11-Dec-2009</v>
      </c>
      <c r="E1509">
        <v>2</v>
      </c>
      <c r="F1509" s="13">
        <v>89.23</v>
      </c>
      <c r="G1509">
        <v>0.02</v>
      </c>
      <c r="H1509" t="s">
        <v>19</v>
      </c>
      <c r="I1509" s="13">
        <v>-42.72</v>
      </c>
      <c r="J1509">
        <v>38.76</v>
      </c>
      <c r="K1509">
        <v>13.26</v>
      </c>
      <c r="L1509" t="s">
        <v>328</v>
      </c>
      <c r="M1509" t="s">
        <v>101</v>
      </c>
      <c r="N1509" s="5" t="s">
        <v>102</v>
      </c>
      <c r="O1509" t="s">
        <v>28</v>
      </c>
      <c r="P1509" t="s">
        <v>21</v>
      </c>
      <c r="Q1509" t="s">
        <v>37</v>
      </c>
      <c r="R1509">
        <v>0.36</v>
      </c>
      <c r="S1509" s="1">
        <v>40159</v>
      </c>
      <c r="T1509" t="str">
        <f t="shared" si="47"/>
        <v>12-Dec-2009</v>
      </c>
    </row>
    <row r="1510" spans="1:20" x14ac:dyDescent="0.3">
      <c r="A1510">
        <v>30917</v>
      </c>
      <c r="B1510" s="1">
        <v>40483</v>
      </c>
      <c r="C1510" t="s">
        <v>18</v>
      </c>
      <c r="D1510" t="str">
        <f t="shared" si="46"/>
        <v>01-Nov-2010</v>
      </c>
      <c r="E1510">
        <v>11</v>
      </c>
      <c r="F1510" s="13">
        <v>86.79</v>
      </c>
      <c r="G1510">
        <v>0.06</v>
      </c>
      <c r="H1510" t="s">
        <v>19</v>
      </c>
      <c r="I1510" s="13">
        <v>-45.6</v>
      </c>
      <c r="J1510">
        <v>8.1199999999999992</v>
      </c>
      <c r="K1510">
        <v>2.83</v>
      </c>
      <c r="L1510" t="s">
        <v>249</v>
      </c>
      <c r="M1510" t="s">
        <v>101</v>
      </c>
      <c r="N1510" s="5" t="s">
        <v>102</v>
      </c>
      <c r="O1510" t="s">
        <v>28</v>
      </c>
      <c r="P1510" t="s">
        <v>29</v>
      </c>
      <c r="Q1510" t="s">
        <v>41</v>
      </c>
      <c r="R1510">
        <v>0.77</v>
      </c>
      <c r="S1510" s="1">
        <v>40485</v>
      </c>
      <c r="T1510" t="str">
        <f t="shared" si="47"/>
        <v>03-Nov-2010</v>
      </c>
    </row>
    <row r="1511" spans="1:20" x14ac:dyDescent="0.3">
      <c r="A1511">
        <v>36323</v>
      </c>
      <c r="B1511" s="1">
        <v>40469</v>
      </c>
      <c r="C1511" t="s">
        <v>23</v>
      </c>
      <c r="D1511" t="str">
        <f t="shared" si="46"/>
        <v>18-Oct-2010</v>
      </c>
      <c r="E1511">
        <v>5</v>
      </c>
      <c r="F1511" s="13">
        <v>85.89</v>
      </c>
      <c r="G1511">
        <v>0.08</v>
      </c>
      <c r="H1511" t="s">
        <v>19</v>
      </c>
      <c r="I1511" s="13">
        <v>-48.88</v>
      </c>
      <c r="J1511">
        <v>15.98</v>
      </c>
      <c r="K1511">
        <v>6.5</v>
      </c>
      <c r="L1511" t="s">
        <v>331</v>
      </c>
      <c r="M1511" t="s">
        <v>101</v>
      </c>
      <c r="N1511" s="5" t="s">
        <v>102</v>
      </c>
      <c r="O1511" t="s">
        <v>28</v>
      </c>
      <c r="P1511" t="s">
        <v>29</v>
      </c>
      <c r="Q1511" t="s">
        <v>41</v>
      </c>
      <c r="R1511">
        <v>0.48</v>
      </c>
      <c r="S1511" s="1">
        <v>40471</v>
      </c>
      <c r="T1511" t="str">
        <f t="shared" si="47"/>
        <v>20-Oct-2010</v>
      </c>
    </row>
    <row r="1512" spans="1:20" x14ac:dyDescent="0.3">
      <c r="A1512">
        <v>55651</v>
      </c>
      <c r="B1512" s="1">
        <v>40975</v>
      </c>
      <c r="C1512" t="s">
        <v>38</v>
      </c>
      <c r="D1512" t="str">
        <f t="shared" si="46"/>
        <v>07-Mar-2012</v>
      </c>
      <c r="E1512">
        <v>2</v>
      </c>
      <c r="F1512" s="13">
        <v>79.930000000000007</v>
      </c>
      <c r="G1512">
        <v>0</v>
      </c>
      <c r="H1512" t="s">
        <v>19</v>
      </c>
      <c r="I1512" s="13">
        <v>-52.73</v>
      </c>
      <c r="J1512">
        <v>27.75</v>
      </c>
      <c r="K1512">
        <v>19.989999999999998</v>
      </c>
      <c r="L1512" t="s">
        <v>155</v>
      </c>
      <c r="M1512" t="s">
        <v>101</v>
      </c>
      <c r="N1512" s="5" t="s">
        <v>102</v>
      </c>
      <c r="O1512" t="s">
        <v>28</v>
      </c>
      <c r="P1512" t="s">
        <v>21</v>
      </c>
      <c r="Q1512" t="s">
        <v>22</v>
      </c>
      <c r="R1512">
        <v>0.67</v>
      </c>
      <c r="S1512" s="1">
        <v>40976</v>
      </c>
      <c r="T1512" t="str">
        <f t="shared" si="47"/>
        <v>08-Mar-2012</v>
      </c>
    </row>
    <row r="1513" spans="1:20" x14ac:dyDescent="0.3">
      <c r="A1513">
        <v>56135</v>
      </c>
      <c r="B1513" s="1">
        <v>40495</v>
      </c>
      <c r="C1513" t="s">
        <v>38</v>
      </c>
      <c r="D1513" t="str">
        <f t="shared" si="46"/>
        <v>13-Nov-2010</v>
      </c>
      <c r="E1513">
        <v>48</v>
      </c>
      <c r="F1513" s="13">
        <v>79.75</v>
      </c>
      <c r="G1513">
        <v>0.1</v>
      </c>
      <c r="H1513" t="s">
        <v>19</v>
      </c>
      <c r="I1513" s="13">
        <v>-41.32</v>
      </c>
      <c r="J1513">
        <v>1.81</v>
      </c>
      <c r="K1513">
        <v>1.56</v>
      </c>
      <c r="L1513" t="s">
        <v>139</v>
      </c>
      <c r="M1513" t="s">
        <v>101</v>
      </c>
      <c r="N1513" s="5" t="s">
        <v>102</v>
      </c>
      <c r="O1513" t="s">
        <v>28</v>
      </c>
      <c r="P1513" t="s">
        <v>21</v>
      </c>
      <c r="Q1513" t="s">
        <v>39</v>
      </c>
      <c r="R1513">
        <v>0.49</v>
      </c>
      <c r="S1513" s="1">
        <v>40496</v>
      </c>
      <c r="T1513" t="str">
        <f t="shared" si="47"/>
        <v>14-Nov-2010</v>
      </c>
    </row>
    <row r="1514" spans="1:20" x14ac:dyDescent="0.3">
      <c r="A1514">
        <v>19300</v>
      </c>
      <c r="B1514" s="1">
        <v>40163</v>
      </c>
      <c r="C1514" t="s">
        <v>43</v>
      </c>
      <c r="D1514" t="str">
        <f t="shared" si="46"/>
        <v>16-Dec-2009</v>
      </c>
      <c r="E1514">
        <v>10</v>
      </c>
      <c r="F1514" s="13">
        <v>78.72</v>
      </c>
      <c r="G1514">
        <v>0.1</v>
      </c>
      <c r="H1514" t="s">
        <v>19</v>
      </c>
      <c r="I1514" s="13">
        <v>-22.36</v>
      </c>
      <c r="J1514">
        <v>7.64</v>
      </c>
      <c r="K1514">
        <v>5.83</v>
      </c>
      <c r="L1514" t="s">
        <v>307</v>
      </c>
      <c r="M1514" t="s">
        <v>101</v>
      </c>
      <c r="N1514" s="5" t="s">
        <v>102</v>
      </c>
      <c r="O1514" t="s">
        <v>28</v>
      </c>
      <c r="P1514" t="s">
        <v>21</v>
      </c>
      <c r="Q1514" t="s">
        <v>37</v>
      </c>
      <c r="R1514">
        <v>0.36</v>
      </c>
      <c r="S1514" s="1">
        <v>40164</v>
      </c>
      <c r="T1514" t="str">
        <f t="shared" si="47"/>
        <v>17-Dec-2009</v>
      </c>
    </row>
    <row r="1515" spans="1:20" x14ac:dyDescent="0.3">
      <c r="A1515">
        <v>3810</v>
      </c>
      <c r="B1515" s="1">
        <v>41168</v>
      </c>
      <c r="C1515" t="s">
        <v>43</v>
      </c>
      <c r="D1515" t="str">
        <f t="shared" si="46"/>
        <v>16-Sep-2012</v>
      </c>
      <c r="E1515">
        <v>25</v>
      </c>
      <c r="F1515" s="13">
        <v>78.260000000000005</v>
      </c>
      <c r="G1515">
        <v>0.04</v>
      </c>
      <c r="H1515" t="s">
        <v>35</v>
      </c>
      <c r="I1515" s="13">
        <v>35.090000000000003</v>
      </c>
      <c r="J1515">
        <v>2.61</v>
      </c>
      <c r="K1515">
        <v>0.5</v>
      </c>
      <c r="L1515" t="s">
        <v>136</v>
      </c>
      <c r="M1515" t="s">
        <v>101</v>
      </c>
      <c r="N1515" s="5" t="s">
        <v>102</v>
      </c>
      <c r="O1515" t="s">
        <v>28</v>
      </c>
      <c r="P1515" t="s">
        <v>21</v>
      </c>
      <c r="Q1515" t="s">
        <v>48</v>
      </c>
      <c r="R1515">
        <v>0.39</v>
      </c>
      <c r="S1515" s="1">
        <v>41170</v>
      </c>
      <c r="T1515" t="str">
        <f t="shared" si="47"/>
        <v>18-Sep-2012</v>
      </c>
    </row>
    <row r="1516" spans="1:20" x14ac:dyDescent="0.3">
      <c r="A1516">
        <v>40261</v>
      </c>
      <c r="B1516" s="1">
        <v>40121</v>
      </c>
      <c r="C1516" t="s">
        <v>43</v>
      </c>
      <c r="D1516" t="str">
        <f t="shared" si="46"/>
        <v>04-Nov-2009</v>
      </c>
      <c r="E1516">
        <v>26</v>
      </c>
      <c r="F1516" s="13">
        <v>78.03</v>
      </c>
      <c r="G1516">
        <v>0.05</v>
      </c>
      <c r="H1516" t="s">
        <v>19</v>
      </c>
      <c r="I1516" s="13">
        <v>0.51</v>
      </c>
      <c r="J1516">
        <v>2.94</v>
      </c>
      <c r="K1516">
        <v>1.05</v>
      </c>
      <c r="L1516" t="s">
        <v>333</v>
      </c>
      <c r="M1516" t="s">
        <v>101</v>
      </c>
      <c r="N1516" s="5" t="s">
        <v>102</v>
      </c>
      <c r="O1516" t="s">
        <v>28</v>
      </c>
      <c r="P1516" t="s">
        <v>21</v>
      </c>
      <c r="Q1516" t="s">
        <v>50</v>
      </c>
      <c r="R1516">
        <v>0.57999999999999996</v>
      </c>
      <c r="S1516" s="1">
        <v>40123</v>
      </c>
      <c r="T1516" t="str">
        <f t="shared" si="47"/>
        <v>06-Nov-2009</v>
      </c>
    </row>
    <row r="1517" spans="1:20" x14ac:dyDescent="0.3">
      <c r="A1517">
        <v>45570</v>
      </c>
      <c r="B1517" s="1">
        <v>40399</v>
      </c>
      <c r="C1517" t="s">
        <v>43</v>
      </c>
      <c r="D1517" t="str">
        <f t="shared" si="46"/>
        <v>09-Aug-2010</v>
      </c>
      <c r="E1517">
        <v>19</v>
      </c>
      <c r="F1517" s="13">
        <v>77.569999999999993</v>
      </c>
      <c r="G1517">
        <v>0</v>
      </c>
      <c r="H1517" t="s">
        <v>19</v>
      </c>
      <c r="I1517" s="13">
        <v>-67.489999999999995</v>
      </c>
      <c r="J1517">
        <v>3.58</v>
      </c>
      <c r="K1517">
        <v>5.47</v>
      </c>
      <c r="L1517" t="s">
        <v>150</v>
      </c>
      <c r="M1517" t="s">
        <v>101</v>
      </c>
      <c r="N1517" s="5" t="s">
        <v>102</v>
      </c>
      <c r="O1517" t="s">
        <v>28</v>
      </c>
      <c r="P1517" t="s">
        <v>21</v>
      </c>
      <c r="Q1517" t="s">
        <v>26</v>
      </c>
      <c r="R1517">
        <v>0.37</v>
      </c>
      <c r="S1517" s="1">
        <v>40400</v>
      </c>
      <c r="T1517" t="str">
        <f t="shared" si="47"/>
        <v>10-Aug-2010</v>
      </c>
    </row>
    <row r="1518" spans="1:20" x14ac:dyDescent="0.3">
      <c r="A1518">
        <v>24386</v>
      </c>
      <c r="B1518" s="1">
        <v>41086</v>
      </c>
      <c r="C1518" t="s">
        <v>23</v>
      </c>
      <c r="D1518" t="str">
        <f t="shared" si="46"/>
        <v>26-Jun-2012</v>
      </c>
      <c r="E1518">
        <v>15</v>
      </c>
      <c r="F1518" s="13">
        <v>76.94</v>
      </c>
      <c r="G1518">
        <v>0</v>
      </c>
      <c r="H1518" t="s">
        <v>35</v>
      </c>
      <c r="I1518" s="13">
        <v>29.67</v>
      </c>
      <c r="J1518">
        <v>4.13</v>
      </c>
      <c r="K1518">
        <v>0.99</v>
      </c>
      <c r="L1518" t="s">
        <v>156</v>
      </c>
      <c r="M1518" t="s">
        <v>101</v>
      </c>
      <c r="N1518" s="5" t="s">
        <v>102</v>
      </c>
      <c r="O1518" t="s">
        <v>28</v>
      </c>
      <c r="P1518" t="s">
        <v>21</v>
      </c>
      <c r="Q1518" t="s">
        <v>48</v>
      </c>
      <c r="R1518">
        <v>0.39</v>
      </c>
      <c r="S1518" s="1">
        <v>41087</v>
      </c>
      <c r="T1518" t="str">
        <f t="shared" si="47"/>
        <v>27-Jun-2012</v>
      </c>
    </row>
    <row r="1519" spans="1:20" x14ac:dyDescent="0.3">
      <c r="A1519">
        <v>27717</v>
      </c>
      <c r="B1519" s="1">
        <v>40842</v>
      </c>
      <c r="C1519" t="s">
        <v>43</v>
      </c>
      <c r="D1519" t="str">
        <f t="shared" si="46"/>
        <v>26-Oct-2011</v>
      </c>
      <c r="E1519">
        <v>19</v>
      </c>
      <c r="F1519" s="13">
        <v>75.19</v>
      </c>
      <c r="G1519">
        <v>0.05</v>
      </c>
      <c r="H1519" t="s">
        <v>19</v>
      </c>
      <c r="I1519" s="13">
        <v>-93.67</v>
      </c>
      <c r="J1519">
        <v>3.75</v>
      </c>
      <c r="K1519">
        <v>7.5</v>
      </c>
      <c r="L1519" t="s">
        <v>335</v>
      </c>
      <c r="M1519" t="s">
        <v>101</v>
      </c>
      <c r="N1519" s="5" t="s">
        <v>102</v>
      </c>
      <c r="O1519" t="s">
        <v>28</v>
      </c>
      <c r="P1519" t="s">
        <v>21</v>
      </c>
      <c r="Q1519" t="s">
        <v>48</v>
      </c>
      <c r="R1519">
        <v>0.37</v>
      </c>
      <c r="S1519" s="1">
        <v>40845</v>
      </c>
      <c r="T1519" t="str">
        <f t="shared" si="47"/>
        <v>29-Oct-2011</v>
      </c>
    </row>
    <row r="1520" spans="1:20" x14ac:dyDescent="0.3">
      <c r="A1520">
        <v>27364</v>
      </c>
      <c r="B1520" s="1">
        <v>40683</v>
      </c>
      <c r="C1520" t="s">
        <v>38</v>
      </c>
      <c r="D1520" t="str">
        <f t="shared" si="46"/>
        <v>20-May-2011</v>
      </c>
      <c r="E1520">
        <v>25</v>
      </c>
      <c r="F1520" s="13">
        <v>74.069999999999993</v>
      </c>
      <c r="G1520">
        <v>0.04</v>
      </c>
      <c r="H1520" t="s">
        <v>19</v>
      </c>
      <c r="I1520" s="13">
        <v>4.37</v>
      </c>
      <c r="J1520">
        <v>2.88</v>
      </c>
      <c r="K1520">
        <v>1.49</v>
      </c>
      <c r="L1520" t="s">
        <v>162</v>
      </c>
      <c r="M1520" t="s">
        <v>101</v>
      </c>
      <c r="N1520" s="5" t="s">
        <v>102</v>
      </c>
      <c r="O1520" t="s">
        <v>28</v>
      </c>
      <c r="P1520" t="s">
        <v>21</v>
      </c>
      <c r="Q1520" t="s">
        <v>26</v>
      </c>
      <c r="R1520">
        <v>0.36</v>
      </c>
      <c r="S1520" s="1">
        <v>40685</v>
      </c>
      <c r="T1520" t="str">
        <f t="shared" si="47"/>
        <v>22-May-2011</v>
      </c>
    </row>
    <row r="1521" spans="1:20" x14ac:dyDescent="0.3">
      <c r="A1521">
        <v>45025</v>
      </c>
      <c r="B1521" s="1">
        <v>40644</v>
      </c>
      <c r="C1521" t="s">
        <v>23</v>
      </c>
      <c r="D1521" t="str">
        <f t="shared" si="46"/>
        <v>11-Apr-2011</v>
      </c>
      <c r="E1521">
        <v>26</v>
      </c>
      <c r="F1521" s="13">
        <v>73.819999999999993</v>
      </c>
      <c r="G1521">
        <v>0.08</v>
      </c>
      <c r="H1521" t="s">
        <v>19</v>
      </c>
      <c r="I1521" s="13">
        <v>2.0099999999999998</v>
      </c>
      <c r="J1521">
        <v>2.88</v>
      </c>
      <c r="K1521">
        <v>1.49</v>
      </c>
      <c r="L1521" t="s">
        <v>147</v>
      </c>
      <c r="M1521" t="s">
        <v>101</v>
      </c>
      <c r="N1521" s="5" t="s">
        <v>102</v>
      </c>
      <c r="O1521" t="s">
        <v>28</v>
      </c>
      <c r="P1521" t="s">
        <v>21</v>
      </c>
      <c r="Q1521" t="s">
        <v>26</v>
      </c>
      <c r="R1521">
        <v>0.36</v>
      </c>
      <c r="S1521" s="1">
        <v>40647</v>
      </c>
      <c r="T1521" t="str">
        <f t="shared" si="47"/>
        <v>14-Apr-2011</v>
      </c>
    </row>
    <row r="1522" spans="1:20" x14ac:dyDescent="0.3">
      <c r="A1522">
        <v>17632</v>
      </c>
      <c r="B1522" s="1">
        <v>40230</v>
      </c>
      <c r="C1522" t="s">
        <v>38</v>
      </c>
      <c r="D1522" t="str">
        <f t="shared" si="46"/>
        <v>21-Feb-2010</v>
      </c>
      <c r="E1522">
        <v>38</v>
      </c>
      <c r="F1522" s="13">
        <v>71.12</v>
      </c>
      <c r="G1522">
        <v>0.1</v>
      </c>
      <c r="H1522" t="s">
        <v>19</v>
      </c>
      <c r="I1522" s="13">
        <v>-21.89</v>
      </c>
      <c r="J1522">
        <v>1.98</v>
      </c>
      <c r="K1522">
        <v>0.7</v>
      </c>
      <c r="L1522" t="s">
        <v>154</v>
      </c>
      <c r="M1522" t="s">
        <v>101</v>
      </c>
      <c r="N1522" s="5" t="s">
        <v>102</v>
      </c>
      <c r="O1522" t="s">
        <v>28</v>
      </c>
      <c r="P1522" t="s">
        <v>21</v>
      </c>
      <c r="Q1522" t="s">
        <v>39</v>
      </c>
      <c r="R1522">
        <v>0.83</v>
      </c>
      <c r="S1522" s="1">
        <v>40231</v>
      </c>
      <c r="T1522" t="str">
        <f t="shared" si="47"/>
        <v>22-Feb-2010</v>
      </c>
    </row>
    <row r="1523" spans="1:20" x14ac:dyDescent="0.3">
      <c r="A1523">
        <v>52070</v>
      </c>
      <c r="B1523" s="1">
        <v>40148</v>
      </c>
      <c r="C1523" t="s">
        <v>31</v>
      </c>
      <c r="D1523" t="str">
        <f t="shared" si="46"/>
        <v>01-Dec-2009</v>
      </c>
      <c r="E1523">
        <v>29</v>
      </c>
      <c r="F1523" s="13">
        <v>67.97</v>
      </c>
      <c r="G1523">
        <v>0.06</v>
      </c>
      <c r="H1523" t="s">
        <v>19</v>
      </c>
      <c r="I1523" s="13">
        <v>-109.94</v>
      </c>
      <c r="J1523">
        <v>2.2799999999999998</v>
      </c>
      <c r="K1523">
        <v>5.2</v>
      </c>
      <c r="L1523" t="s">
        <v>220</v>
      </c>
      <c r="M1523" t="s">
        <v>101</v>
      </c>
      <c r="N1523" s="5" t="s">
        <v>102</v>
      </c>
      <c r="O1523" t="s">
        <v>28</v>
      </c>
      <c r="P1523" t="s">
        <v>21</v>
      </c>
      <c r="Q1523" t="s">
        <v>50</v>
      </c>
      <c r="R1523">
        <v>0.41</v>
      </c>
      <c r="S1523" s="1">
        <v>40150</v>
      </c>
      <c r="T1523" t="str">
        <f t="shared" si="47"/>
        <v>03-Dec-2009</v>
      </c>
    </row>
    <row r="1524" spans="1:20" x14ac:dyDescent="0.3">
      <c r="A1524">
        <v>19621</v>
      </c>
      <c r="B1524" s="1">
        <v>40793</v>
      </c>
      <c r="C1524" t="s">
        <v>43</v>
      </c>
      <c r="D1524" t="str">
        <f t="shared" si="46"/>
        <v>07-Sep-2011</v>
      </c>
      <c r="E1524">
        <v>20</v>
      </c>
      <c r="F1524" s="13">
        <v>67.03</v>
      </c>
      <c r="G1524">
        <v>0.04</v>
      </c>
      <c r="H1524" t="s">
        <v>19</v>
      </c>
      <c r="I1524" s="13">
        <v>-30.4</v>
      </c>
      <c r="J1524">
        <v>3.14</v>
      </c>
      <c r="K1524">
        <v>1.92</v>
      </c>
      <c r="L1524" t="s">
        <v>249</v>
      </c>
      <c r="M1524" t="s">
        <v>101</v>
      </c>
      <c r="N1524" s="5" t="s">
        <v>102</v>
      </c>
      <c r="O1524" t="s">
        <v>28</v>
      </c>
      <c r="P1524" t="s">
        <v>21</v>
      </c>
      <c r="Q1524" t="s">
        <v>67</v>
      </c>
      <c r="R1524">
        <v>0.84</v>
      </c>
      <c r="S1524" s="1">
        <v>40794</v>
      </c>
      <c r="T1524" t="str">
        <f t="shared" si="47"/>
        <v>08-Sep-2011</v>
      </c>
    </row>
    <row r="1525" spans="1:20" x14ac:dyDescent="0.3">
      <c r="A1525">
        <v>19557</v>
      </c>
      <c r="B1525" s="1">
        <v>40846</v>
      </c>
      <c r="C1525" t="s">
        <v>18</v>
      </c>
      <c r="D1525" t="str">
        <f t="shared" si="46"/>
        <v>30-Oct-2011</v>
      </c>
      <c r="E1525">
        <v>26</v>
      </c>
      <c r="F1525" s="13">
        <v>66.599999999999994</v>
      </c>
      <c r="G1525">
        <v>0.08</v>
      </c>
      <c r="H1525" t="s">
        <v>19</v>
      </c>
      <c r="I1525" s="13">
        <v>13.99</v>
      </c>
      <c r="J1525">
        <v>2.62</v>
      </c>
      <c r="K1525">
        <v>0.8</v>
      </c>
      <c r="L1525" t="s">
        <v>323</v>
      </c>
      <c r="M1525" t="s">
        <v>101</v>
      </c>
      <c r="N1525" s="5" t="s">
        <v>102</v>
      </c>
      <c r="O1525" t="s">
        <v>28</v>
      </c>
      <c r="P1525" t="s">
        <v>21</v>
      </c>
      <c r="Q1525" t="s">
        <v>39</v>
      </c>
      <c r="R1525">
        <v>0.39</v>
      </c>
      <c r="S1525" s="1">
        <v>40850</v>
      </c>
      <c r="T1525" t="str">
        <f t="shared" si="47"/>
        <v>03-Nov-2011</v>
      </c>
    </row>
    <row r="1526" spans="1:20" x14ac:dyDescent="0.3">
      <c r="A1526">
        <v>38979</v>
      </c>
      <c r="B1526" s="1">
        <v>40235</v>
      </c>
      <c r="C1526" t="s">
        <v>18</v>
      </c>
      <c r="D1526" t="str">
        <f t="shared" si="46"/>
        <v>26-Feb-2010</v>
      </c>
      <c r="E1526">
        <v>31</v>
      </c>
      <c r="F1526" s="13">
        <v>65.61</v>
      </c>
      <c r="G1526">
        <v>0.02</v>
      </c>
      <c r="H1526" t="s">
        <v>19</v>
      </c>
      <c r="I1526" s="13">
        <v>-16.63</v>
      </c>
      <c r="J1526">
        <v>1.95</v>
      </c>
      <c r="K1526">
        <v>1.63</v>
      </c>
      <c r="L1526" t="s">
        <v>321</v>
      </c>
      <c r="M1526" t="s">
        <v>101</v>
      </c>
      <c r="N1526" s="5" t="s">
        <v>102</v>
      </c>
      <c r="O1526" t="s">
        <v>28</v>
      </c>
      <c r="P1526" t="s">
        <v>21</v>
      </c>
      <c r="Q1526" t="s">
        <v>50</v>
      </c>
      <c r="R1526">
        <v>0.46</v>
      </c>
      <c r="S1526" s="1">
        <v>40240</v>
      </c>
      <c r="T1526" t="str">
        <f t="shared" si="47"/>
        <v>03-Mar-2010</v>
      </c>
    </row>
    <row r="1527" spans="1:20" x14ac:dyDescent="0.3">
      <c r="A1527">
        <v>3108</v>
      </c>
      <c r="B1527" s="1">
        <v>40394</v>
      </c>
      <c r="C1527" t="s">
        <v>43</v>
      </c>
      <c r="D1527" t="str">
        <f t="shared" si="46"/>
        <v>04-Aug-2010</v>
      </c>
      <c r="E1527">
        <v>36</v>
      </c>
      <c r="F1527" s="13">
        <v>65.39</v>
      </c>
      <c r="G1527">
        <v>0.09</v>
      </c>
      <c r="H1527" t="s">
        <v>19</v>
      </c>
      <c r="I1527" s="13">
        <v>-0.46</v>
      </c>
      <c r="J1527">
        <v>1.82</v>
      </c>
      <c r="K1527">
        <v>1</v>
      </c>
      <c r="L1527" t="s">
        <v>54</v>
      </c>
      <c r="M1527" t="s">
        <v>101</v>
      </c>
      <c r="N1527" s="5" t="s">
        <v>102</v>
      </c>
      <c r="O1527" t="s">
        <v>28</v>
      </c>
      <c r="P1527" t="s">
        <v>21</v>
      </c>
      <c r="Q1527" t="s">
        <v>50</v>
      </c>
      <c r="R1527">
        <v>0.4</v>
      </c>
      <c r="S1527" s="1">
        <v>40395</v>
      </c>
      <c r="T1527" t="str">
        <f t="shared" si="47"/>
        <v>05-Aug-2010</v>
      </c>
    </row>
    <row r="1528" spans="1:20" x14ac:dyDescent="0.3">
      <c r="A1528">
        <v>46948</v>
      </c>
      <c r="B1528" s="1">
        <v>40318</v>
      </c>
      <c r="C1528" t="s">
        <v>18</v>
      </c>
      <c r="D1528" t="str">
        <f t="shared" si="46"/>
        <v>20-May-2010</v>
      </c>
      <c r="E1528">
        <v>10</v>
      </c>
      <c r="F1528" s="13">
        <v>64.13</v>
      </c>
      <c r="G1528">
        <v>0.1</v>
      </c>
      <c r="H1528" t="s">
        <v>19</v>
      </c>
      <c r="I1528" s="13">
        <v>-28.97</v>
      </c>
      <c r="J1528">
        <v>6.54</v>
      </c>
      <c r="K1528">
        <v>5.27</v>
      </c>
      <c r="L1528" t="s">
        <v>147</v>
      </c>
      <c r="M1528" t="s">
        <v>101</v>
      </c>
      <c r="N1528" s="5" t="s">
        <v>102</v>
      </c>
      <c r="O1528" t="s">
        <v>28</v>
      </c>
      <c r="P1528" t="s">
        <v>21</v>
      </c>
      <c r="Q1528" t="s">
        <v>26</v>
      </c>
      <c r="R1528">
        <v>0.36</v>
      </c>
      <c r="S1528" s="1">
        <v>40322</v>
      </c>
      <c r="T1528" t="str">
        <f t="shared" si="47"/>
        <v>24-May-2010</v>
      </c>
    </row>
    <row r="1529" spans="1:20" x14ac:dyDescent="0.3">
      <c r="A1529">
        <v>801</v>
      </c>
      <c r="B1529" s="1">
        <v>40956</v>
      </c>
      <c r="C1529" t="s">
        <v>43</v>
      </c>
      <c r="D1529" t="str">
        <f t="shared" si="46"/>
        <v>17-Feb-2012</v>
      </c>
      <c r="E1529">
        <v>20</v>
      </c>
      <c r="F1529" s="13">
        <v>59.85</v>
      </c>
      <c r="G1529">
        <v>0.03</v>
      </c>
      <c r="H1529" t="s">
        <v>19</v>
      </c>
      <c r="I1529" s="13">
        <v>-47.41</v>
      </c>
      <c r="J1529">
        <v>2.74</v>
      </c>
      <c r="K1529">
        <v>3.5</v>
      </c>
      <c r="L1529" t="s">
        <v>325</v>
      </c>
      <c r="M1529" t="s">
        <v>101</v>
      </c>
      <c r="N1529" s="5" t="s">
        <v>102</v>
      </c>
      <c r="O1529" t="s">
        <v>28</v>
      </c>
      <c r="P1529" t="s">
        <v>21</v>
      </c>
      <c r="Q1529" t="s">
        <v>50</v>
      </c>
      <c r="R1529">
        <v>0.57999999999999996</v>
      </c>
      <c r="S1529" s="1">
        <v>40959</v>
      </c>
      <c r="T1529" t="str">
        <f t="shared" si="47"/>
        <v>20-Feb-2012</v>
      </c>
    </row>
    <row r="1530" spans="1:20" x14ac:dyDescent="0.3">
      <c r="A1530">
        <v>44196</v>
      </c>
      <c r="B1530" s="1">
        <v>40047</v>
      </c>
      <c r="C1530" t="s">
        <v>31</v>
      </c>
      <c r="D1530" t="str">
        <f t="shared" si="46"/>
        <v>22-Aug-2009</v>
      </c>
      <c r="E1530">
        <v>10</v>
      </c>
      <c r="F1530" s="13">
        <v>56.91</v>
      </c>
      <c r="G1530">
        <v>0.01</v>
      </c>
      <c r="H1530" t="s">
        <v>19</v>
      </c>
      <c r="I1530" s="13">
        <v>7.5</v>
      </c>
      <c r="J1530">
        <v>5.18</v>
      </c>
      <c r="K1530">
        <v>2.04</v>
      </c>
      <c r="L1530" t="s">
        <v>265</v>
      </c>
      <c r="M1530" t="s">
        <v>101</v>
      </c>
      <c r="N1530" s="5" t="s">
        <v>102</v>
      </c>
      <c r="O1530" t="s">
        <v>28</v>
      </c>
      <c r="P1530" t="s">
        <v>21</v>
      </c>
      <c r="Q1530" t="s">
        <v>37</v>
      </c>
      <c r="R1530">
        <v>0.36</v>
      </c>
      <c r="S1530" s="1">
        <v>40049</v>
      </c>
      <c r="T1530" t="str">
        <f t="shared" si="47"/>
        <v>24-Aug-2009</v>
      </c>
    </row>
    <row r="1531" spans="1:20" x14ac:dyDescent="0.3">
      <c r="A1531">
        <v>13762</v>
      </c>
      <c r="B1531" s="1">
        <v>40350</v>
      </c>
      <c r="C1531" t="s">
        <v>38</v>
      </c>
      <c r="D1531" t="str">
        <f t="shared" si="46"/>
        <v>21-Jun-2010</v>
      </c>
      <c r="E1531">
        <v>8</v>
      </c>
      <c r="F1531" s="13">
        <v>55</v>
      </c>
      <c r="G1531">
        <v>0.05</v>
      </c>
      <c r="H1531" t="s">
        <v>19</v>
      </c>
      <c r="I1531" s="13">
        <v>-23.62</v>
      </c>
      <c r="J1531">
        <v>6.28</v>
      </c>
      <c r="K1531">
        <v>5.36</v>
      </c>
      <c r="L1531" t="s">
        <v>307</v>
      </c>
      <c r="M1531" t="s">
        <v>101</v>
      </c>
      <c r="N1531" s="5" t="s">
        <v>102</v>
      </c>
      <c r="O1531" t="s">
        <v>28</v>
      </c>
      <c r="P1531" t="s">
        <v>21</v>
      </c>
      <c r="Q1531" t="s">
        <v>26</v>
      </c>
      <c r="R1531">
        <v>0.4</v>
      </c>
      <c r="S1531" s="1">
        <v>40353</v>
      </c>
      <c r="T1531" t="str">
        <f t="shared" si="47"/>
        <v>24-Jun-2010</v>
      </c>
    </row>
    <row r="1532" spans="1:20" x14ac:dyDescent="0.3">
      <c r="A1532">
        <v>13762</v>
      </c>
      <c r="B1532" s="1">
        <v>40350</v>
      </c>
      <c r="C1532" t="s">
        <v>38</v>
      </c>
      <c r="D1532" t="str">
        <f t="shared" si="46"/>
        <v>21-Jun-2010</v>
      </c>
      <c r="E1532">
        <v>7</v>
      </c>
      <c r="F1532" s="13">
        <v>51.66</v>
      </c>
      <c r="G1532">
        <v>0.06</v>
      </c>
      <c r="H1532" t="s">
        <v>19</v>
      </c>
      <c r="I1532" s="13">
        <v>7.4</v>
      </c>
      <c r="J1532">
        <v>7.64</v>
      </c>
      <c r="K1532">
        <v>1.39</v>
      </c>
      <c r="L1532" t="s">
        <v>307</v>
      </c>
      <c r="M1532" t="s">
        <v>101</v>
      </c>
      <c r="N1532" s="5" t="s">
        <v>102</v>
      </c>
      <c r="O1532" t="s">
        <v>28</v>
      </c>
      <c r="P1532" t="s">
        <v>21</v>
      </c>
      <c r="Q1532" t="s">
        <v>42</v>
      </c>
      <c r="R1532">
        <v>0.36</v>
      </c>
      <c r="S1532" s="1">
        <v>40352</v>
      </c>
      <c r="T1532" t="str">
        <f t="shared" si="47"/>
        <v>23-Jun-2010</v>
      </c>
    </row>
    <row r="1533" spans="1:20" x14ac:dyDescent="0.3">
      <c r="A1533">
        <v>16005</v>
      </c>
      <c r="B1533" s="1">
        <v>41267</v>
      </c>
      <c r="C1533" t="s">
        <v>31</v>
      </c>
      <c r="D1533" t="str">
        <f t="shared" si="46"/>
        <v>24-Dec-2012</v>
      </c>
      <c r="E1533">
        <v>7</v>
      </c>
      <c r="F1533" s="13">
        <v>51.03</v>
      </c>
      <c r="G1533">
        <v>0.09</v>
      </c>
      <c r="H1533" t="s">
        <v>19</v>
      </c>
      <c r="I1533" s="13">
        <v>-21.38</v>
      </c>
      <c r="J1533">
        <v>6.81</v>
      </c>
      <c r="K1533">
        <v>5.48</v>
      </c>
      <c r="L1533" t="s">
        <v>331</v>
      </c>
      <c r="M1533" t="s">
        <v>101</v>
      </c>
      <c r="N1533" s="5" t="s">
        <v>102</v>
      </c>
      <c r="O1533" t="s">
        <v>28</v>
      </c>
      <c r="P1533" t="s">
        <v>21</v>
      </c>
      <c r="Q1533" t="s">
        <v>26</v>
      </c>
      <c r="R1533">
        <v>0.37</v>
      </c>
      <c r="S1533" s="1">
        <v>41269</v>
      </c>
      <c r="T1533" t="str">
        <f t="shared" si="47"/>
        <v>26-Dec-2012</v>
      </c>
    </row>
    <row r="1534" spans="1:20" x14ac:dyDescent="0.3">
      <c r="A1534">
        <v>42823</v>
      </c>
      <c r="B1534" s="1">
        <v>40354</v>
      </c>
      <c r="C1534" t="s">
        <v>38</v>
      </c>
      <c r="D1534" t="str">
        <f t="shared" si="46"/>
        <v>25-Jun-2010</v>
      </c>
      <c r="E1534">
        <v>8</v>
      </c>
      <c r="F1534" s="13">
        <v>49.14</v>
      </c>
      <c r="G1534">
        <v>0.05</v>
      </c>
      <c r="H1534" t="s">
        <v>35</v>
      </c>
      <c r="I1534" s="13">
        <v>-22.56</v>
      </c>
      <c r="J1534">
        <v>4.28</v>
      </c>
      <c r="K1534">
        <v>6.18</v>
      </c>
      <c r="L1534" t="s">
        <v>321</v>
      </c>
      <c r="M1534" t="s">
        <v>101</v>
      </c>
      <c r="N1534" s="5" t="s">
        <v>102</v>
      </c>
      <c r="O1534" t="s">
        <v>28</v>
      </c>
      <c r="P1534" t="s">
        <v>21</v>
      </c>
      <c r="Q1534" t="s">
        <v>37</v>
      </c>
      <c r="R1534">
        <v>0.4</v>
      </c>
      <c r="S1534" s="1">
        <v>40356</v>
      </c>
      <c r="T1534" t="str">
        <f t="shared" si="47"/>
        <v>27-Jun-2010</v>
      </c>
    </row>
    <row r="1535" spans="1:20" x14ac:dyDescent="0.3">
      <c r="A1535">
        <v>49763</v>
      </c>
      <c r="B1535" s="1">
        <v>40587</v>
      </c>
      <c r="C1535" t="s">
        <v>43</v>
      </c>
      <c r="D1535" t="str">
        <f t="shared" si="46"/>
        <v>13-Feb-2011</v>
      </c>
      <c r="E1535">
        <v>8</v>
      </c>
      <c r="F1535" s="13">
        <v>49.04</v>
      </c>
      <c r="G1535">
        <v>0.02</v>
      </c>
      <c r="H1535" t="s">
        <v>19</v>
      </c>
      <c r="I1535" s="13">
        <v>9.2899999999999991</v>
      </c>
      <c r="J1535">
        <v>5.68</v>
      </c>
      <c r="K1535">
        <v>1.39</v>
      </c>
      <c r="L1535" t="s">
        <v>145</v>
      </c>
      <c r="M1535" t="s">
        <v>101</v>
      </c>
      <c r="N1535" s="5" t="s">
        <v>102</v>
      </c>
      <c r="O1535" t="s">
        <v>28</v>
      </c>
      <c r="P1535" t="s">
        <v>21</v>
      </c>
      <c r="Q1535" t="s">
        <v>42</v>
      </c>
      <c r="R1535">
        <v>0.38</v>
      </c>
      <c r="S1535" s="1">
        <v>40588</v>
      </c>
      <c r="T1535" t="str">
        <f t="shared" si="47"/>
        <v>14-Feb-2011</v>
      </c>
    </row>
    <row r="1536" spans="1:20" x14ac:dyDescent="0.3">
      <c r="A1536">
        <v>35461</v>
      </c>
      <c r="B1536" s="1">
        <v>39965</v>
      </c>
      <c r="C1536" t="s">
        <v>43</v>
      </c>
      <c r="D1536" t="str">
        <f t="shared" si="46"/>
        <v>01-Jun-2009</v>
      </c>
      <c r="E1536">
        <v>11</v>
      </c>
      <c r="F1536" s="13">
        <v>48.75</v>
      </c>
      <c r="G1536">
        <v>0.08</v>
      </c>
      <c r="H1536" t="s">
        <v>19</v>
      </c>
      <c r="I1536" s="13">
        <v>3.5</v>
      </c>
      <c r="J1536">
        <v>4.49</v>
      </c>
      <c r="K1536">
        <v>1.49</v>
      </c>
      <c r="L1536" t="s">
        <v>255</v>
      </c>
      <c r="M1536" t="s">
        <v>101</v>
      </c>
      <c r="N1536" s="5" t="s">
        <v>102</v>
      </c>
      <c r="O1536" t="s">
        <v>28</v>
      </c>
      <c r="P1536" t="s">
        <v>21</v>
      </c>
      <c r="Q1536" t="s">
        <v>26</v>
      </c>
      <c r="R1536">
        <v>0.39</v>
      </c>
      <c r="S1536" s="1">
        <v>39965</v>
      </c>
      <c r="T1536" t="str">
        <f t="shared" si="47"/>
        <v>01-Jun-2009</v>
      </c>
    </row>
    <row r="1537" spans="1:20" x14ac:dyDescent="0.3">
      <c r="A1537">
        <v>51009</v>
      </c>
      <c r="B1537" s="1">
        <v>40852</v>
      </c>
      <c r="C1537" t="s">
        <v>31</v>
      </c>
      <c r="D1537" t="str">
        <f t="shared" si="46"/>
        <v>05-Nov-2011</v>
      </c>
      <c r="E1537">
        <v>10</v>
      </c>
      <c r="F1537" s="13">
        <v>48</v>
      </c>
      <c r="G1537">
        <v>0.09</v>
      </c>
      <c r="H1537" t="s">
        <v>19</v>
      </c>
      <c r="I1537" s="13">
        <v>-29.14</v>
      </c>
      <c r="J1537">
        <v>4.18</v>
      </c>
      <c r="K1537">
        <v>6.92</v>
      </c>
      <c r="L1537" t="s">
        <v>322</v>
      </c>
      <c r="M1537" t="s">
        <v>101</v>
      </c>
      <c r="N1537" s="5" t="s">
        <v>102</v>
      </c>
      <c r="O1537" t="s">
        <v>28</v>
      </c>
      <c r="P1537" t="s">
        <v>32</v>
      </c>
      <c r="Q1537" t="s">
        <v>33</v>
      </c>
      <c r="R1537">
        <v>0.49</v>
      </c>
      <c r="S1537" s="1">
        <v>40854</v>
      </c>
      <c r="T1537" t="str">
        <f t="shared" si="47"/>
        <v>07-Nov-2011</v>
      </c>
    </row>
    <row r="1538" spans="1:20" x14ac:dyDescent="0.3">
      <c r="A1538">
        <v>33537</v>
      </c>
      <c r="B1538" s="1">
        <v>40403</v>
      </c>
      <c r="C1538" t="s">
        <v>38</v>
      </c>
      <c r="D1538" t="str">
        <f t="shared" ref="D1538:D1601" si="48">TEXT(B1538, "dd-mmm-yyyy" )</f>
        <v>13-Aug-2010</v>
      </c>
      <c r="E1538">
        <v>26</v>
      </c>
      <c r="F1538" s="13">
        <v>45.38</v>
      </c>
      <c r="G1538">
        <v>7.0000000000000007E-2</v>
      </c>
      <c r="H1538" t="s">
        <v>19</v>
      </c>
      <c r="I1538" s="13">
        <v>-1.97</v>
      </c>
      <c r="J1538">
        <v>1.76</v>
      </c>
      <c r="K1538">
        <v>0.7</v>
      </c>
      <c r="L1538" t="s">
        <v>329</v>
      </c>
      <c r="M1538" t="s">
        <v>101</v>
      </c>
      <c r="N1538" s="5" t="s">
        <v>102</v>
      </c>
      <c r="O1538" t="s">
        <v>28</v>
      </c>
      <c r="P1538" t="s">
        <v>21</v>
      </c>
      <c r="Q1538" t="s">
        <v>50</v>
      </c>
      <c r="R1538">
        <v>0.56000000000000005</v>
      </c>
      <c r="S1538" s="1">
        <v>40405</v>
      </c>
      <c r="T1538" t="str">
        <f t="shared" ref="T1538:T1601" si="49">TEXT(S1538, "dd-mmm-yyyy")</f>
        <v>15-Aug-2010</v>
      </c>
    </row>
    <row r="1539" spans="1:20" x14ac:dyDescent="0.3">
      <c r="A1539">
        <v>14756</v>
      </c>
      <c r="B1539" s="1">
        <v>40056</v>
      </c>
      <c r="C1539" t="s">
        <v>18</v>
      </c>
      <c r="D1539" t="str">
        <f t="shared" si="48"/>
        <v>31-Aug-2009</v>
      </c>
      <c r="E1539">
        <v>2</v>
      </c>
      <c r="F1539" s="13">
        <v>42.3</v>
      </c>
      <c r="G1539">
        <v>0.06</v>
      </c>
      <c r="H1539" t="s">
        <v>19</v>
      </c>
      <c r="I1539" s="13">
        <v>-25.38</v>
      </c>
      <c r="J1539">
        <v>19.23</v>
      </c>
      <c r="K1539">
        <v>6.15</v>
      </c>
      <c r="L1539" t="s">
        <v>321</v>
      </c>
      <c r="M1539" t="s">
        <v>101</v>
      </c>
      <c r="N1539" s="5" t="s">
        <v>102</v>
      </c>
      <c r="O1539" t="s">
        <v>28</v>
      </c>
      <c r="P1539" t="s">
        <v>32</v>
      </c>
      <c r="Q1539" t="s">
        <v>33</v>
      </c>
      <c r="R1539">
        <v>0.44</v>
      </c>
      <c r="S1539" s="1">
        <v>40056</v>
      </c>
      <c r="T1539" t="str">
        <f t="shared" si="49"/>
        <v>31-Aug-2009</v>
      </c>
    </row>
    <row r="1540" spans="1:20" x14ac:dyDescent="0.3">
      <c r="A1540">
        <v>50048</v>
      </c>
      <c r="B1540" s="1">
        <v>40196</v>
      </c>
      <c r="C1540" t="s">
        <v>23</v>
      </c>
      <c r="D1540" t="str">
        <f t="shared" si="48"/>
        <v>18-Jan-2010</v>
      </c>
      <c r="E1540">
        <v>14</v>
      </c>
      <c r="F1540" s="13">
        <v>35.479999999999997</v>
      </c>
      <c r="G1540">
        <v>0.09</v>
      </c>
      <c r="H1540" t="s">
        <v>19</v>
      </c>
      <c r="I1540" s="13">
        <v>-9.19</v>
      </c>
      <c r="J1540">
        <v>2.58</v>
      </c>
      <c r="K1540">
        <v>1.3</v>
      </c>
      <c r="L1540" t="s">
        <v>143</v>
      </c>
      <c r="M1540" t="s">
        <v>101</v>
      </c>
      <c r="N1540" s="5" t="s">
        <v>102</v>
      </c>
      <c r="O1540" t="s">
        <v>28</v>
      </c>
      <c r="P1540" t="s">
        <v>21</v>
      </c>
      <c r="Q1540" t="s">
        <v>50</v>
      </c>
      <c r="R1540">
        <v>0.59</v>
      </c>
      <c r="S1540" s="1">
        <v>40198</v>
      </c>
      <c r="T1540" t="str">
        <f t="shared" si="49"/>
        <v>20-Jan-2010</v>
      </c>
    </row>
    <row r="1541" spans="1:20" x14ac:dyDescent="0.3">
      <c r="A1541">
        <v>29282</v>
      </c>
      <c r="B1541" s="1">
        <v>41241</v>
      </c>
      <c r="C1541" t="s">
        <v>38</v>
      </c>
      <c r="D1541" t="str">
        <f t="shared" si="48"/>
        <v>28-Nov-2012</v>
      </c>
      <c r="E1541">
        <v>4</v>
      </c>
      <c r="F1541" s="13">
        <v>34.270000000000003</v>
      </c>
      <c r="G1541">
        <v>0.1</v>
      </c>
      <c r="H1541" t="s">
        <v>19</v>
      </c>
      <c r="I1541" s="13">
        <v>-26.44</v>
      </c>
      <c r="J1541">
        <v>6.48</v>
      </c>
      <c r="K1541">
        <v>9.5399999999999991</v>
      </c>
      <c r="L1541" t="s">
        <v>322</v>
      </c>
      <c r="M1541" t="s">
        <v>101</v>
      </c>
      <c r="N1541" s="5" t="s">
        <v>102</v>
      </c>
      <c r="O1541" t="s">
        <v>28</v>
      </c>
      <c r="P1541" t="s">
        <v>21</v>
      </c>
      <c r="Q1541" t="s">
        <v>37</v>
      </c>
      <c r="R1541">
        <v>0.37</v>
      </c>
      <c r="S1541" s="1">
        <v>41243</v>
      </c>
      <c r="T1541" t="str">
        <f t="shared" si="49"/>
        <v>30-Nov-2012</v>
      </c>
    </row>
    <row r="1542" spans="1:20" x14ac:dyDescent="0.3">
      <c r="A1542">
        <v>21444</v>
      </c>
      <c r="B1542" s="1">
        <v>40648</v>
      </c>
      <c r="C1542" t="s">
        <v>38</v>
      </c>
      <c r="D1542" t="str">
        <f t="shared" si="48"/>
        <v>15-Apr-2011</v>
      </c>
      <c r="E1542">
        <v>17</v>
      </c>
      <c r="F1542" s="13">
        <v>34.159999999999997</v>
      </c>
      <c r="G1542">
        <v>0.09</v>
      </c>
      <c r="H1542" t="s">
        <v>19</v>
      </c>
      <c r="I1542" s="13">
        <v>-2.29</v>
      </c>
      <c r="J1542">
        <v>2.1</v>
      </c>
      <c r="K1542">
        <v>0.7</v>
      </c>
      <c r="L1542" t="s">
        <v>331</v>
      </c>
      <c r="M1542" t="s">
        <v>101</v>
      </c>
      <c r="N1542" s="5" t="s">
        <v>102</v>
      </c>
      <c r="O1542" t="s">
        <v>28</v>
      </c>
      <c r="P1542" t="s">
        <v>21</v>
      </c>
      <c r="Q1542" t="s">
        <v>50</v>
      </c>
      <c r="R1542">
        <v>0.56999999999999995</v>
      </c>
      <c r="S1542" s="1">
        <v>40649</v>
      </c>
      <c r="T1542" t="str">
        <f t="shared" si="49"/>
        <v>16-Apr-2011</v>
      </c>
    </row>
    <row r="1543" spans="1:20" x14ac:dyDescent="0.3">
      <c r="A1543">
        <v>36838</v>
      </c>
      <c r="B1543" s="1">
        <v>39911</v>
      </c>
      <c r="C1543" t="s">
        <v>18</v>
      </c>
      <c r="D1543" t="str">
        <f t="shared" si="48"/>
        <v>08-Apr-2009</v>
      </c>
      <c r="E1543">
        <v>3</v>
      </c>
      <c r="F1543" s="13">
        <v>32.76</v>
      </c>
      <c r="G1543">
        <v>0.06</v>
      </c>
      <c r="H1543" t="s">
        <v>35</v>
      </c>
      <c r="I1543" s="13">
        <v>11.29</v>
      </c>
      <c r="J1543">
        <v>6.3</v>
      </c>
      <c r="K1543">
        <v>0.5</v>
      </c>
      <c r="L1543" t="s">
        <v>249</v>
      </c>
      <c r="M1543" t="s">
        <v>101</v>
      </c>
      <c r="N1543" s="5" t="s">
        <v>102</v>
      </c>
      <c r="O1543" t="s">
        <v>28</v>
      </c>
      <c r="P1543" t="s">
        <v>21</v>
      </c>
      <c r="Q1543" t="s">
        <v>48</v>
      </c>
      <c r="R1543">
        <v>0.39</v>
      </c>
      <c r="S1543" s="1">
        <v>39920</v>
      </c>
      <c r="T1543" t="str">
        <f t="shared" si="49"/>
        <v>17-Apr-2009</v>
      </c>
    </row>
    <row r="1544" spans="1:20" x14ac:dyDescent="0.3">
      <c r="A1544">
        <v>7783</v>
      </c>
      <c r="B1544" s="1">
        <v>40920</v>
      </c>
      <c r="C1544" t="s">
        <v>38</v>
      </c>
      <c r="D1544" t="str">
        <f t="shared" si="48"/>
        <v>12-Jan-2012</v>
      </c>
      <c r="E1544">
        <v>3</v>
      </c>
      <c r="F1544" s="13">
        <v>31.35</v>
      </c>
      <c r="G1544">
        <v>0.03</v>
      </c>
      <c r="H1544" t="s">
        <v>19</v>
      </c>
      <c r="I1544" s="13">
        <v>-14.62</v>
      </c>
      <c r="J1544">
        <v>8.85</v>
      </c>
      <c r="K1544">
        <v>5.6</v>
      </c>
      <c r="L1544" t="s">
        <v>333</v>
      </c>
      <c r="M1544" t="s">
        <v>101</v>
      </c>
      <c r="N1544" s="5" t="s">
        <v>102</v>
      </c>
      <c r="O1544" t="s">
        <v>28</v>
      </c>
      <c r="P1544" t="s">
        <v>21</v>
      </c>
      <c r="Q1544" t="s">
        <v>26</v>
      </c>
      <c r="R1544">
        <v>0.36</v>
      </c>
      <c r="S1544" s="1">
        <v>40921</v>
      </c>
      <c r="T1544" t="str">
        <f t="shared" si="49"/>
        <v>13-Jan-2012</v>
      </c>
    </row>
    <row r="1545" spans="1:20" x14ac:dyDescent="0.3">
      <c r="A1545">
        <v>34180</v>
      </c>
      <c r="B1545" s="1">
        <v>40789</v>
      </c>
      <c r="C1545" t="s">
        <v>23</v>
      </c>
      <c r="D1545" t="str">
        <f t="shared" si="48"/>
        <v>03-Sep-2011</v>
      </c>
      <c r="E1545">
        <v>2</v>
      </c>
      <c r="F1545" s="13">
        <v>27</v>
      </c>
      <c r="G1545">
        <v>0.02</v>
      </c>
      <c r="H1545" t="s">
        <v>35</v>
      </c>
      <c r="I1545" s="13">
        <v>-4.9000000000000004</v>
      </c>
      <c r="J1545">
        <v>5.78</v>
      </c>
      <c r="K1545">
        <v>8.09</v>
      </c>
      <c r="L1545" t="s">
        <v>249</v>
      </c>
      <c r="M1545" t="s">
        <v>101</v>
      </c>
      <c r="N1545" s="5" t="s">
        <v>102</v>
      </c>
      <c r="O1545" t="s">
        <v>28</v>
      </c>
      <c r="P1545" t="s">
        <v>21</v>
      </c>
      <c r="Q1545" t="s">
        <v>37</v>
      </c>
      <c r="R1545">
        <v>0.36</v>
      </c>
      <c r="S1545" s="1">
        <v>40789</v>
      </c>
      <c r="T1545" t="str">
        <f t="shared" si="49"/>
        <v>03-Sep-2011</v>
      </c>
    </row>
    <row r="1546" spans="1:20" x14ac:dyDescent="0.3">
      <c r="A1546">
        <v>18592</v>
      </c>
      <c r="B1546" s="1">
        <v>41182</v>
      </c>
      <c r="C1546" t="s">
        <v>43</v>
      </c>
      <c r="D1546" t="str">
        <f t="shared" si="48"/>
        <v>30-Sep-2012</v>
      </c>
      <c r="E1546">
        <v>2</v>
      </c>
      <c r="F1546" s="13">
        <v>25.72</v>
      </c>
      <c r="G1546">
        <v>0.04</v>
      </c>
      <c r="H1546" t="s">
        <v>19</v>
      </c>
      <c r="I1546" s="13">
        <v>-15.5</v>
      </c>
      <c r="J1546">
        <v>10.98</v>
      </c>
      <c r="K1546">
        <v>3.37</v>
      </c>
      <c r="L1546" t="s">
        <v>337</v>
      </c>
      <c r="M1546" t="s">
        <v>101</v>
      </c>
      <c r="N1546" s="5" t="s">
        <v>102</v>
      </c>
      <c r="O1546" t="s">
        <v>28</v>
      </c>
      <c r="P1546" t="s">
        <v>21</v>
      </c>
      <c r="Q1546" t="s">
        <v>67</v>
      </c>
      <c r="R1546">
        <v>0.56999999999999995</v>
      </c>
      <c r="S1546" s="1">
        <v>41183</v>
      </c>
      <c r="T1546" t="str">
        <f t="shared" si="49"/>
        <v>01-Oct-2012</v>
      </c>
    </row>
    <row r="1547" spans="1:20" x14ac:dyDescent="0.3">
      <c r="A1547">
        <v>49123</v>
      </c>
      <c r="B1547" s="1">
        <v>39869</v>
      </c>
      <c r="C1547" t="s">
        <v>23</v>
      </c>
      <c r="D1547" t="str">
        <f t="shared" si="48"/>
        <v>25-Feb-2009</v>
      </c>
      <c r="E1547">
        <v>3</v>
      </c>
      <c r="F1547" s="13">
        <v>25.48</v>
      </c>
      <c r="G1547">
        <v>0.06</v>
      </c>
      <c r="H1547" t="s">
        <v>19</v>
      </c>
      <c r="I1547" s="13">
        <v>-26.8</v>
      </c>
      <c r="J1547">
        <v>8.33</v>
      </c>
      <c r="K1547">
        <v>1.99</v>
      </c>
      <c r="L1547" t="s">
        <v>329</v>
      </c>
      <c r="M1547" t="s">
        <v>101</v>
      </c>
      <c r="N1547" s="5" t="s">
        <v>102</v>
      </c>
      <c r="O1547" t="s">
        <v>28</v>
      </c>
      <c r="P1547" t="s">
        <v>29</v>
      </c>
      <c r="Q1547" t="s">
        <v>41</v>
      </c>
      <c r="R1547">
        <v>0.52</v>
      </c>
      <c r="S1547" s="1">
        <v>39870</v>
      </c>
      <c r="T1547" t="str">
        <f t="shared" si="49"/>
        <v>26-Feb-2009</v>
      </c>
    </row>
    <row r="1548" spans="1:20" x14ac:dyDescent="0.3">
      <c r="A1548">
        <v>37696</v>
      </c>
      <c r="B1548" s="1">
        <v>40003</v>
      </c>
      <c r="C1548" t="s">
        <v>31</v>
      </c>
      <c r="D1548" t="str">
        <f t="shared" si="48"/>
        <v>09-Jul-2009</v>
      </c>
      <c r="E1548">
        <v>5</v>
      </c>
      <c r="F1548" s="13">
        <v>24.09</v>
      </c>
      <c r="G1548">
        <v>0.04</v>
      </c>
      <c r="H1548" t="s">
        <v>19</v>
      </c>
      <c r="I1548" s="13">
        <v>-20.23</v>
      </c>
      <c r="J1548">
        <v>3.81</v>
      </c>
      <c r="K1548">
        <v>5.44</v>
      </c>
      <c r="L1548" t="s">
        <v>323</v>
      </c>
      <c r="M1548" t="s">
        <v>101</v>
      </c>
      <c r="N1548" s="5" t="s">
        <v>102</v>
      </c>
      <c r="O1548" t="s">
        <v>28</v>
      </c>
      <c r="P1548" t="s">
        <v>21</v>
      </c>
      <c r="Q1548" t="s">
        <v>26</v>
      </c>
      <c r="R1548">
        <v>0.36</v>
      </c>
      <c r="S1548" s="1">
        <v>40005</v>
      </c>
      <c r="T1548" t="str">
        <f t="shared" si="49"/>
        <v>11-Jul-2009</v>
      </c>
    </row>
    <row r="1549" spans="1:20" x14ac:dyDescent="0.3">
      <c r="A1549">
        <v>3553</v>
      </c>
      <c r="B1549" s="1">
        <v>39950</v>
      </c>
      <c r="C1549" t="s">
        <v>38</v>
      </c>
      <c r="D1549" t="str">
        <f t="shared" si="48"/>
        <v>17-May-2009</v>
      </c>
      <c r="E1549">
        <v>7</v>
      </c>
      <c r="F1549" s="13">
        <v>20.5</v>
      </c>
      <c r="G1549">
        <v>0.06</v>
      </c>
      <c r="H1549" t="s">
        <v>19</v>
      </c>
      <c r="I1549" s="13">
        <v>-4.04</v>
      </c>
      <c r="J1549">
        <v>2.94</v>
      </c>
      <c r="K1549">
        <v>0.96</v>
      </c>
      <c r="L1549" t="s">
        <v>80</v>
      </c>
      <c r="M1549" t="s">
        <v>101</v>
      </c>
      <c r="N1549" s="5" t="s">
        <v>102</v>
      </c>
      <c r="O1549" t="s">
        <v>28</v>
      </c>
      <c r="P1549" t="s">
        <v>21</v>
      </c>
      <c r="Q1549" t="s">
        <v>50</v>
      </c>
      <c r="R1549">
        <v>0.57999999999999996</v>
      </c>
      <c r="S1549" s="1">
        <v>39951</v>
      </c>
      <c r="T1549" t="str">
        <f t="shared" si="49"/>
        <v>18-May-2009</v>
      </c>
    </row>
    <row r="1550" spans="1:20" x14ac:dyDescent="0.3">
      <c r="A1550">
        <v>44422</v>
      </c>
      <c r="B1550" s="1">
        <v>41012</v>
      </c>
      <c r="C1550" t="s">
        <v>38</v>
      </c>
      <c r="D1550" t="str">
        <f t="shared" si="48"/>
        <v>13-Apr-2012</v>
      </c>
      <c r="E1550">
        <v>1</v>
      </c>
      <c r="F1550" s="13">
        <v>15.72</v>
      </c>
      <c r="G1550">
        <v>0</v>
      </c>
      <c r="H1550" t="s">
        <v>19</v>
      </c>
      <c r="I1550" s="13">
        <v>-6.1</v>
      </c>
      <c r="J1550">
        <v>10.89</v>
      </c>
      <c r="K1550">
        <v>4.5</v>
      </c>
      <c r="L1550" t="s">
        <v>325</v>
      </c>
      <c r="M1550" t="s">
        <v>101</v>
      </c>
      <c r="N1550" s="5" t="s">
        <v>102</v>
      </c>
      <c r="O1550" t="s">
        <v>28</v>
      </c>
      <c r="P1550" t="s">
        <v>21</v>
      </c>
      <c r="Q1550" t="s">
        <v>25</v>
      </c>
      <c r="R1550">
        <v>0.59</v>
      </c>
      <c r="S1550" s="1">
        <v>41014</v>
      </c>
      <c r="T1550" t="str">
        <f t="shared" si="49"/>
        <v>15-Apr-2012</v>
      </c>
    </row>
    <row r="1551" spans="1:20" x14ac:dyDescent="0.3">
      <c r="A1551">
        <v>52160</v>
      </c>
      <c r="B1551" s="1">
        <v>40727</v>
      </c>
      <c r="C1551" t="s">
        <v>43</v>
      </c>
      <c r="D1551" t="str">
        <f t="shared" si="48"/>
        <v>03-Jul-2011</v>
      </c>
      <c r="E1551">
        <v>5</v>
      </c>
      <c r="F1551" s="13">
        <v>15.6</v>
      </c>
      <c r="G1551">
        <v>0.09</v>
      </c>
      <c r="H1551" t="s">
        <v>35</v>
      </c>
      <c r="I1551" s="13">
        <v>1.67</v>
      </c>
      <c r="J1551">
        <v>2.1800000000000002</v>
      </c>
      <c r="K1551">
        <v>0.78</v>
      </c>
      <c r="L1551" t="s">
        <v>54</v>
      </c>
      <c r="M1551" t="s">
        <v>101</v>
      </c>
      <c r="N1551" s="5" t="s">
        <v>102</v>
      </c>
      <c r="O1551" t="s">
        <v>28</v>
      </c>
      <c r="P1551" t="s">
        <v>21</v>
      </c>
      <c r="Q1551" t="s">
        <v>39</v>
      </c>
      <c r="R1551">
        <v>0.52</v>
      </c>
      <c r="S1551" s="1">
        <v>40730</v>
      </c>
      <c r="T1551" t="str">
        <f t="shared" si="49"/>
        <v>06-Jul-2011</v>
      </c>
    </row>
    <row r="1552" spans="1:20" x14ac:dyDescent="0.3">
      <c r="A1552">
        <v>50048</v>
      </c>
      <c r="B1552" s="1">
        <v>40196</v>
      </c>
      <c r="C1552" t="s">
        <v>23</v>
      </c>
      <c r="D1552" t="str">
        <f t="shared" si="48"/>
        <v>18-Jan-2010</v>
      </c>
      <c r="E1552">
        <v>1</v>
      </c>
      <c r="F1552" s="13">
        <v>15</v>
      </c>
      <c r="G1552">
        <v>0.05</v>
      </c>
      <c r="H1552" t="s">
        <v>19</v>
      </c>
      <c r="I1552" s="13">
        <v>-11.02</v>
      </c>
      <c r="J1552">
        <v>6.84</v>
      </c>
      <c r="K1552">
        <v>8.3699999999999992</v>
      </c>
      <c r="L1552" t="s">
        <v>143</v>
      </c>
      <c r="M1552" t="s">
        <v>101</v>
      </c>
      <c r="N1552" s="5" t="s">
        <v>102</v>
      </c>
      <c r="O1552" t="s">
        <v>28</v>
      </c>
      <c r="P1552" t="s">
        <v>21</v>
      </c>
      <c r="Q1552" t="s">
        <v>67</v>
      </c>
      <c r="R1552">
        <v>0.57999999999999996</v>
      </c>
      <c r="S1552" s="1">
        <v>40198</v>
      </c>
      <c r="T1552" t="str">
        <f t="shared" si="49"/>
        <v>20-Jan-2010</v>
      </c>
    </row>
    <row r="1553" spans="1:20" x14ac:dyDescent="0.3">
      <c r="A1553">
        <v>59684</v>
      </c>
      <c r="B1553" s="1">
        <v>40541</v>
      </c>
      <c r="C1553" t="s">
        <v>38</v>
      </c>
      <c r="D1553" t="str">
        <f t="shared" si="48"/>
        <v>29-Dec-2010</v>
      </c>
      <c r="E1553">
        <v>3</v>
      </c>
      <c r="F1553" s="13">
        <v>14.46</v>
      </c>
      <c r="G1553">
        <v>0.06</v>
      </c>
      <c r="H1553" t="s">
        <v>19</v>
      </c>
      <c r="I1553" s="13">
        <v>-5.26</v>
      </c>
      <c r="J1553">
        <v>4.2</v>
      </c>
      <c r="K1553">
        <v>2.2599999999999998</v>
      </c>
      <c r="L1553" t="s">
        <v>324</v>
      </c>
      <c r="M1553" t="s">
        <v>101</v>
      </c>
      <c r="N1553" s="5" t="s">
        <v>102</v>
      </c>
      <c r="O1553" t="s">
        <v>28</v>
      </c>
      <c r="P1553" t="s">
        <v>21</v>
      </c>
      <c r="Q1553" t="s">
        <v>37</v>
      </c>
      <c r="R1553">
        <v>0.36</v>
      </c>
      <c r="S1553" s="1">
        <v>40560</v>
      </c>
      <c r="T1553" t="str">
        <f t="shared" si="49"/>
        <v>17-Jan-2011</v>
      </c>
    </row>
    <row r="1554" spans="1:20" x14ac:dyDescent="0.3">
      <c r="A1554">
        <v>37252</v>
      </c>
      <c r="B1554" s="1">
        <v>40866</v>
      </c>
      <c r="C1554" t="s">
        <v>18</v>
      </c>
      <c r="D1554" t="str">
        <f t="shared" si="48"/>
        <v>19-Nov-2011</v>
      </c>
      <c r="E1554">
        <v>1</v>
      </c>
      <c r="F1554" s="13">
        <v>10.62</v>
      </c>
      <c r="G1554">
        <v>0.02</v>
      </c>
      <c r="H1554" t="s">
        <v>19</v>
      </c>
      <c r="I1554" s="13">
        <v>-31.2</v>
      </c>
      <c r="J1554">
        <v>8.32</v>
      </c>
      <c r="K1554">
        <v>2.38</v>
      </c>
      <c r="L1554" t="s">
        <v>321</v>
      </c>
      <c r="M1554" t="s">
        <v>101</v>
      </c>
      <c r="N1554" s="5" t="s">
        <v>102</v>
      </c>
      <c r="O1554" t="s">
        <v>28</v>
      </c>
      <c r="P1554" t="s">
        <v>29</v>
      </c>
      <c r="Q1554" t="s">
        <v>41</v>
      </c>
      <c r="R1554">
        <v>0.74</v>
      </c>
      <c r="S1554" s="1">
        <v>40870</v>
      </c>
      <c r="T1554" t="str">
        <f t="shared" si="49"/>
        <v>23-Nov-2011</v>
      </c>
    </row>
    <row r="1555" spans="1:20" x14ac:dyDescent="0.3">
      <c r="A1555">
        <v>30343</v>
      </c>
      <c r="B1555" s="1">
        <v>41050</v>
      </c>
      <c r="C1555" t="s">
        <v>43</v>
      </c>
      <c r="D1555" t="str">
        <f t="shared" si="48"/>
        <v>21-May-2012</v>
      </c>
      <c r="E1555">
        <v>8</v>
      </c>
      <c r="F1555" s="13">
        <v>41343.21</v>
      </c>
      <c r="G1555">
        <v>0.09</v>
      </c>
      <c r="H1555" t="s">
        <v>19</v>
      </c>
      <c r="I1555" s="13">
        <v>3852.19</v>
      </c>
      <c r="J1555">
        <v>6783.02</v>
      </c>
      <c r="K1555">
        <v>24.49</v>
      </c>
      <c r="L1555" t="s">
        <v>360</v>
      </c>
      <c r="M1555" t="s">
        <v>341</v>
      </c>
      <c r="N1555" s="5" t="s">
        <v>102</v>
      </c>
      <c r="O1555" t="s">
        <v>28</v>
      </c>
      <c r="P1555" t="s">
        <v>29</v>
      </c>
      <c r="Q1555" t="s">
        <v>74</v>
      </c>
      <c r="R1555">
        <v>0.39</v>
      </c>
      <c r="S1555" s="1">
        <v>41052</v>
      </c>
      <c r="T1555" t="str">
        <f t="shared" si="49"/>
        <v>23-May-2012</v>
      </c>
    </row>
    <row r="1556" spans="1:20" x14ac:dyDescent="0.3">
      <c r="A1556">
        <v>34663</v>
      </c>
      <c r="B1556" s="1">
        <v>40730</v>
      </c>
      <c r="C1556" t="s">
        <v>31</v>
      </c>
      <c r="D1556" t="str">
        <f t="shared" si="48"/>
        <v>06-Jul-2011</v>
      </c>
      <c r="E1556">
        <v>38</v>
      </c>
      <c r="F1556" s="13">
        <v>29186.49</v>
      </c>
      <c r="G1556">
        <v>0.05</v>
      </c>
      <c r="H1556" t="s">
        <v>24</v>
      </c>
      <c r="I1556" s="13">
        <v>11562.08</v>
      </c>
      <c r="J1556">
        <v>808.49</v>
      </c>
      <c r="K1556">
        <v>55.3</v>
      </c>
      <c r="L1556" t="s">
        <v>352</v>
      </c>
      <c r="M1556" t="s">
        <v>341</v>
      </c>
      <c r="N1556" s="5" t="s">
        <v>102</v>
      </c>
      <c r="O1556" t="s">
        <v>28</v>
      </c>
      <c r="P1556" t="s">
        <v>29</v>
      </c>
      <c r="Q1556" t="s">
        <v>74</v>
      </c>
      <c r="R1556">
        <v>0.4</v>
      </c>
      <c r="S1556" s="1">
        <v>40732</v>
      </c>
      <c r="T1556" t="str">
        <f t="shared" si="49"/>
        <v>08-Jul-2011</v>
      </c>
    </row>
    <row r="1557" spans="1:20" x14ac:dyDescent="0.3">
      <c r="A1557">
        <v>9637</v>
      </c>
      <c r="B1557" s="1">
        <v>39816</v>
      </c>
      <c r="C1557" t="s">
        <v>18</v>
      </c>
      <c r="D1557" t="str">
        <f t="shared" si="48"/>
        <v>03-Jan-2009</v>
      </c>
      <c r="E1557">
        <v>49</v>
      </c>
      <c r="F1557" s="13">
        <v>28359.4</v>
      </c>
      <c r="G1557">
        <v>0.05</v>
      </c>
      <c r="H1557" t="s">
        <v>19</v>
      </c>
      <c r="I1557" s="13">
        <v>14440.39</v>
      </c>
      <c r="J1557">
        <v>574.74</v>
      </c>
      <c r="K1557">
        <v>24.49</v>
      </c>
      <c r="L1557" t="s">
        <v>203</v>
      </c>
      <c r="M1557" t="s">
        <v>341</v>
      </c>
      <c r="N1557" s="5" t="s">
        <v>102</v>
      </c>
      <c r="O1557" t="s">
        <v>28</v>
      </c>
      <c r="P1557" t="s">
        <v>29</v>
      </c>
      <c r="Q1557" t="s">
        <v>74</v>
      </c>
      <c r="R1557">
        <v>0.37</v>
      </c>
      <c r="S1557" s="1">
        <v>39823</v>
      </c>
      <c r="T1557" t="str">
        <f t="shared" si="49"/>
        <v>10-Jan-2009</v>
      </c>
    </row>
    <row r="1558" spans="1:20" x14ac:dyDescent="0.3">
      <c r="A1558">
        <v>52068</v>
      </c>
      <c r="B1558" s="1">
        <v>40921</v>
      </c>
      <c r="C1558" t="s">
        <v>31</v>
      </c>
      <c r="D1558" t="str">
        <f t="shared" si="48"/>
        <v>13-Jan-2012</v>
      </c>
      <c r="E1558">
        <v>47</v>
      </c>
      <c r="F1558" s="13">
        <v>24559.91</v>
      </c>
      <c r="G1558">
        <v>0.01</v>
      </c>
      <c r="H1558" t="s">
        <v>24</v>
      </c>
      <c r="I1558" s="13">
        <v>7358.66</v>
      </c>
      <c r="J1558">
        <v>517.48</v>
      </c>
      <c r="K1558">
        <v>16.63</v>
      </c>
      <c r="L1558" t="s">
        <v>340</v>
      </c>
      <c r="M1558" t="s">
        <v>341</v>
      </c>
      <c r="N1558" s="5" t="s">
        <v>102</v>
      </c>
      <c r="O1558" t="s">
        <v>28</v>
      </c>
      <c r="P1558" t="s">
        <v>29</v>
      </c>
      <c r="Q1558" t="s">
        <v>74</v>
      </c>
      <c r="R1558">
        <v>0.59</v>
      </c>
      <c r="S1558" s="1">
        <v>40921</v>
      </c>
      <c r="T1558" t="str">
        <f t="shared" si="49"/>
        <v>13-Jan-2012</v>
      </c>
    </row>
    <row r="1559" spans="1:20" x14ac:dyDescent="0.3">
      <c r="A1559">
        <v>28550</v>
      </c>
      <c r="B1559" s="1">
        <v>40622</v>
      </c>
      <c r="C1559" t="s">
        <v>31</v>
      </c>
      <c r="D1559" t="str">
        <f t="shared" si="48"/>
        <v>20-Mar-2011</v>
      </c>
      <c r="E1559">
        <v>44</v>
      </c>
      <c r="F1559" s="13">
        <v>21532.26</v>
      </c>
      <c r="G1559">
        <v>0.09</v>
      </c>
      <c r="H1559" t="s">
        <v>24</v>
      </c>
      <c r="I1559" s="13">
        <v>8323.39</v>
      </c>
      <c r="J1559">
        <v>500.97</v>
      </c>
      <c r="K1559">
        <v>69.3</v>
      </c>
      <c r="L1559" t="s">
        <v>82</v>
      </c>
      <c r="M1559" t="s">
        <v>341</v>
      </c>
      <c r="N1559" s="5" t="s">
        <v>102</v>
      </c>
      <c r="O1559" t="s">
        <v>28</v>
      </c>
      <c r="P1559" t="s">
        <v>29</v>
      </c>
      <c r="Q1559" t="s">
        <v>74</v>
      </c>
      <c r="R1559">
        <v>0.37</v>
      </c>
      <c r="S1559" s="1">
        <v>40625</v>
      </c>
      <c r="T1559" t="str">
        <f t="shared" si="49"/>
        <v>23-Mar-2011</v>
      </c>
    </row>
    <row r="1560" spans="1:20" x14ac:dyDescent="0.3">
      <c r="A1560">
        <v>5954</v>
      </c>
      <c r="B1560" s="1">
        <v>41245</v>
      </c>
      <c r="C1560" t="s">
        <v>43</v>
      </c>
      <c r="D1560" t="str">
        <f t="shared" si="48"/>
        <v>02-Dec-2012</v>
      </c>
      <c r="E1560">
        <v>32</v>
      </c>
      <c r="F1560" s="13">
        <v>18316.3</v>
      </c>
      <c r="G1560">
        <v>0.06</v>
      </c>
      <c r="H1560" t="s">
        <v>24</v>
      </c>
      <c r="I1560" s="13">
        <v>4569.0600000000004</v>
      </c>
      <c r="J1560">
        <v>596.98</v>
      </c>
      <c r="K1560">
        <v>14.7</v>
      </c>
      <c r="L1560" t="s">
        <v>146</v>
      </c>
      <c r="M1560" t="s">
        <v>341</v>
      </c>
      <c r="N1560" s="5" t="s">
        <v>102</v>
      </c>
      <c r="O1560" t="s">
        <v>28</v>
      </c>
      <c r="P1560" t="s">
        <v>29</v>
      </c>
      <c r="Q1560" t="s">
        <v>74</v>
      </c>
      <c r="R1560">
        <v>0.56999999999999995</v>
      </c>
      <c r="S1560" s="1">
        <v>41247</v>
      </c>
      <c r="T1560" t="str">
        <f t="shared" si="49"/>
        <v>04-Dec-2012</v>
      </c>
    </row>
    <row r="1561" spans="1:20" x14ac:dyDescent="0.3">
      <c r="A1561">
        <v>30407</v>
      </c>
      <c r="B1561" s="1">
        <v>39920</v>
      </c>
      <c r="C1561" t="s">
        <v>18</v>
      </c>
      <c r="D1561" t="str">
        <f t="shared" si="48"/>
        <v>17-Apr-2009</v>
      </c>
      <c r="E1561">
        <v>41</v>
      </c>
      <c r="F1561" s="13">
        <v>17853.64</v>
      </c>
      <c r="G1561">
        <v>0.02</v>
      </c>
      <c r="H1561" t="s">
        <v>19</v>
      </c>
      <c r="I1561" s="13">
        <v>6227.33</v>
      </c>
      <c r="J1561">
        <v>419.19</v>
      </c>
      <c r="K1561">
        <v>19.989999999999998</v>
      </c>
      <c r="L1561" t="s">
        <v>327</v>
      </c>
      <c r="M1561" t="s">
        <v>341</v>
      </c>
      <c r="N1561" s="5" t="s">
        <v>102</v>
      </c>
      <c r="O1561" t="s">
        <v>28</v>
      </c>
      <c r="P1561" t="s">
        <v>21</v>
      </c>
      <c r="Q1561" t="s">
        <v>22</v>
      </c>
      <c r="R1561">
        <v>0.57999999999999996</v>
      </c>
      <c r="S1561" s="1">
        <v>39920</v>
      </c>
      <c r="T1561" t="str">
        <f t="shared" si="49"/>
        <v>17-Apr-2009</v>
      </c>
    </row>
    <row r="1562" spans="1:20" x14ac:dyDescent="0.3">
      <c r="A1562">
        <v>47942</v>
      </c>
      <c r="B1562" s="1">
        <v>40236</v>
      </c>
      <c r="C1562" t="s">
        <v>38</v>
      </c>
      <c r="D1562" t="str">
        <f t="shared" si="48"/>
        <v>27-Feb-2010</v>
      </c>
      <c r="E1562">
        <v>30</v>
      </c>
      <c r="F1562" s="13">
        <v>17034.919999999998</v>
      </c>
      <c r="G1562">
        <v>0.09</v>
      </c>
      <c r="H1562" t="s">
        <v>19</v>
      </c>
      <c r="I1562" s="13">
        <v>5916.34</v>
      </c>
      <c r="J1562">
        <v>599.99</v>
      </c>
      <c r="K1562">
        <v>24.49</v>
      </c>
      <c r="L1562" t="s">
        <v>225</v>
      </c>
      <c r="M1562" t="s">
        <v>341</v>
      </c>
      <c r="N1562" s="5" t="s">
        <v>102</v>
      </c>
      <c r="O1562" t="s">
        <v>28</v>
      </c>
      <c r="P1562" t="s">
        <v>29</v>
      </c>
      <c r="Q1562" t="s">
        <v>51</v>
      </c>
      <c r="R1562">
        <v>0.37</v>
      </c>
      <c r="S1562" s="1">
        <v>40238</v>
      </c>
      <c r="T1562" t="str">
        <f t="shared" si="49"/>
        <v>01-Mar-2010</v>
      </c>
    </row>
    <row r="1563" spans="1:20" x14ac:dyDescent="0.3">
      <c r="A1563">
        <v>20037</v>
      </c>
      <c r="B1563" s="1">
        <v>39823</v>
      </c>
      <c r="C1563" t="s">
        <v>18</v>
      </c>
      <c r="D1563" t="str">
        <f t="shared" si="48"/>
        <v>10-Jan-2009</v>
      </c>
      <c r="E1563">
        <v>49</v>
      </c>
      <c r="F1563" s="13">
        <v>15137.11</v>
      </c>
      <c r="G1563">
        <v>0.03</v>
      </c>
      <c r="H1563" t="s">
        <v>24</v>
      </c>
      <c r="I1563" s="13">
        <v>4913.16</v>
      </c>
      <c r="J1563">
        <v>297.64</v>
      </c>
      <c r="K1563">
        <v>14.7</v>
      </c>
      <c r="L1563" t="s">
        <v>348</v>
      </c>
      <c r="M1563" t="s">
        <v>341</v>
      </c>
      <c r="N1563" s="5" t="s">
        <v>102</v>
      </c>
      <c r="O1563" t="s">
        <v>28</v>
      </c>
      <c r="P1563" t="s">
        <v>29</v>
      </c>
      <c r="Q1563" t="s">
        <v>74</v>
      </c>
      <c r="R1563">
        <v>0.56999999999999995</v>
      </c>
      <c r="S1563" s="1">
        <v>39828</v>
      </c>
      <c r="T1563" t="str">
        <f t="shared" si="49"/>
        <v>15-Jan-2009</v>
      </c>
    </row>
    <row r="1564" spans="1:20" x14ac:dyDescent="0.3">
      <c r="A1564">
        <v>27265</v>
      </c>
      <c r="B1564" s="1">
        <v>41035</v>
      </c>
      <c r="C1564" t="s">
        <v>43</v>
      </c>
      <c r="D1564" t="str">
        <f t="shared" si="48"/>
        <v>06-May-2012</v>
      </c>
      <c r="E1564">
        <v>49</v>
      </c>
      <c r="F1564" s="13">
        <v>14981.74</v>
      </c>
      <c r="G1564">
        <v>0.02</v>
      </c>
      <c r="H1564" t="s">
        <v>19</v>
      </c>
      <c r="I1564" s="13">
        <v>-1791.5</v>
      </c>
      <c r="J1564">
        <v>299.99</v>
      </c>
      <c r="K1564">
        <v>11.64</v>
      </c>
      <c r="L1564" t="s">
        <v>366</v>
      </c>
      <c r="M1564" t="s">
        <v>341</v>
      </c>
      <c r="N1564" s="5" t="s">
        <v>102</v>
      </c>
      <c r="O1564" t="s">
        <v>28</v>
      </c>
      <c r="P1564" t="s">
        <v>29</v>
      </c>
      <c r="Q1564" t="s">
        <v>51</v>
      </c>
      <c r="R1564">
        <v>0.5</v>
      </c>
      <c r="S1564" s="1">
        <v>41035</v>
      </c>
      <c r="T1564" t="str">
        <f t="shared" si="49"/>
        <v>06-May-2012</v>
      </c>
    </row>
    <row r="1565" spans="1:20" x14ac:dyDescent="0.3">
      <c r="A1565">
        <v>53378</v>
      </c>
      <c r="B1565" s="1">
        <v>41103</v>
      </c>
      <c r="C1565" t="s">
        <v>38</v>
      </c>
      <c r="D1565" t="str">
        <f t="shared" si="48"/>
        <v>13-Jul-2012</v>
      </c>
      <c r="E1565">
        <v>50</v>
      </c>
      <c r="F1565" s="13">
        <v>13934.53</v>
      </c>
      <c r="G1565">
        <v>0.1</v>
      </c>
      <c r="H1565" t="s">
        <v>35</v>
      </c>
      <c r="I1565" s="13">
        <v>4352.83</v>
      </c>
      <c r="J1565">
        <v>299.99</v>
      </c>
      <c r="K1565">
        <v>11.64</v>
      </c>
      <c r="L1565" t="s">
        <v>342</v>
      </c>
      <c r="M1565" t="s">
        <v>341</v>
      </c>
      <c r="N1565" s="5" t="s">
        <v>102</v>
      </c>
      <c r="O1565" t="s">
        <v>28</v>
      </c>
      <c r="P1565" t="s">
        <v>29</v>
      </c>
      <c r="Q1565" t="s">
        <v>51</v>
      </c>
      <c r="R1565">
        <v>0.5</v>
      </c>
      <c r="S1565" s="1">
        <v>41104</v>
      </c>
      <c r="T1565" t="str">
        <f t="shared" si="49"/>
        <v>14-Jul-2012</v>
      </c>
    </row>
    <row r="1566" spans="1:20" x14ac:dyDescent="0.3">
      <c r="A1566">
        <v>59776</v>
      </c>
      <c r="B1566" s="1">
        <v>39881</v>
      </c>
      <c r="C1566" t="s">
        <v>18</v>
      </c>
      <c r="D1566" t="str">
        <f t="shared" si="48"/>
        <v>09-Mar-2009</v>
      </c>
      <c r="E1566">
        <v>33</v>
      </c>
      <c r="F1566" s="13">
        <v>12215.43</v>
      </c>
      <c r="G1566">
        <v>7.0000000000000007E-2</v>
      </c>
      <c r="H1566" t="s">
        <v>24</v>
      </c>
      <c r="I1566" s="13">
        <v>5255.45</v>
      </c>
      <c r="J1566">
        <v>400.97</v>
      </c>
      <c r="K1566">
        <v>48.26</v>
      </c>
      <c r="L1566" t="s">
        <v>357</v>
      </c>
      <c r="M1566" t="s">
        <v>341</v>
      </c>
      <c r="N1566" s="5" t="s">
        <v>102</v>
      </c>
      <c r="O1566" t="s">
        <v>28</v>
      </c>
      <c r="P1566" t="s">
        <v>29</v>
      </c>
      <c r="Q1566" t="s">
        <v>74</v>
      </c>
      <c r="R1566">
        <v>0.36</v>
      </c>
      <c r="S1566" s="1">
        <v>39885</v>
      </c>
      <c r="T1566" t="str">
        <f t="shared" si="49"/>
        <v>13-Mar-2009</v>
      </c>
    </row>
    <row r="1567" spans="1:20" x14ac:dyDescent="0.3">
      <c r="A1567">
        <v>14978</v>
      </c>
      <c r="B1567" s="1">
        <v>40325</v>
      </c>
      <c r="C1567" t="s">
        <v>43</v>
      </c>
      <c r="D1567" t="str">
        <f t="shared" si="48"/>
        <v>27-May-2010</v>
      </c>
      <c r="E1567">
        <v>14</v>
      </c>
      <c r="F1567" s="13">
        <v>12043.88</v>
      </c>
      <c r="G1567">
        <v>7.0000000000000007E-2</v>
      </c>
      <c r="H1567" t="s">
        <v>24</v>
      </c>
      <c r="I1567" s="13">
        <v>2011.31</v>
      </c>
      <c r="J1567">
        <v>880.98</v>
      </c>
      <c r="K1567">
        <v>44.55</v>
      </c>
      <c r="L1567" t="s">
        <v>344</v>
      </c>
      <c r="M1567" t="s">
        <v>341</v>
      </c>
      <c r="N1567" s="5" t="s">
        <v>102</v>
      </c>
      <c r="O1567" t="s">
        <v>28</v>
      </c>
      <c r="P1567" t="s">
        <v>32</v>
      </c>
      <c r="Q1567" t="s">
        <v>45</v>
      </c>
      <c r="R1567">
        <v>0.62</v>
      </c>
      <c r="S1567" s="1">
        <v>40326</v>
      </c>
      <c r="T1567" t="str">
        <f t="shared" si="49"/>
        <v>28-May-2010</v>
      </c>
    </row>
    <row r="1568" spans="1:20" x14ac:dyDescent="0.3">
      <c r="A1568">
        <v>42342</v>
      </c>
      <c r="B1568" s="1">
        <v>40060</v>
      </c>
      <c r="C1568" t="s">
        <v>31</v>
      </c>
      <c r="D1568" t="str">
        <f t="shared" si="48"/>
        <v>04-Sep-2009</v>
      </c>
      <c r="E1568">
        <v>43</v>
      </c>
      <c r="F1568" s="13">
        <v>9501.6239999999998</v>
      </c>
      <c r="G1568">
        <v>7.0000000000000007E-2</v>
      </c>
      <c r="H1568" t="s">
        <v>24</v>
      </c>
      <c r="I1568" s="13">
        <v>-686.45</v>
      </c>
      <c r="J1568">
        <v>286.85000000000002</v>
      </c>
      <c r="K1568">
        <v>61.76</v>
      </c>
      <c r="L1568" t="s">
        <v>133</v>
      </c>
      <c r="M1568" t="s">
        <v>341</v>
      </c>
      <c r="N1568" s="5" t="s">
        <v>102</v>
      </c>
      <c r="O1568" t="s">
        <v>28</v>
      </c>
      <c r="P1568" t="s">
        <v>32</v>
      </c>
      <c r="Q1568" t="s">
        <v>46</v>
      </c>
      <c r="R1568">
        <v>0.78</v>
      </c>
      <c r="S1568" s="1">
        <v>40062</v>
      </c>
      <c r="T1568" t="str">
        <f t="shared" si="49"/>
        <v>06-Sep-2009</v>
      </c>
    </row>
    <row r="1569" spans="1:20" x14ac:dyDescent="0.3">
      <c r="A1569">
        <v>6560</v>
      </c>
      <c r="B1569" s="1">
        <v>40547</v>
      </c>
      <c r="C1569" t="s">
        <v>18</v>
      </c>
      <c r="D1569" t="str">
        <f t="shared" si="48"/>
        <v>04-Jan-2011</v>
      </c>
      <c r="E1569">
        <v>37</v>
      </c>
      <c r="F1569" s="13">
        <v>8252.3919999999998</v>
      </c>
      <c r="G1569">
        <v>0.04</v>
      </c>
      <c r="H1569" t="s">
        <v>24</v>
      </c>
      <c r="I1569" s="13">
        <v>1853.19</v>
      </c>
      <c r="J1569">
        <v>280.98</v>
      </c>
      <c r="K1569">
        <v>35.67</v>
      </c>
      <c r="L1569" t="s">
        <v>347</v>
      </c>
      <c r="M1569" t="s">
        <v>341</v>
      </c>
      <c r="N1569" s="5" t="s">
        <v>102</v>
      </c>
      <c r="O1569" t="s">
        <v>28</v>
      </c>
      <c r="P1569" t="s">
        <v>32</v>
      </c>
      <c r="Q1569" t="s">
        <v>46</v>
      </c>
      <c r="R1569">
        <v>0.66</v>
      </c>
      <c r="S1569" s="1">
        <v>40552</v>
      </c>
      <c r="T1569" t="str">
        <f t="shared" si="49"/>
        <v>09-Jan-2011</v>
      </c>
    </row>
    <row r="1570" spans="1:20" x14ac:dyDescent="0.3">
      <c r="A1570">
        <v>33731</v>
      </c>
      <c r="B1570" s="1">
        <v>41190</v>
      </c>
      <c r="C1570" t="s">
        <v>23</v>
      </c>
      <c r="D1570" t="str">
        <f t="shared" si="48"/>
        <v>08-Oct-2012</v>
      </c>
      <c r="E1570">
        <v>27</v>
      </c>
      <c r="F1570" s="13">
        <v>8213.3700000000008</v>
      </c>
      <c r="G1570">
        <v>0.02</v>
      </c>
      <c r="H1570" t="s">
        <v>24</v>
      </c>
      <c r="I1570" s="13">
        <v>1148.8800000000001</v>
      </c>
      <c r="J1570">
        <v>284.98</v>
      </c>
      <c r="K1570">
        <v>69.55</v>
      </c>
      <c r="L1570" t="s">
        <v>356</v>
      </c>
      <c r="M1570" t="s">
        <v>341</v>
      </c>
      <c r="N1570" s="5" t="s">
        <v>102</v>
      </c>
      <c r="O1570" t="s">
        <v>28</v>
      </c>
      <c r="P1570" t="s">
        <v>32</v>
      </c>
      <c r="Q1570" t="s">
        <v>56</v>
      </c>
      <c r="R1570">
        <v>0.6</v>
      </c>
      <c r="S1570" s="1">
        <v>41191</v>
      </c>
      <c r="T1570" t="str">
        <f t="shared" si="49"/>
        <v>09-Oct-2012</v>
      </c>
    </row>
    <row r="1571" spans="1:20" x14ac:dyDescent="0.3">
      <c r="A1571">
        <v>25314</v>
      </c>
      <c r="B1571" s="1">
        <v>40963</v>
      </c>
      <c r="C1571" t="s">
        <v>23</v>
      </c>
      <c r="D1571" t="str">
        <f t="shared" si="48"/>
        <v>24-Feb-2012</v>
      </c>
      <c r="E1571">
        <v>43</v>
      </c>
      <c r="F1571" s="13">
        <v>7679.5119999999997</v>
      </c>
      <c r="G1571">
        <v>0</v>
      </c>
      <c r="H1571" t="s">
        <v>19</v>
      </c>
      <c r="I1571" s="13">
        <v>2307.42</v>
      </c>
      <c r="J1571">
        <v>205.99</v>
      </c>
      <c r="K1571">
        <v>5</v>
      </c>
      <c r="L1571" t="s">
        <v>352</v>
      </c>
      <c r="M1571" t="s">
        <v>341</v>
      </c>
      <c r="N1571" s="5" t="s">
        <v>102</v>
      </c>
      <c r="O1571" t="s">
        <v>28</v>
      </c>
      <c r="P1571" t="s">
        <v>29</v>
      </c>
      <c r="Q1571" t="s">
        <v>30</v>
      </c>
      <c r="R1571">
        <v>0.59</v>
      </c>
      <c r="S1571" s="1">
        <v>40965</v>
      </c>
      <c r="T1571" t="str">
        <f t="shared" si="49"/>
        <v>26-Feb-2012</v>
      </c>
    </row>
    <row r="1572" spans="1:20" x14ac:dyDescent="0.3">
      <c r="A1572">
        <v>48868</v>
      </c>
      <c r="B1572" s="1">
        <v>41073</v>
      </c>
      <c r="C1572" t="s">
        <v>31</v>
      </c>
      <c r="D1572" t="str">
        <f t="shared" si="48"/>
        <v>13-Jun-2012</v>
      </c>
      <c r="E1572">
        <v>47</v>
      </c>
      <c r="F1572" s="13">
        <v>7647.97</v>
      </c>
      <c r="G1572">
        <v>0.05</v>
      </c>
      <c r="H1572" t="s">
        <v>35</v>
      </c>
      <c r="I1572" s="13">
        <v>-1014.01</v>
      </c>
      <c r="J1572">
        <v>167.27</v>
      </c>
      <c r="K1572">
        <v>35</v>
      </c>
      <c r="L1572" t="s">
        <v>361</v>
      </c>
      <c r="M1572" t="s">
        <v>341</v>
      </c>
      <c r="N1572" s="5" t="s">
        <v>102</v>
      </c>
      <c r="O1572" t="s">
        <v>28</v>
      </c>
      <c r="P1572" t="s">
        <v>21</v>
      </c>
      <c r="Q1572" t="s">
        <v>22</v>
      </c>
      <c r="R1572">
        <v>0.85</v>
      </c>
      <c r="S1572" s="1">
        <v>41075</v>
      </c>
      <c r="T1572" t="str">
        <f t="shared" si="49"/>
        <v>15-Jun-2012</v>
      </c>
    </row>
    <row r="1573" spans="1:20" x14ac:dyDescent="0.3">
      <c r="A1573">
        <v>7776</v>
      </c>
      <c r="B1573" s="1">
        <v>39886</v>
      </c>
      <c r="C1573" t="s">
        <v>38</v>
      </c>
      <c r="D1573" t="str">
        <f t="shared" si="48"/>
        <v>14-Mar-2009</v>
      </c>
      <c r="E1573">
        <v>36</v>
      </c>
      <c r="F1573" s="13">
        <v>7223.59</v>
      </c>
      <c r="G1573">
        <v>7.0000000000000007E-2</v>
      </c>
      <c r="H1573" t="s">
        <v>24</v>
      </c>
      <c r="I1573" s="13">
        <v>1769.81</v>
      </c>
      <c r="J1573">
        <v>200.98</v>
      </c>
      <c r="K1573">
        <v>23.76</v>
      </c>
      <c r="L1573" t="s">
        <v>348</v>
      </c>
      <c r="M1573" t="s">
        <v>341</v>
      </c>
      <c r="N1573" s="5" t="s">
        <v>102</v>
      </c>
      <c r="O1573" t="s">
        <v>28</v>
      </c>
      <c r="P1573" t="s">
        <v>32</v>
      </c>
      <c r="Q1573" t="s">
        <v>56</v>
      </c>
      <c r="R1573">
        <v>0.57999999999999996</v>
      </c>
      <c r="S1573" s="1">
        <v>39887</v>
      </c>
      <c r="T1573" t="str">
        <f t="shared" si="49"/>
        <v>15-Mar-2009</v>
      </c>
    </row>
    <row r="1574" spans="1:20" x14ac:dyDescent="0.3">
      <c r="A1574">
        <v>28512</v>
      </c>
      <c r="B1574" s="1">
        <v>40295</v>
      </c>
      <c r="C1574" t="s">
        <v>38</v>
      </c>
      <c r="D1574" t="str">
        <f t="shared" si="48"/>
        <v>27-Apr-2010</v>
      </c>
      <c r="E1574">
        <v>18</v>
      </c>
      <c r="F1574" s="13">
        <v>7168.15</v>
      </c>
      <c r="G1574">
        <v>0.05</v>
      </c>
      <c r="H1574" t="s">
        <v>19</v>
      </c>
      <c r="I1574" s="13">
        <v>1593.61</v>
      </c>
      <c r="J1574">
        <v>419.19</v>
      </c>
      <c r="K1574">
        <v>19.989999999999998</v>
      </c>
      <c r="L1574" t="s">
        <v>284</v>
      </c>
      <c r="M1574" t="s">
        <v>341</v>
      </c>
      <c r="N1574" s="5" t="s">
        <v>102</v>
      </c>
      <c r="O1574" t="s">
        <v>28</v>
      </c>
      <c r="P1574" t="s">
        <v>21</v>
      </c>
      <c r="Q1574" t="s">
        <v>22</v>
      </c>
      <c r="R1574">
        <v>0.57999999999999996</v>
      </c>
      <c r="S1574" s="1">
        <v>40297</v>
      </c>
      <c r="T1574" t="str">
        <f t="shared" si="49"/>
        <v>29-Apr-2010</v>
      </c>
    </row>
    <row r="1575" spans="1:20" x14ac:dyDescent="0.3">
      <c r="A1575">
        <v>32675</v>
      </c>
      <c r="B1575" s="1">
        <v>40120</v>
      </c>
      <c r="C1575" t="s">
        <v>23</v>
      </c>
      <c r="D1575" t="str">
        <f t="shared" si="48"/>
        <v>03-Nov-2009</v>
      </c>
      <c r="E1575">
        <v>20</v>
      </c>
      <c r="F1575" s="13">
        <v>6865.19</v>
      </c>
      <c r="G1575">
        <v>0.09</v>
      </c>
      <c r="H1575" t="s">
        <v>24</v>
      </c>
      <c r="I1575" s="13">
        <v>1541.68</v>
      </c>
      <c r="J1575">
        <v>349.45</v>
      </c>
      <c r="K1575">
        <v>60</v>
      </c>
      <c r="L1575" t="s">
        <v>356</v>
      </c>
      <c r="M1575" t="s">
        <v>341</v>
      </c>
      <c r="N1575" s="5" t="s">
        <v>102</v>
      </c>
      <c r="O1575" t="s">
        <v>28</v>
      </c>
      <c r="P1575" t="s">
        <v>32</v>
      </c>
      <c r="Q1575" t="s">
        <v>46</v>
      </c>
      <c r="S1575" s="1">
        <v>40121</v>
      </c>
      <c r="T1575" t="str">
        <f t="shared" si="49"/>
        <v>04-Nov-2009</v>
      </c>
    </row>
    <row r="1576" spans="1:20" x14ac:dyDescent="0.3">
      <c r="A1576">
        <v>48868</v>
      </c>
      <c r="B1576" s="1">
        <v>41073</v>
      </c>
      <c r="C1576" t="s">
        <v>31</v>
      </c>
      <c r="D1576" t="str">
        <f t="shared" si="48"/>
        <v>13-Jun-2012</v>
      </c>
      <c r="E1576">
        <v>43</v>
      </c>
      <c r="F1576" s="13">
        <v>6861.8545000000004</v>
      </c>
      <c r="G1576">
        <v>7.0000000000000007E-2</v>
      </c>
      <c r="H1576" t="s">
        <v>19</v>
      </c>
      <c r="I1576" s="13">
        <v>1754.08</v>
      </c>
      <c r="J1576">
        <v>195.99</v>
      </c>
      <c r="K1576">
        <v>3.99</v>
      </c>
      <c r="L1576" t="s">
        <v>361</v>
      </c>
      <c r="M1576" t="s">
        <v>341</v>
      </c>
      <c r="N1576" s="5" t="s">
        <v>102</v>
      </c>
      <c r="O1576" t="s">
        <v>28</v>
      </c>
      <c r="P1576" t="s">
        <v>29</v>
      </c>
      <c r="Q1576" t="s">
        <v>30</v>
      </c>
      <c r="R1576">
        <v>0.59</v>
      </c>
      <c r="S1576" s="1">
        <v>41074</v>
      </c>
      <c r="T1576" t="str">
        <f t="shared" si="49"/>
        <v>14-Jun-2012</v>
      </c>
    </row>
    <row r="1577" spans="1:20" x14ac:dyDescent="0.3">
      <c r="A1577">
        <v>23648</v>
      </c>
      <c r="B1577" s="1">
        <v>41176</v>
      </c>
      <c r="C1577" t="s">
        <v>43</v>
      </c>
      <c r="D1577" t="str">
        <f t="shared" si="48"/>
        <v>24-Sep-2012</v>
      </c>
      <c r="E1577">
        <v>44</v>
      </c>
      <c r="F1577" s="13">
        <v>6768.16</v>
      </c>
      <c r="G1577">
        <v>0.03</v>
      </c>
      <c r="H1577" t="s">
        <v>19</v>
      </c>
      <c r="I1577" s="13">
        <v>907.49</v>
      </c>
      <c r="J1577">
        <v>152.47999999999999</v>
      </c>
      <c r="K1577">
        <v>6.5</v>
      </c>
      <c r="L1577" t="s">
        <v>358</v>
      </c>
      <c r="M1577" t="s">
        <v>341</v>
      </c>
      <c r="N1577" s="5" t="s">
        <v>102</v>
      </c>
      <c r="O1577" t="s">
        <v>28</v>
      </c>
      <c r="P1577" t="s">
        <v>29</v>
      </c>
      <c r="Q1577" t="s">
        <v>41</v>
      </c>
      <c r="R1577">
        <v>0.74</v>
      </c>
      <c r="S1577" s="1">
        <v>41177</v>
      </c>
      <c r="T1577" t="str">
        <f t="shared" si="49"/>
        <v>25-Sep-2012</v>
      </c>
    </row>
    <row r="1578" spans="1:20" x14ac:dyDescent="0.3">
      <c r="A1578">
        <v>21382</v>
      </c>
      <c r="B1578" s="1">
        <v>40920</v>
      </c>
      <c r="C1578" t="s">
        <v>43</v>
      </c>
      <c r="D1578" t="str">
        <f t="shared" si="48"/>
        <v>12-Jan-2012</v>
      </c>
      <c r="E1578">
        <v>21</v>
      </c>
      <c r="F1578" s="13">
        <v>6435.87</v>
      </c>
      <c r="G1578">
        <v>0.04</v>
      </c>
      <c r="H1578" t="s">
        <v>24</v>
      </c>
      <c r="I1578" s="13">
        <v>935.06</v>
      </c>
      <c r="J1578">
        <v>300.98</v>
      </c>
      <c r="K1578">
        <v>64.73</v>
      </c>
      <c r="L1578" t="s">
        <v>203</v>
      </c>
      <c r="M1578" t="s">
        <v>341</v>
      </c>
      <c r="N1578" s="5" t="s">
        <v>102</v>
      </c>
      <c r="O1578" t="s">
        <v>28</v>
      </c>
      <c r="P1578" t="s">
        <v>32</v>
      </c>
      <c r="Q1578" t="s">
        <v>56</v>
      </c>
      <c r="R1578">
        <v>0.56000000000000005</v>
      </c>
      <c r="S1578" s="1">
        <v>40922</v>
      </c>
      <c r="T1578" t="str">
        <f t="shared" si="49"/>
        <v>14-Jan-2012</v>
      </c>
    </row>
    <row r="1579" spans="1:20" x14ac:dyDescent="0.3">
      <c r="A1579">
        <v>2144</v>
      </c>
      <c r="B1579" s="1">
        <v>39900</v>
      </c>
      <c r="C1579" t="s">
        <v>38</v>
      </c>
      <c r="D1579" t="str">
        <f t="shared" si="48"/>
        <v>28-Mar-2009</v>
      </c>
      <c r="E1579">
        <v>40</v>
      </c>
      <c r="F1579" s="13">
        <v>5945.3675000000003</v>
      </c>
      <c r="G1579">
        <v>0.08</v>
      </c>
      <c r="H1579" t="s">
        <v>19</v>
      </c>
      <c r="I1579" s="13">
        <v>1585.48</v>
      </c>
      <c r="J1579">
        <v>175.99</v>
      </c>
      <c r="K1579">
        <v>4.99</v>
      </c>
      <c r="L1579" t="s">
        <v>356</v>
      </c>
      <c r="M1579" t="s">
        <v>341</v>
      </c>
      <c r="N1579" s="5" t="s">
        <v>102</v>
      </c>
      <c r="O1579" t="s">
        <v>28</v>
      </c>
      <c r="P1579" t="s">
        <v>29</v>
      </c>
      <c r="Q1579" t="s">
        <v>30</v>
      </c>
      <c r="R1579">
        <v>0.59</v>
      </c>
      <c r="S1579" s="1">
        <v>39900</v>
      </c>
      <c r="T1579" t="str">
        <f t="shared" si="49"/>
        <v>28-Mar-2009</v>
      </c>
    </row>
    <row r="1580" spans="1:20" x14ac:dyDescent="0.3">
      <c r="A1580">
        <v>1666</v>
      </c>
      <c r="B1580" s="1">
        <v>40833</v>
      </c>
      <c r="C1580" t="s">
        <v>43</v>
      </c>
      <c r="D1580" t="str">
        <f t="shared" si="48"/>
        <v>17-Oct-2011</v>
      </c>
      <c r="E1580">
        <v>19</v>
      </c>
      <c r="F1580" s="13">
        <v>5642.18</v>
      </c>
      <c r="G1580">
        <v>0.09</v>
      </c>
      <c r="H1580" t="s">
        <v>35</v>
      </c>
      <c r="I1580" s="13">
        <v>1996.68</v>
      </c>
      <c r="J1580">
        <v>315.98</v>
      </c>
      <c r="K1580">
        <v>19.989999999999998</v>
      </c>
      <c r="L1580" t="s">
        <v>316</v>
      </c>
      <c r="M1580" t="s">
        <v>341</v>
      </c>
      <c r="N1580" s="5" t="s">
        <v>102</v>
      </c>
      <c r="O1580" t="s">
        <v>28</v>
      </c>
      <c r="P1580" t="s">
        <v>21</v>
      </c>
      <c r="Q1580" t="s">
        <v>26</v>
      </c>
      <c r="R1580">
        <v>0.38</v>
      </c>
      <c r="S1580" s="1">
        <v>40835</v>
      </c>
      <c r="T1580" t="str">
        <f t="shared" si="49"/>
        <v>19-Oct-2011</v>
      </c>
    </row>
    <row r="1581" spans="1:20" x14ac:dyDescent="0.3">
      <c r="A1581">
        <v>27265</v>
      </c>
      <c r="B1581" s="1">
        <v>41035</v>
      </c>
      <c r="C1581" t="s">
        <v>43</v>
      </c>
      <c r="D1581" t="str">
        <f t="shared" si="48"/>
        <v>06-May-2012</v>
      </c>
      <c r="E1581">
        <v>36</v>
      </c>
      <c r="F1581" s="13">
        <v>5587.2</v>
      </c>
      <c r="G1581">
        <v>0.05</v>
      </c>
      <c r="H1581" t="s">
        <v>35</v>
      </c>
      <c r="I1581" s="13">
        <v>2254.16</v>
      </c>
      <c r="J1581">
        <v>162.93</v>
      </c>
      <c r="K1581">
        <v>19.989999999999998</v>
      </c>
      <c r="L1581" t="s">
        <v>366</v>
      </c>
      <c r="M1581" t="s">
        <v>341</v>
      </c>
      <c r="N1581" s="5" t="s">
        <v>102</v>
      </c>
      <c r="O1581" t="s">
        <v>28</v>
      </c>
      <c r="P1581" t="s">
        <v>21</v>
      </c>
      <c r="Q1581" t="s">
        <v>42</v>
      </c>
      <c r="R1581">
        <v>0.39</v>
      </c>
      <c r="S1581" s="1">
        <v>41036</v>
      </c>
      <c r="T1581" t="str">
        <f t="shared" si="49"/>
        <v>07-May-2012</v>
      </c>
    </row>
    <row r="1582" spans="1:20" x14ac:dyDescent="0.3">
      <c r="A1582">
        <v>47015</v>
      </c>
      <c r="B1582" s="1">
        <v>40587</v>
      </c>
      <c r="C1582" t="s">
        <v>31</v>
      </c>
      <c r="D1582" t="str">
        <f t="shared" si="48"/>
        <v>13-Feb-2011</v>
      </c>
      <c r="E1582">
        <v>19</v>
      </c>
      <c r="F1582" s="13">
        <v>5441.06</v>
      </c>
      <c r="G1582">
        <v>0.06</v>
      </c>
      <c r="H1582" t="s">
        <v>24</v>
      </c>
      <c r="I1582" s="13">
        <v>-557.20000000000005</v>
      </c>
      <c r="J1582">
        <v>286.85000000000002</v>
      </c>
      <c r="K1582">
        <v>61.76</v>
      </c>
      <c r="L1582" t="s">
        <v>81</v>
      </c>
      <c r="M1582" t="s">
        <v>341</v>
      </c>
      <c r="N1582" s="5" t="s">
        <v>102</v>
      </c>
      <c r="O1582" t="s">
        <v>28</v>
      </c>
      <c r="P1582" t="s">
        <v>32</v>
      </c>
      <c r="Q1582" t="s">
        <v>46</v>
      </c>
      <c r="R1582">
        <v>0.78</v>
      </c>
      <c r="S1582" s="1">
        <v>40588</v>
      </c>
      <c r="T1582" t="str">
        <f t="shared" si="49"/>
        <v>14-Feb-2011</v>
      </c>
    </row>
    <row r="1583" spans="1:20" x14ac:dyDescent="0.3">
      <c r="A1583">
        <v>43045</v>
      </c>
      <c r="B1583" s="1">
        <v>41074</v>
      </c>
      <c r="C1583" t="s">
        <v>38</v>
      </c>
      <c r="D1583" t="str">
        <f t="shared" si="48"/>
        <v>14-Jun-2012</v>
      </c>
      <c r="E1583">
        <v>47</v>
      </c>
      <c r="F1583" s="13">
        <v>5301.2</v>
      </c>
      <c r="G1583">
        <v>0.01</v>
      </c>
      <c r="H1583" t="s">
        <v>19</v>
      </c>
      <c r="I1583" s="13">
        <v>1126.72</v>
      </c>
      <c r="J1583">
        <v>105.29</v>
      </c>
      <c r="K1583">
        <v>10.119999999999999</v>
      </c>
      <c r="L1583" t="s">
        <v>131</v>
      </c>
      <c r="M1583" t="s">
        <v>341</v>
      </c>
      <c r="N1583" s="5" t="s">
        <v>102</v>
      </c>
      <c r="O1583" t="s">
        <v>28</v>
      </c>
      <c r="P1583" t="s">
        <v>32</v>
      </c>
      <c r="Q1583" t="s">
        <v>33</v>
      </c>
      <c r="R1583">
        <v>0.79</v>
      </c>
      <c r="S1583" s="1">
        <v>41076</v>
      </c>
      <c r="T1583" t="str">
        <f t="shared" si="49"/>
        <v>16-Jun-2012</v>
      </c>
    </row>
    <row r="1584" spans="1:20" x14ac:dyDescent="0.3">
      <c r="A1584">
        <v>41766</v>
      </c>
      <c r="B1584" s="1">
        <v>41163</v>
      </c>
      <c r="C1584" t="s">
        <v>43</v>
      </c>
      <c r="D1584" t="str">
        <f t="shared" si="48"/>
        <v>11-Sep-2012</v>
      </c>
      <c r="E1584">
        <v>10</v>
      </c>
      <c r="F1584" s="13">
        <v>5158.09</v>
      </c>
      <c r="G1584">
        <v>0.01</v>
      </c>
      <c r="H1584" t="s">
        <v>24</v>
      </c>
      <c r="I1584" s="13">
        <v>969.05</v>
      </c>
      <c r="J1584">
        <v>500.98</v>
      </c>
      <c r="K1584">
        <v>28.14</v>
      </c>
      <c r="L1584" t="s">
        <v>239</v>
      </c>
      <c r="M1584" t="s">
        <v>341</v>
      </c>
      <c r="N1584" s="5" t="s">
        <v>102</v>
      </c>
      <c r="O1584" t="s">
        <v>28</v>
      </c>
      <c r="P1584" t="s">
        <v>29</v>
      </c>
      <c r="Q1584" t="s">
        <v>74</v>
      </c>
      <c r="R1584">
        <v>0.38</v>
      </c>
      <c r="S1584" s="1">
        <v>41164</v>
      </c>
      <c r="T1584" t="str">
        <f t="shared" si="49"/>
        <v>12-Sep-2012</v>
      </c>
    </row>
    <row r="1585" spans="1:20" x14ac:dyDescent="0.3">
      <c r="A1585">
        <v>6272</v>
      </c>
      <c r="B1585" s="1">
        <v>40236</v>
      </c>
      <c r="C1585" t="s">
        <v>23</v>
      </c>
      <c r="D1585" t="str">
        <f t="shared" si="48"/>
        <v>27-Feb-2010</v>
      </c>
      <c r="E1585">
        <v>48</v>
      </c>
      <c r="F1585" s="13">
        <v>4965.384</v>
      </c>
      <c r="G1585">
        <v>0</v>
      </c>
      <c r="H1585" t="s">
        <v>24</v>
      </c>
      <c r="I1585" s="13">
        <v>-175.46</v>
      </c>
      <c r="J1585">
        <v>124.49</v>
      </c>
      <c r="K1585">
        <v>51.94</v>
      </c>
      <c r="L1585" t="s">
        <v>368</v>
      </c>
      <c r="M1585" t="s">
        <v>341</v>
      </c>
      <c r="N1585" s="5" t="s">
        <v>102</v>
      </c>
      <c r="O1585" t="s">
        <v>28</v>
      </c>
      <c r="P1585" t="s">
        <v>32</v>
      </c>
      <c r="Q1585" t="s">
        <v>46</v>
      </c>
      <c r="R1585">
        <v>0.63</v>
      </c>
      <c r="S1585" s="1">
        <v>40238</v>
      </c>
      <c r="T1585" t="str">
        <f t="shared" si="49"/>
        <v>01-Mar-2010</v>
      </c>
    </row>
    <row r="1586" spans="1:20" x14ac:dyDescent="0.3">
      <c r="A1586">
        <v>31106</v>
      </c>
      <c r="B1586" s="1">
        <v>40955</v>
      </c>
      <c r="C1586" t="s">
        <v>18</v>
      </c>
      <c r="D1586" t="str">
        <f t="shared" si="48"/>
        <v>16-Feb-2012</v>
      </c>
      <c r="E1586">
        <v>43</v>
      </c>
      <c r="F1586" s="13">
        <v>4697.0320000000002</v>
      </c>
      <c r="G1586">
        <v>0</v>
      </c>
      <c r="H1586" t="s">
        <v>19</v>
      </c>
      <c r="I1586" s="13">
        <v>1263.01</v>
      </c>
      <c r="J1586">
        <v>125.99</v>
      </c>
      <c r="K1586">
        <v>5.63</v>
      </c>
      <c r="L1586" t="s">
        <v>352</v>
      </c>
      <c r="M1586" t="s">
        <v>341</v>
      </c>
      <c r="N1586" s="5" t="s">
        <v>102</v>
      </c>
      <c r="O1586" t="s">
        <v>28</v>
      </c>
      <c r="P1586" t="s">
        <v>29</v>
      </c>
      <c r="Q1586" t="s">
        <v>30</v>
      </c>
      <c r="R1586">
        <v>0.6</v>
      </c>
      <c r="S1586" s="1">
        <v>40962</v>
      </c>
      <c r="T1586" t="str">
        <f t="shared" si="49"/>
        <v>23-Feb-2012</v>
      </c>
    </row>
    <row r="1587" spans="1:20" x14ac:dyDescent="0.3">
      <c r="A1587">
        <v>19841</v>
      </c>
      <c r="B1587" s="1">
        <v>40538</v>
      </c>
      <c r="C1587" t="s">
        <v>18</v>
      </c>
      <c r="D1587" t="str">
        <f t="shared" si="48"/>
        <v>26-Dec-2010</v>
      </c>
      <c r="E1587">
        <v>43</v>
      </c>
      <c r="F1587" s="13">
        <v>4687.6734999999999</v>
      </c>
      <c r="G1587">
        <v>0.06</v>
      </c>
      <c r="H1587" t="s">
        <v>35</v>
      </c>
      <c r="I1587" s="13">
        <v>1304.56</v>
      </c>
      <c r="J1587">
        <v>125.99</v>
      </c>
      <c r="K1587">
        <v>8.08</v>
      </c>
      <c r="L1587" t="s">
        <v>266</v>
      </c>
      <c r="M1587" t="s">
        <v>341</v>
      </c>
      <c r="N1587" s="5" t="s">
        <v>102</v>
      </c>
      <c r="O1587" t="s">
        <v>28</v>
      </c>
      <c r="P1587" t="s">
        <v>29</v>
      </c>
      <c r="Q1587" t="s">
        <v>30</v>
      </c>
      <c r="R1587">
        <v>0.56999999999999995</v>
      </c>
      <c r="S1587" s="1">
        <v>40557</v>
      </c>
      <c r="T1587" t="str">
        <f t="shared" si="49"/>
        <v>14-Jan-2011</v>
      </c>
    </row>
    <row r="1588" spans="1:20" x14ac:dyDescent="0.3">
      <c r="A1588">
        <v>32455</v>
      </c>
      <c r="B1588" s="1">
        <v>40444</v>
      </c>
      <c r="C1588" t="s">
        <v>23</v>
      </c>
      <c r="D1588" t="str">
        <f t="shared" si="48"/>
        <v>23-Sep-2010</v>
      </c>
      <c r="E1588">
        <v>43</v>
      </c>
      <c r="F1588" s="13">
        <v>4620.53</v>
      </c>
      <c r="G1588">
        <v>0</v>
      </c>
      <c r="H1588" t="s">
        <v>19</v>
      </c>
      <c r="I1588" s="13">
        <v>1025.23</v>
      </c>
      <c r="J1588">
        <v>99.99</v>
      </c>
      <c r="K1588">
        <v>19.989999999999998</v>
      </c>
      <c r="L1588" t="s">
        <v>340</v>
      </c>
      <c r="M1588" t="s">
        <v>341</v>
      </c>
      <c r="N1588" s="5" t="s">
        <v>102</v>
      </c>
      <c r="O1588" t="s">
        <v>28</v>
      </c>
      <c r="P1588" t="s">
        <v>29</v>
      </c>
      <c r="Q1588" t="s">
        <v>41</v>
      </c>
      <c r="R1588">
        <v>0.52</v>
      </c>
      <c r="S1588" s="1">
        <v>40445</v>
      </c>
      <c r="T1588" t="str">
        <f t="shared" si="49"/>
        <v>24-Sep-2010</v>
      </c>
    </row>
    <row r="1589" spans="1:20" x14ac:dyDescent="0.3">
      <c r="A1589">
        <v>6501</v>
      </c>
      <c r="B1589" s="1">
        <v>40921</v>
      </c>
      <c r="C1589" t="s">
        <v>23</v>
      </c>
      <c r="D1589" t="str">
        <f t="shared" si="48"/>
        <v>13-Jan-2012</v>
      </c>
      <c r="E1589">
        <v>46</v>
      </c>
      <c r="F1589" s="13">
        <v>4617.3360000000002</v>
      </c>
      <c r="G1589">
        <v>0.09</v>
      </c>
      <c r="H1589" t="s">
        <v>19</v>
      </c>
      <c r="I1589" s="13">
        <v>978.35</v>
      </c>
      <c r="J1589">
        <v>125.99</v>
      </c>
      <c r="K1589">
        <v>7.69</v>
      </c>
      <c r="L1589" t="s">
        <v>369</v>
      </c>
      <c r="M1589" t="s">
        <v>341</v>
      </c>
      <c r="N1589" s="5" t="s">
        <v>102</v>
      </c>
      <c r="O1589" t="s">
        <v>28</v>
      </c>
      <c r="P1589" t="s">
        <v>29</v>
      </c>
      <c r="Q1589" t="s">
        <v>30</v>
      </c>
      <c r="R1589">
        <v>0.57999999999999996</v>
      </c>
      <c r="S1589" s="1">
        <v>40923</v>
      </c>
      <c r="T1589" t="str">
        <f t="shared" si="49"/>
        <v>15-Jan-2012</v>
      </c>
    </row>
    <row r="1590" spans="1:20" x14ac:dyDescent="0.3">
      <c r="A1590">
        <v>25447</v>
      </c>
      <c r="B1590" s="1">
        <v>41052</v>
      </c>
      <c r="C1590" t="s">
        <v>31</v>
      </c>
      <c r="D1590" t="str">
        <f t="shared" si="48"/>
        <v>23-May-2012</v>
      </c>
      <c r="E1590">
        <v>18</v>
      </c>
      <c r="F1590" s="13">
        <v>4428.5600000000004</v>
      </c>
      <c r="G1590">
        <v>0.03</v>
      </c>
      <c r="H1590" t="s">
        <v>24</v>
      </c>
      <c r="I1590" s="13">
        <v>213.62</v>
      </c>
      <c r="J1590">
        <v>296.18</v>
      </c>
      <c r="K1590">
        <v>54.12</v>
      </c>
      <c r="L1590" t="s">
        <v>368</v>
      </c>
      <c r="M1590" t="s">
        <v>341</v>
      </c>
      <c r="N1590" s="5" t="s">
        <v>102</v>
      </c>
      <c r="O1590" t="s">
        <v>28</v>
      </c>
      <c r="P1590" t="s">
        <v>32</v>
      </c>
      <c r="Q1590" t="s">
        <v>46</v>
      </c>
      <c r="R1590">
        <v>0.76</v>
      </c>
      <c r="S1590" s="1">
        <v>41055</v>
      </c>
      <c r="T1590" t="str">
        <f t="shared" si="49"/>
        <v>26-May-2012</v>
      </c>
    </row>
    <row r="1591" spans="1:20" x14ac:dyDescent="0.3">
      <c r="A1591">
        <v>35299</v>
      </c>
      <c r="B1591" s="1">
        <v>41131</v>
      </c>
      <c r="C1591" t="s">
        <v>31</v>
      </c>
      <c r="D1591" t="str">
        <f t="shared" si="48"/>
        <v>10-Aug-2012</v>
      </c>
      <c r="E1591">
        <v>41</v>
      </c>
      <c r="F1591" s="13">
        <v>4359</v>
      </c>
      <c r="G1591">
        <v>0.02</v>
      </c>
      <c r="H1591" t="s">
        <v>19</v>
      </c>
      <c r="I1591" s="13">
        <v>907.67</v>
      </c>
      <c r="J1591">
        <v>99.99</v>
      </c>
      <c r="K1591">
        <v>19.989999999999998</v>
      </c>
      <c r="L1591" t="s">
        <v>344</v>
      </c>
      <c r="M1591" t="s">
        <v>341</v>
      </c>
      <c r="N1591" s="5" t="s">
        <v>102</v>
      </c>
      <c r="O1591" t="s">
        <v>28</v>
      </c>
      <c r="P1591" t="s">
        <v>29</v>
      </c>
      <c r="Q1591" t="s">
        <v>41</v>
      </c>
      <c r="R1591">
        <v>0.52</v>
      </c>
      <c r="S1591" s="1">
        <v>41133</v>
      </c>
      <c r="T1591" t="str">
        <f t="shared" si="49"/>
        <v>12-Aug-2012</v>
      </c>
    </row>
    <row r="1592" spans="1:20" x14ac:dyDescent="0.3">
      <c r="A1592">
        <v>56838</v>
      </c>
      <c r="B1592" s="1">
        <v>40753</v>
      </c>
      <c r="C1592" t="s">
        <v>43</v>
      </c>
      <c r="D1592" t="str">
        <f t="shared" si="48"/>
        <v>29-Jul-2011</v>
      </c>
      <c r="E1592">
        <v>44</v>
      </c>
      <c r="F1592" s="13">
        <v>4326.2700000000004</v>
      </c>
      <c r="G1592">
        <v>0.09</v>
      </c>
      <c r="H1592" t="s">
        <v>19</v>
      </c>
      <c r="I1592" s="13">
        <v>1728.2</v>
      </c>
      <c r="J1592">
        <v>100.98</v>
      </c>
      <c r="K1592">
        <v>7.18</v>
      </c>
      <c r="L1592" t="s">
        <v>365</v>
      </c>
      <c r="M1592" t="s">
        <v>341</v>
      </c>
      <c r="N1592" s="5" t="s">
        <v>102</v>
      </c>
      <c r="O1592" t="s">
        <v>28</v>
      </c>
      <c r="P1592" t="s">
        <v>29</v>
      </c>
      <c r="Q1592" t="s">
        <v>41</v>
      </c>
      <c r="R1592">
        <v>0.4</v>
      </c>
      <c r="S1592" s="1">
        <v>40754</v>
      </c>
      <c r="T1592" t="str">
        <f t="shared" si="49"/>
        <v>30-Jul-2011</v>
      </c>
    </row>
    <row r="1593" spans="1:20" x14ac:dyDescent="0.3">
      <c r="A1593">
        <v>38659</v>
      </c>
      <c r="B1593" s="1">
        <v>40267</v>
      </c>
      <c r="C1593" t="s">
        <v>18</v>
      </c>
      <c r="D1593" t="str">
        <f t="shared" si="48"/>
        <v>30-Mar-2010</v>
      </c>
      <c r="E1593">
        <v>32</v>
      </c>
      <c r="F1593" s="13">
        <v>4025.66</v>
      </c>
      <c r="G1593">
        <v>0.05</v>
      </c>
      <c r="H1593" t="s">
        <v>24</v>
      </c>
      <c r="I1593" s="13">
        <v>-395.12</v>
      </c>
      <c r="J1593">
        <v>124.49</v>
      </c>
      <c r="K1593">
        <v>51.94</v>
      </c>
      <c r="L1593" t="s">
        <v>356</v>
      </c>
      <c r="M1593" t="s">
        <v>341</v>
      </c>
      <c r="N1593" s="5" t="s">
        <v>102</v>
      </c>
      <c r="O1593" t="s">
        <v>28</v>
      </c>
      <c r="P1593" t="s">
        <v>32</v>
      </c>
      <c r="Q1593" t="s">
        <v>46</v>
      </c>
      <c r="R1593">
        <v>0.63</v>
      </c>
      <c r="S1593" s="1">
        <v>40274</v>
      </c>
      <c r="T1593" t="str">
        <f t="shared" si="49"/>
        <v>06-Apr-2010</v>
      </c>
    </row>
    <row r="1594" spans="1:20" x14ac:dyDescent="0.3">
      <c r="A1594">
        <v>38659</v>
      </c>
      <c r="B1594" s="1">
        <v>40267</v>
      </c>
      <c r="C1594" t="s">
        <v>18</v>
      </c>
      <c r="D1594" t="str">
        <f t="shared" si="48"/>
        <v>30-Mar-2010</v>
      </c>
      <c r="E1594">
        <v>48</v>
      </c>
      <c r="F1594" s="13">
        <v>3982.42</v>
      </c>
      <c r="G1594">
        <v>0.04</v>
      </c>
      <c r="H1594" t="s">
        <v>19</v>
      </c>
      <c r="I1594" s="13">
        <v>1560.82</v>
      </c>
      <c r="J1594">
        <v>83.1</v>
      </c>
      <c r="K1594">
        <v>6.13</v>
      </c>
      <c r="L1594" t="s">
        <v>356</v>
      </c>
      <c r="M1594" t="s">
        <v>341</v>
      </c>
      <c r="N1594" s="5" t="s">
        <v>102</v>
      </c>
      <c r="O1594" t="s">
        <v>28</v>
      </c>
      <c r="P1594" t="s">
        <v>29</v>
      </c>
      <c r="Q1594" t="s">
        <v>41</v>
      </c>
      <c r="R1594">
        <v>0.45</v>
      </c>
      <c r="S1594" s="1">
        <v>40271</v>
      </c>
      <c r="T1594" t="str">
        <f t="shared" si="49"/>
        <v>03-Apr-2010</v>
      </c>
    </row>
    <row r="1595" spans="1:20" x14ac:dyDescent="0.3">
      <c r="A1595">
        <v>56032</v>
      </c>
      <c r="B1595" s="1">
        <v>40896</v>
      </c>
      <c r="C1595" t="s">
        <v>31</v>
      </c>
      <c r="D1595" t="str">
        <f t="shared" si="48"/>
        <v>19-Dec-2011</v>
      </c>
      <c r="E1595">
        <v>25</v>
      </c>
      <c r="F1595" s="13">
        <v>3923.27</v>
      </c>
      <c r="G1595">
        <v>0.03</v>
      </c>
      <c r="H1595" t="s">
        <v>24</v>
      </c>
      <c r="I1595" s="13">
        <v>-85.86</v>
      </c>
      <c r="J1595">
        <v>159.31</v>
      </c>
      <c r="K1595">
        <v>60</v>
      </c>
      <c r="L1595" t="s">
        <v>225</v>
      </c>
      <c r="M1595" t="s">
        <v>341</v>
      </c>
      <c r="N1595" s="5" t="s">
        <v>102</v>
      </c>
      <c r="O1595" t="s">
        <v>28</v>
      </c>
      <c r="P1595" t="s">
        <v>32</v>
      </c>
      <c r="Q1595" t="s">
        <v>46</v>
      </c>
      <c r="R1595">
        <v>0.55000000000000004</v>
      </c>
      <c r="S1595" s="1">
        <v>40898</v>
      </c>
      <c r="T1595" t="str">
        <f t="shared" si="49"/>
        <v>21-Dec-2011</v>
      </c>
    </row>
    <row r="1596" spans="1:20" x14ac:dyDescent="0.3">
      <c r="A1596">
        <v>1287</v>
      </c>
      <c r="B1596" s="1">
        <v>39998</v>
      </c>
      <c r="C1596" t="s">
        <v>23</v>
      </c>
      <c r="D1596" t="str">
        <f t="shared" si="48"/>
        <v>04-Jul-2009</v>
      </c>
      <c r="E1596">
        <v>39</v>
      </c>
      <c r="F1596" s="13">
        <v>3908.65</v>
      </c>
      <c r="G1596">
        <v>0.06</v>
      </c>
      <c r="H1596" t="s">
        <v>19</v>
      </c>
      <c r="I1596" s="13">
        <v>480.57</v>
      </c>
      <c r="J1596">
        <v>105.29</v>
      </c>
      <c r="K1596">
        <v>10.119999999999999</v>
      </c>
      <c r="L1596" t="s">
        <v>342</v>
      </c>
      <c r="M1596" t="s">
        <v>341</v>
      </c>
      <c r="N1596" s="5" t="s">
        <v>102</v>
      </c>
      <c r="O1596" t="s">
        <v>28</v>
      </c>
      <c r="P1596" t="s">
        <v>32</v>
      </c>
      <c r="Q1596" t="s">
        <v>33</v>
      </c>
      <c r="R1596">
        <v>0.79</v>
      </c>
      <c r="S1596" s="1">
        <v>40000</v>
      </c>
      <c r="T1596" t="str">
        <f t="shared" si="49"/>
        <v>06-Jul-2009</v>
      </c>
    </row>
    <row r="1597" spans="1:20" x14ac:dyDescent="0.3">
      <c r="A1597">
        <v>2593</v>
      </c>
      <c r="B1597" s="1">
        <v>40424</v>
      </c>
      <c r="C1597" t="s">
        <v>23</v>
      </c>
      <c r="D1597" t="str">
        <f t="shared" si="48"/>
        <v>03-Sep-2010</v>
      </c>
      <c r="E1597">
        <v>15</v>
      </c>
      <c r="F1597" s="13">
        <v>3841.72</v>
      </c>
      <c r="G1597">
        <v>0.03</v>
      </c>
      <c r="H1597" t="s">
        <v>24</v>
      </c>
      <c r="I1597" s="13">
        <v>691.13</v>
      </c>
      <c r="J1597">
        <v>243.98</v>
      </c>
      <c r="K1597">
        <v>43.32</v>
      </c>
      <c r="L1597" t="s">
        <v>343</v>
      </c>
      <c r="M1597" t="s">
        <v>341</v>
      </c>
      <c r="N1597" s="5" t="s">
        <v>102</v>
      </c>
      <c r="O1597" t="s">
        <v>28</v>
      </c>
      <c r="P1597" t="s">
        <v>32</v>
      </c>
      <c r="Q1597" t="s">
        <v>56</v>
      </c>
      <c r="R1597">
        <v>0.55000000000000004</v>
      </c>
      <c r="S1597" s="1">
        <v>40425</v>
      </c>
      <c r="T1597" t="str">
        <f t="shared" si="49"/>
        <v>04-Sep-2010</v>
      </c>
    </row>
    <row r="1598" spans="1:20" x14ac:dyDescent="0.3">
      <c r="A1598">
        <v>19974</v>
      </c>
      <c r="B1598" s="1">
        <v>40485</v>
      </c>
      <c r="C1598" t="s">
        <v>23</v>
      </c>
      <c r="D1598" t="str">
        <f t="shared" si="48"/>
        <v>03-Nov-2010</v>
      </c>
      <c r="E1598">
        <v>14</v>
      </c>
      <c r="F1598" s="13">
        <v>3830.84</v>
      </c>
      <c r="G1598">
        <v>0.1</v>
      </c>
      <c r="H1598" t="s">
        <v>24</v>
      </c>
      <c r="I1598" s="13">
        <v>635.33000000000004</v>
      </c>
      <c r="J1598">
        <v>279.81</v>
      </c>
      <c r="K1598">
        <v>23.19</v>
      </c>
      <c r="L1598" t="s">
        <v>173</v>
      </c>
      <c r="M1598" t="s">
        <v>341</v>
      </c>
      <c r="N1598" s="5" t="s">
        <v>102</v>
      </c>
      <c r="O1598" t="s">
        <v>28</v>
      </c>
      <c r="P1598" t="s">
        <v>21</v>
      </c>
      <c r="Q1598" t="s">
        <v>25</v>
      </c>
      <c r="R1598">
        <v>0.59</v>
      </c>
      <c r="S1598" s="1">
        <v>40487</v>
      </c>
      <c r="T1598" t="str">
        <f t="shared" si="49"/>
        <v>05-Nov-2010</v>
      </c>
    </row>
    <row r="1599" spans="1:20" x14ac:dyDescent="0.3">
      <c r="A1599">
        <v>59779</v>
      </c>
      <c r="B1599" s="1">
        <v>39950</v>
      </c>
      <c r="C1599" t="s">
        <v>18</v>
      </c>
      <c r="D1599" t="str">
        <f t="shared" si="48"/>
        <v>17-May-2009</v>
      </c>
      <c r="E1599">
        <v>30</v>
      </c>
      <c r="F1599" s="13">
        <v>3575.23</v>
      </c>
      <c r="G1599">
        <v>0.04</v>
      </c>
      <c r="H1599" t="s">
        <v>24</v>
      </c>
      <c r="I1599" s="13">
        <v>87.88</v>
      </c>
      <c r="J1599">
        <v>113.98</v>
      </c>
      <c r="K1599">
        <v>30</v>
      </c>
      <c r="L1599" t="s">
        <v>239</v>
      </c>
      <c r="M1599" t="s">
        <v>341</v>
      </c>
      <c r="N1599" s="5" t="s">
        <v>102</v>
      </c>
      <c r="O1599" t="s">
        <v>28</v>
      </c>
      <c r="P1599" t="s">
        <v>32</v>
      </c>
      <c r="Q1599" t="s">
        <v>56</v>
      </c>
      <c r="R1599">
        <v>0.69</v>
      </c>
      <c r="S1599" s="1">
        <v>39957</v>
      </c>
      <c r="T1599" t="str">
        <f t="shared" si="49"/>
        <v>24-May-2009</v>
      </c>
    </row>
    <row r="1600" spans="1:20" x14ac:dyDescent="0.3">
      <c r="A1600">
        <v>52419</v>
      </c>
      <c r="B1600" s="1">
        <v>41170</v>
      </c>
      <c r="C1600" t="s">
        <v>23</v>
      </c>
      <c r="D1600" t="str">
        <f t="shared" si="48"/>
        <v>18-Sep-2012</v>
      </c>
      <c r="E1600">
        <v>32</v>
      </c>
      <c r="F1600" s="13">
        <v>3500.49</v>
      </c>
      <c r="G1600">
        <v>0.09</v>
      </c>
      <c r="H1600" t="s">
        <v>19</v>
      </c>
      <c r="I1600" s="13">
        <v>230.64</v>
      </c>
      <c r="J1600">
        <v>111.03</v>
      </c>
      <c r="K1600">
        <v>8.64</v>
      </c>
      <c r="L1600" t="s">
        <v>96</v>
      </c>
      <c r="M1600" t="s">
        <v>341</v>
      </c>
      <c r="N1600" s="5" t="s">
        <v>102</v>
      </c>
      <c r="O1600" t="s">
        <v>28</v>
      </c>
      <c r="P1600" t="s">
        <v>21</v>
      </c>
      <c r="Q1600" t="s">
        <v>22</v>
      </c>
      <c r="R1600">
        <v>0.78</v>
      </c>
      <c r="S1600" s="1">
        <v>41171</v>
      </c>
      <c r="T1600" t="str">
        <f t="shared" si="49"/>
        <v>19-Sep-2012</v>
      </c>
    </row>
    <row r="1601" spans="1:20" x14ac:dyDescent="0.3">
      <c r="A1601">
        <v>43110</v>
      </c>
      <c r="B1601" s="1">
        <v>40580</v>
      </c>
      <c r="C1601" t="s">
        <v>23</v>
      </c>
      <c r="D1601" t="str">
        <f t="shared" si="48"/>
        <v>06-Feb-2011</v>
      </c>
      <c r="E1601">
        <v>1</v>
      </c>
      <c r="F1601" s="13">
        <v>3457.99</v>
      </c>
      <c r="G1601">
        <v>0.05</v>
      </c>
      <c r="H1601" t="s">
        <v>19</v>
      </c>
      <c r="I1601" s="13">
        <v>-11861.46</v>
      </c>
      <c r="J1601">
        <v>3499.99</v>
      </c>
      <c r="K1601">
        <v>24.49</v>
      </c>
      <c r="L1601" t="s">
        <v>357</v>
      </c>
      <c r="M1601" t="s">
        <v>341</v>
      </c>
      <c r="N1601" s="5" t="s">
        <v>102</v>
      </c>
      <c r="O1601" t="s">
        <v>28</v>
      </c>
      <c r="P1601" t="s">
        <v>29</v>
      </c>
      <c r="Q1601" t="s">
        <v>51</v>
      </c>
      <c r="R1601">
        <v>0.37</v>
      </c>
      <c r="S1601" s="1">
        <v>40582</v>
      </c>
      <c r="T1601" t="str">
        <f t="shared" si="49"/>
        <v>08-Feb-2011</v>
      </c>
    </row>
    <row r="1602" spans="1:20" x14ac:dyDescent="0.3">
      <c r="A1602">
        <v>59008</v>
      </c>
      <c r="B1602" s="1">
        <v>40450</v>
      </c>
      <c r="C1602" t="s">
        <v>43</v>
      </c>
      <c r="D1602" t="str">
        <f t="shared" ref="D1602:D1665" si="50">TEXT(B1602, "dd-mmm-yyyy" )</f>
        <v>29-Sep-2010</v>
      </c>
      <c r="E1602">
        <v>39</v>
      </c>
      <c r="F1602" s="13">
        <v>3451.85</v>
      </c>
      <c r="G1602">
        <v>0.05</v>
      </c>
      <c r="H1602" t="s">
        <v>24</v>
      </c>
      <c r="I1602" s="13">
        <v>1264.75</v>
      </c>
      <c r="J1602">
        <v>90.97</v>
      </c>
      <c r="K1602">
        <v>14</v>
      </c>
      <c r="L1602" t="s">
        <v>163</v>
      </c>
      <c r="M1602" t="s">
        <v>341</v>
      </c>
      <c r="N1602" s="5" t="s">
        <v>102</v>
      </c>
      <c r="O1602" t="s">
        <v>28</v>
      </c>
      <c r="P1602" t="s">
        <v>29</v>
      </c>
      <c r="Q1602" t="s">
        <v>74</v>
      </c>
      <c r="R1602">
        <v>0.36</v>
      </c>
      <c r="S1602" s="1">
        <v>40450</v>
      </c>
      <c r="T1602" t="str">
        <f t="shared" ref="T1602:T1665" si="51">TEXT(S1602, "dd-mmm-yyyy")</f>
        <v>29-Sep-2010</v>
      </c>
    </row>
    <row r="1603" spans="1:20" x14ac:dyDescent="0.3">
      <c r="A1603">
        <v>57767</v>
      </c>
      <c r="B1603" s="1">
        <v>41010</v>
      </c>
      <c r="C1603" t="s">
        <v>43</v>
      </c>
      <c r="D1603" t="str">
        <f t="shared" si="50"/>
        <v>11-Apr-2012</v>
      </c>
      <c r="E1603">
        <v>34</v>
      </c>
      <c r="F1603" s="13">
        <v>3373.7094999999999</v>
      </c>
      <c r="G1603">
        <v>0.01</v>
      </c>
      <c r="H1603" t="s">
        <v>19</v>
      </c>
      <c r="I1603" s="13">
        <v>861.72</v>
      </c>
      <c r="J1603">
        <v>110.99</v>
      </c>
      <c r="K1603">
        <v>8.99</v>
      </c>
      <c r="L1603" t="s">
        <v>355</v>
      </c>
      <c r="M1603" t="s">
        <v>341</v>
      </c>
      <c r="N1603" s="5" t="s">
        <v>102</v>
      </c>
      <c r="O1603" t="s">
        <v>28</v>
      </c>
      <c r="P1603" t="s">
        <v>29</v>
      </c>
      <c r="Q1603" t="s">
        <v>30</v>
      </c>
      <c r="R1603">
        <v>0.56999999999999995</v>
      </c>
      <c r="S1603" s="1">
        <v>41012</v>
      </c>
      <c r="T1603" t="str">
        <f t="shared" si="51"/>
        <v>13-Apr-2012</v>
      </c>
    </row>
    <row r="1604" spans="1:20" x14ac:dyDescent="0.3">
      <c r="A1604">
        <v>12194</v>
      </c>
      <c r="B1604" s="1">
        <v>40603</v>
      </c>
      <c r="C1604" t="s">
        <v>43</v>
      </c>
      <c r="D1604" t="str">
        <f t="shared" si="50"/>
        <v>01-Mar-2011</v>
      </c>
      <c r="E1604">
        <v>19</v>
      </c>
      <c r="F1604" s="13">
        <v>3355.154</v>
      </c>
      <c r="G1604">
        <v>0</v>
      </c>
      <c r="H1604" t="s">
        <v>19</v>
      </c>
      <c r="I1604" s="13">
        <v>658.5</v>
      </c>
      <c r="J1604">
        <v>195.99</v>
      </c>
      <c r="K1604">
        <v>3.99</v>
      </c>
      <c r="L1604" t="s">
        <v>357</v>
      </c>
      <c r="M1604" t="s">
        <v>341</v>
      </c>
      <c r="N1604" s="5" t="s">
        <v>102</v>
      </c>
      <c r="O1604" t="s">
        <v>28</v>
      </c>
      <c r="P1604" t="s">
        <v>29</v>
      </c>
      <c r="Q1604" t="s">
        <v>30</v>
      </c>
      <c r="R1604">
        <v>0.57999999999999996</v>
      </c>
      <c r="S1604" s="1">
        <v>40604</v>
      </c>
      <c r="T1604" t="str">
        <f t="shared" si="51"/>
        <v>02-Mar-2011</v>
      </c>
    </row>
    <row r="1605" spans="1:20" x14ac:dyDescent="0.3">
      <c r="A1605">
        <v>8007</v>
      </c>
      <c r="B1605" s="1">
        <v>40950</v>
      </c>
      <c r="C1605" t="s">
        <v>18</v>
      </c>
      <c r="D1605" t="str">
        <f t="shared" si="50"/>
        <v>11-Feb-2012</v>
      </c>
      <c r="E1605">
        <v>35</v>
      </c>
      <c r="F1605" s="13">
        <v>3332.06</v>
      </c>
      <c r="G1605">
        <v>0.09</v>
      </c>
      <c r="H1605" t="s">
        <v>19</v>
      </c>
      <c r="I1605" s="13">
        <v>412.63</v>
      </c>
      <c r="J1605">
        <v>99.99</v>
      </c>
      <c r="K1605">
        <v>19.989999999999998</v>
      </c>
      <c r="L1605" t="s">
        <v>144</v>
      </c>
      <c r="M1605" t="s">
        <v>341</v>
      </c>
      <c r="N1605" s="5" t="s">
        <v>102</v>
      </c>
      <c r="O1605" t="s">
        <v>28</v>
      </c>
      <c r="P1605" t="s">
        <v>29</v>
      </c>
      <c r="Q1605" t="s">
        <v>74</v>
      </c>
      <c r="R1605">
        <v>0.52</v>
      </c>
      <c r="S1605" s="1">
        <v>40950</v>
      </c>
      <c r="T1605" t="str">
        <f t="shared" si="51"/>
        <v>11-Feb-2012</v>
      </c>
    </row>
    <row r="1606" spans="1:20" x14ac:dyDescent="0.3">
      <c r="A1606">
        <v>25926</v>
      </c>
      <c r="B1606" s="1">
        <v>40137</v>
      </c>
      <c r="C1606" t="s">
        <v>23</v>
      </c>
      <c r="D1606" t="str">
        <f t="shared" si="50"/>
        <v>20-Nov-2009</v>
      </c>
      <c r="E1606">
        <v>20</v>
      </c>
      <c r="F1606" s="13">
        <v>3300.2159999999999</v>
      </c>
      <c r="G1606">
        <v>0.1</v>
      </c>
      <c r="H1606" t="s">
        <v>24</v>
      </c>
      <c r="I1606" s="13">
        <v>-855.03</v>
      </c>
      <c r="J1606">
        <v>218.75</v>
      </c>
      <c r="K1606">
        <v>69.64</v>
      </c>
      <c r="L1606" t="s">
        <v>348</v>
      </c>
      <c r="M1606" t="s">
        <v>341</v>
      </c>
      <c r="N1606" s="5" t="s">
        <v>102</v>
      </c>
      <c r="O1606" t="s">
        <v>28</v>
      </c>
      <c r="P1606" t="s">
        <v>32</v>
      </c>
      <c r="Q1606" t="s">
        <v>46</v>
      </c>
      <c r="R1606">
        <v>0.77</v>
      </c>
      <c r="S1606" s="1">
        <v>40138</v>
      </c>
      <c r="T1606" t="str">
        <f t="shared" si="51"/>
        <v>21-Nov-2009</v>
      </c>
    </row>
    <row r="1607" spans="1:20" x14ac:dyDescent="0.3">
      <c r="A1607">
        <v>6272</v>
      </c>
      <c r="B1607" s="1">
        <v>40236</v>
      </c>
      <c r="C1607" t="s">
        <v>23</v>
      </c>
      <c r="D1607" t="str">
        <f t="shared" si="50"/>
        <v>27-Feb-2010</v>
      </c>
      <c r="E1607">
        <v>31</v>
      </c>
      <c r="F1607" s="13">
        <v>3232.68</v>
      </c>
      <c r="G1607">
        <v>0.03</v>
      </c>
      <c r="H1607" t="s">
        <v>19</v>
      </c>
      <c r="I1607" s="13">
        <v>875.45</v>
      </c>
      <c r="J1607">
        <v>105.98</v>
      </c>
      <c r="K1607">
        <v>13.99</v>
      </c>
      <c r="L1607" t="s">
        <v>368</v>
      </c>
      <c r="M1607" t="s">
        <v>341</v>
      </c>
      <c r="N1607" s="5" t="s">
        <v>102</v>
      </c>
      <c r="O1607" t="s">
        <v>28</v>
      </c>
      <c r="P1607" t="s">
        <v>32</v>
      </c>
      <c r="Q1607" t="s">
        <v>33</v>
      </c>
      <c r="R1607">
        <v>0.65</v>
      </c>
      <c r="S1607" s="1">
        <v>40238</v>
      </c>
      <c r="T1607" t="str">
        <f t="shared" si="51"/>
        <v>01-Mar-2010</v>
      </c>
    </row>
    <row r="1608" spans="1:20" x14ac:dyDescent="0.3">
      <c r="A1608">
        <v>36676</v>
      </c>
      <c r="B1608" s="1">
        <v>40780</v>
      </c>
      <c r="C1608" t="s">
        <v>31</v>
      </c>
      <c r="D1608" t="str">
        <f t="shared" si="50"/>
        <v>25-Aug-2011</v>
      </c>
      <c r="E1608">
        <v>32</v>
      </c>
      <c r="F1608" s="13">
        <v>3046.01</v>
      </c>
      <c r="G1608">
        <v>0.08</v>
      </c>
      <c r="H1608" t="s">
        <v>24</v>
      </c>
      <c r="I1608" s="13">
        <v>998.65</v>
      </c>
      <c r="J1608">
        <v>100.97</v>
      </c>
      <c r="K1608">
        <v>14</v>
      </c>
      <c r="L1608" t="s">
        <v>342</v>
      </c>
      <c r="M1608" t="s">
        <v>341</v>
      </c>
      <c r="N1608" s="5" t="s">
        <v>102</v>
      </c>
      <c r="O1608" t="s">
        <v>28</v>
      </c>
      <c r="P1608" t="s">
        <v>29</v>
      </c>
      <c r="Q1608" t="s">
        <v>74</v>
      </c>
      <c r="R1608">
        <v>0.37</v>
      </c>
      <c r="S1608" s="1">
        <v>40782</v>
      </c>
      <c r="T1608" t="str">
        <f t="shared" si="51"/>
        <v>27-Aug-2011</v>
      </c>
    </row>
    <row r="1609" spans="1:20" x14ac:dyDescent="0.3">
      <c r="A1609">
        <v>4674</v>
      </c>
      <c r="B1609" s="1">
        <v>39921</v>
      </c>
      <c r="C1609" t="s">
        <v>43</v>
      </c>
      <c r="D1609" t="str">
        <f t="shared" si="50"/>
        <v>18-Apr-2009</v>
      </c>
      <c r="E1609">
        <v>23</v>
      </c>
      <c r="F1609" s="13">
        <v>3041.33</v>
      </c>
      <c r="G1609">
        <v>0.02</v>
      </c>
      <c r="H1609" t="s">
        <v>24</v>
      </c>
      <c r="I1609" s="13">
        <v>-260.41000000000003</v>
      </c>
      <c r="J1609">
        <v>130.97999999999999</v>
      </c>
      <c r="K1609">
        <v>30</v>
      </c>
      <c r="L1609" t="s">
        <v>366</v>
      </c>
      <c r="M1609" t="s">
        <v>341</v>
      </c>
      <c r="N1609" s="5" t="s">
        <v>102</v>
      </c>
      <c r="O1609" t="s">
        <v>28</v>
      </c>
      <c r="P1609" t="s">
        <v>32</v>
      </c>
      <c r="Q1609" t="s">
        <v>56</v>
      </c>
      <c r="R1609">
        <v>0.78</v>
      </c>
      <c r="S1609" s="1">
        <v>39922</v>
      </c>
      <c r="T1609" t="str">
        <f t="shared" si="51"/>
        <v>19-Apr-2009</v>
      </c>
    </row>
    <row r="1610" spans="1:20" x14ac:dyDescent="0.3">
      <c r="A1610">
        <v>4583</v>
      </c>
      <c r="B1610" s="1">
        <v>40080</v>
      </c>
      <c r="C1610" t="s">
        <v>38</v>
      </c>
      <c r="D1610" t="str">
        <f t="shared" si="50"/>
        <v>24-Sep-2009</v>
      </c>
      <c r="E1610">
        <v>44</v>
      </c>
      <c r="F1610" s="13">
        <v>3021.64</v>
      </c>
      <c r="G1610">
        <v>7.0000000000000007E-2</v>
      </c>
      <c r="H1610" t="s">
        <v>24</v>
      </c>
      <c r="I1610" s="13">
        <v>-720.2</v>
      </c>
      <c r="J1610">
        <v>70.98</v>
      </c>
      <c r="K1610">
        <v>30</v>
      </c>
      <c r="L1610" t="s">
        <v>357</v>
      </c>
      <c r="M1610" t="s">
        <v>341</v>
      </c>
      <c r="N1610" s="5" t="s">
        <v>102</v>
      </c>
      <c r="O1610" t="s">
        <v>28</v>
      </c>
      <c r="P1610" t="s">
        <v>32</v>
      </c>
      <c r="Q1610" t="s">
        <v>56</v>
      </c>
      <c r="R1610">
        <v>0.73</v>
      </c>
      <c r="S1610" s="1">
        <v>40082</v>
      </c>
      <c r="T1610" t="str">
        <f t="shared" si="51"/>
        <v>26-Sep-2009</v>
      </c>
    </row>
    <row r="1611" spans="1:20" x14ac:dyDescent="0.3">
      <c r="A1611">
        <v>34402</v>
      </c>
      <c r="B1611" s="1">
        <v>40300</v>
      </c>
      <c r="C1611" t="s">
        <v>23</v>
      </c>
      <c r="D1611" t="str">
        <f t="shared" si="50"/>
        <v>02-May-2010</v>
      </c>
      <c r="E1611">
        <v>38</v>
      </c>
      <c r="F1611" s="13">
        <v>3016.85</v>
      </c>
      <c r="G1611">
        <v>0.05</v>
      </c>
      <c r="H1611" t="s">
        <v>19</v>
      </c>
      <c r="I1611" s="13">
        <v>-967.67</v>
      </c>
      <c r="J1611">
        <v>80.98</v>
      </c>
      <c r="K1611">
        <v>35</v>
      </c>
      <c r="L1611" t="s">
        <v>342</v>
      </c>
      <c r="M1611" t="s">
        <v>341</v>
      </c>
      <c r="N1611" s="5" t="s">
        <v>102</v>
      </c>
      <c r="O1611" t="s">
        <v>28</v>
      </c>
      <c r="P1611" t="s">
        <v>21</v>
      </c>
      <c r="Q1611" t="s">
        <v>22</v>
      </c>
      <c r="R1611">
        <v>0.81</v>
      </c>
      <c r="S1611" s="1">
        <v>40302</v>
      </c>
      <c r="T1611" t="str">
        <f t="shared" si="51"/>
        <v>04-May-2010</v>
      </c>
    </row>
    <row r="1612" spans="1:20" x14ac:dyDescent="0.3">
      <c r="A1612">
        <v>16128</v>
      </c>
      <c r="B1612" s="1">
        <v>40671</v>
      </c>
      <c r="C1612" t="s">
        <v>23</v>
      </c>
      <c r="D1612" t="str">
        <f t="shared" si="50"/>
        <v>08-May-2011</v>
      </c>
      <c r="E1612">
        <v>46</v>
      </c>
      <c r="F1612" s="13">
        <v>2968.66</v>
      </c>
      <c r="G1612">
        <v>7.0000000000000007E-2</v>
      </c>
      <c r="H1612" t="s">
        <v>19</v>
      </c>
      <c r="I1612" s="13">
        <v>1077.49</v>
      </c>
      <c r="J1612">
        <v>63.94</v>
      </c>
      <c r="K1612">
        <v>14.48</v>
      </c>
      <c r="L1612" t="s">
        <v>362</v>
      </c>
      <c r="M1612" t="s">
        <v>341</v>
      </c>
      <c r="N1612" s="5" t="s">
        <v>102</v>
      </c>
      <c r="O1612" t="s">
        <v>28</v>
      </c>
      <c r="P1612" t="s">
        <v>32</v>
      </c>
      <c r="Q1612" t="s">
        <v>33</v>
      </c>
      <c r="R1612">
        <v>0.46</v>
      </c>
      <c r="S1612" s="1">
        <v>40671</v>
      </c>
      <c r="T1612" t="str">
        <f t="shared" si="51"/>
        <v>08-May-2011</v>
      </c>
    </row>
    <row r="1613" spans="1:20" x14ac:dyDescent="0.3">
      <c r="A1613">
        <v>56032</v>
      </c>
      <c r="B1613" s="1">
        <v>40896</v>
      </c>
      <c r="C1613" t="s">
        <v>31</v>
      </c>
      <c r="D1613" t="str">
        <f t="shared" si="50"/>
        <v>19-Dec-2011</v>
      </c>
      <c r="E1613">
        <v>31</v>
      </c>
      <c r="F1613" s="13">
        <v>2893.31</v>
      </c>
      <c r="G1613">
        <v>0.1</v>
      </c>
      <c r="H1613" t="s">
        <v>19</v>
      </c>
      <c r="I1613" s="13">
        <v>937.64</v>
      </c>
      <c r="J1613">
        <v>96.45</v>
      </c>
      <c r="K1613">
        <v>13.99</v>
      </c>
      <c r="L1613" t="s">
        <v>225</v>
      </c>
      <c r="M1613" t="s">
        <v>341</v>
      </c>
      <c r="N1613" s="5" t="s">
        <v>102</v>
      </c>
      <c r="O1613" t="s">
        <v>28</v>
      </c>
      <c r="P1613" t="s">
        <v>29</v>
      </c>
      <c r="Q1613" t="s">
        <v>74</v>
      </c>
      <c r="R1613">
        <v>0.38</v>
      </c>
      <c r="S1613" s="1">
        <v>40896</v>
      </c>
      <c r="T1613" t="str">
        <f t="shared" si="51"/>
        <v>19-Dec-2011</v>
      </c>
    </row>
    <row r="1614" spans="1:20" x14ac:dyDescent="0.3">
      <c r="A1614">
        <v>7941</v>
      </c>
      <c r="B1614" s="1">
        <v>40991</v>
      </c>
      <c r="C1614" t="s">
        <v>18</v>
      </c>
      <c r="D1614" t="str">
        <f t="shared" si="50"/>
        <v>23-Mar-2012</v>
      </c>
      <c r="E1614">
        <v>50</v>
      </c>
      <c r="F1614" s="13">
        <v>2796.67</v>
      </c>
      <c r="G1614">
        <v>0.01</v>
      </c>
      <c r="H1614" t="s">
        <v>19</v>
      </c>
      <c r="I1614" s="13">
        <v>801.04</v>
      </c>
      <c r="J1614">
        <v>55.29</v>
      </c>
      <c r="K1614">
        <v>5.08</v>
      </c>
      <c r="L1614" t="s">
        <v>131</v>
      </c>
      <c r="M1614" t="s">
        <v>341</v>
      </c>
      <c r="N1614" s="5" t="s">
        <v>102</v>
      </c>
      <c r="O1614" t="s">
        <v>28</v>
      </c>
      <c r="P1614" t="s">
        <v>21</v>
      </c>
      <c r="Q1614" t="s">
        <v>22</v>
      </c>
      <c r="R1614">
        <v>0.59</v>
      </c>
      <c r="S1614" s="1">
        <v>40998</v>
      </c>
      <c r="T1614" t="str">
        <f t="shared" si="51"/>
        <v>30-Mar-2012</v>
      </c>
    </row>
    <row r="1615" spans="1:20" x14ac:dyDescent="0.3">
      <c r="A1615">
        <v>42979</v>
      </c>
      <c r="B1615" s="1">
        <v>40664</v>
      </c>
      <c r="C1615" t="s">
        <v>31</v>
      </c>
      <c r="D1615" t="str">
        <f t="shared" si="50"/>
        <v>01-May-2011</v>
      </c>
      <c r="E1615">
        <v>29</v>
      </c>
      <c r="F1615" s="13">
        <v>2770.79</v>
      </c>
      <c r="G1615">
        <v>0.02</v>
      </c>
      <c r="H1615" t="s">
        <v>24</v>
      </c>
      <c r="I1615" s="13">
        <v>109.39</v>
      </c>
      <c r="J1615">
        <v>90.98</v>
      </c>
      <c r="K1615">
        <v>30</v>
      </c>
      <c r="L1615" t="s">
        <v>357</v>
      </c>
      <c r="M1615" t="s">
        <v>341</v>
      </c>
      <c r="N1615" s="5" t="s">
        <v>102</v>
      </c>
      <c r="O1615" t="s">
        <v>28</v>
      </c>
      <c r="P1615" t="s">
        <v>32</v>
      </c>
      <c r="Q1615" t="s">
        <v>56</v>
      </c>
      <c r="R1615">
        <v>0.61</v>
      </c>
      <c r="S1615" s="1">
        <v>40666</v>
      </c>
      <c r="T1615" t="str">
        <f t="shared" si="51"/>
        <v>03-May-2011</v>
      </c>
    </row>
    <row r="1616" spans="1:20" x14ac:dyDescent="0.3">
      <c r="A1616">
        <v>36708</v>
      </c>
      <c r="B1616" s="1">
        <v>40805</v>
      </c>
      <c r="C1616" t="s">
        <v>31</v>
      </c>
      <c r="D1616" t="str">
        <f t="shared" si="50"/>
        <v>19-Sep-2011</v>
      </c>
      <c r="E1616">
        <v>25</v>
      </c>
      <c r="F1616" s="13">
        <v>2614.3705</v>
      </c>
      <c r="G1616">
        <v>7.0000000000000007E-2</v>
      </c>
      <c r="H1616" t="s">
        <v>19</v>
      </c>
      <c r="I1616" s="13">
        <v>384.01</v>
      </c>
      <c r="J1616">
        <v>125.99</v>
      </c>
      <c r="K1616">
        <v>7.69</v>
      </c>
      <c r="L1616" t="s">
        <v>345</v>
      </c>
      <c r="M1616" t="s">
        <v>341</v>
      </c>
      <c r="N1616" s="5" t="s">
        <v>102</v>
      </c>
      <c r="O1616" t="s">
        <v>28</v>
      </c>
      <c r="P1616" t="s">
        <v>29</v>
      </c>
      <c r="Q1616" t="s">
        <v>30</v>
      </c>
      <c r="R1616">
        <v>0.57999999999999996</v>
      </c>
      <c r="S1616" s="1">
        <v>40807</v>
      </c>
      <c r="T1616" t="str">
        <f t="shared" si="51"/>
        <v>21-Sep-2011</v>
      </c>
    </row>
    <row r="1617" spans="1:20" x14ac:dyDescent="0.3">
      <c r="A1617">
        <v>56516</v>
      </c>
      <c r="B1617" s="1">
        <v>40028</v>
      </c>
      <c r="C1617" t="s">
        <v>38</v>
      </c>
      <c r="D1617" t="str">
        <f t="shared" si="50"/>
        <v>03-Aug-2009</v>
      </c>
      <c r="E1617">
        <v>24</v>
      </c>
      <c r="F1617" s="13">
        <v>2560.9395</v>
      </c>
      <c r="G1617">
        <v>0.06</v>
      </c>
      <c r="H1617" t="s">
        <v>19</v>
      </c>
      <c r="I1617" s="13">
        <v>457.79</v>
      </c>
      <c r="J1617">
        <v>125.99</v>
      </c>
      <c r="K1617">
        <v>2.5</v>
      </c>
      <c r="L1617" t="s">
        <v>239</v>
      </c>
      <c r="M1617" t="s">
        <v>341</v>
      </c>
      <c r="N1617" s="5" t="s">
        <v>102</v>
      </c>
      <c r="O1617" t="s">
        <v>28</v>
      </c>
      <c r="P1617" t="s">
        <v>29</v>
      </c>
      <c r="Q1617" t="s">
        <v>30</v>
      </c>
      <c r="R1617">
        <v>0.6</v>
      </c>
      <c r="S1617" s="1">
        <v>40030</v>
      </c>
      <c r="T1617" t="str">
        <f t="shared" si="51"/>
        <v>05-Aug-2009</v>
      </c>
    </row>
    <row r="1618" spans="1:20" x14ac:dyDescent="0.3">
      <c r="A1618">
        <v>32484</v>
      </c>
      <c r="B1618" s="1">
        <v>40578</v>
      </c>
      <c r="C1618" t="s">
        <v>31</v>
      </c>
      <c r="D1618" t="str">
        <f t="shared" si="50"/>
        <v>04-Feb-2011</v>
      </c>
      <c r="E1618">
        <v>9</v>
      </c>
      <c r="F1618" s="13">
        <v>2502.67</v>
      </c>
      <c r="G1618">
        <v>0.1</v>
      </c>
      <c r="H1618" t="s">
        <v>24</v>
      </c>
      <c r="I1618" s="13">
        <v>-198.8</v>
      </c>
      <c r="J1618">
        <v>300.98</v>
      </c>
      <c r="K1618">
        <v>64.73</v>
      </c>
      <c r="L1618" t="s">
        <v>345</v>
      </c>
      <c r="M1618" t="s">
        <v>341</v>
      </c>
      <c r="N1618" s="5" t="s">
        <v>102</v>
      </c>
      <c r="O1618" t="s">
        <v>28</v>
      </c>
      <c r="P1618" t="s">
        <v>32</v>
      </c>
      <c r="Q1618" t="s">
        <v>56</v>
      </c>
      <c r="R1618">
        <v>0.56000000000000005</v>
      </c>
      <c r="S1618" s="1">
        <v>40579</v>
      </c>
      <c r="T1618" t="str">
        <f t="shared" si="51"/>
        <v>05-Feb-2011</v>
      </c>
    </row>
    <row r="1619" spans="1:20" x14ac:dyDescent="0.3">
      <c r="A1619">
        <v>53378</v>
      </c>
      <c r="B1619" s="1">
        <v>41103</v>
      </c>
      <c r="C1619" t="s">
        <v>38</v>
      </c>
      <c r="D1619" t="str">
        <f t="shared" si="50"/>
        <v>13-Jul-2012</v>
      </c>
      <c r="E1619">
        <v>49</v>
      </c>
      <c r="F1619" s="13">
        <v>2377.2800000000002</v>
      </c>
      <c r="G1619">
        <v>0.04</v>
      </c>
      <c r="H1619" t="s">
        <v>19</v>
      </c>
      <c r="I1619" s="13">
        <v>-5.79</v>
      </c>
      <c r="J1619">
        <v>55.99</v>
      </c>
      <c r="K1619">
        <v>5</v>
      </c>
      <c r="L1619" t="s">
        <v>342</v>
      </c>
      <c r="M1619" t="s">
        <v>341</v>
      </c>
      <c r="N1619" s="5" t="s">
        <v>102</v>
      </c>
      <c r="O1619" t="s">
        <v>28</v>
      </c>
      <c r="P1619" t="s">
        <v>29</v>
      </c>
      <c r="Q1619" t="s">
        <v>30</v>
      </c>
      <c r="R1619">
        <v>0.83</v>
      </c>
      <c r="S1619" s="1">
        <v>41104</v>
      </c>
      <c r="T1619" t="str">
        <f t="shared" si="51"/>
        <v>14-Jul-2012</v>
      </c>
    </row>
    <row r="1620" spans="1:20" x14ac:dyDescent="0.3">
      <c r="A1620">
        <v>56103</v>
      </c>
      <c r="B1620" s="1">
        <v>40538</v>
      </c>
      <c r="C1620" t="s">
        <v>23</v>
      </c>
      <c r="D1620" t="str">
        <f t="shared" si="50"/>
        <v>26-Dec-2010</v>
      </c>
      <c r="E1620">
        <v>24</v>
      </c>
      <c r="F1620" s="13">
        <v>2332.5954999999999</v>
      </c>
      <c r="G1620">
        <v>7.0000000000000007E-2</v>
      </c>
      <c r="H1620" t="s">
        <v>19</v>
      </c>
      <c r="I1620" s="13">
        <v>366.86</v>
      </c>
      <c r="J1620">
        <v>115.99</v>
      </c>
      <c r="K1620">
        <v>5.92</v>
      </c>
      <c r="L1620" t="s">
        <v>363</v>
      </c>
      <c r="M1620" t="s">
        <v>341</v>
      </c>
      <c r="N1620" s="5" t="s">
        <v>102</v>
      </c>
      <c r="O1620" t="s">
        <v>28</v>
      </c>
      <c r="P1620" t="s">
        <v>29</v>
      </c>
      <c r="Q1620" t="s">
        <v>30</v>
      </c>
      <c r="R1620">
        <v>0.57999999999999996</v>
      </c>
      <c r="S1620" s="1">
        <v>40540</v>
      </c>
      <c r="T1620" t="str">
        <f t="shared" si="51"/>
        <v>28-Dec-2010</v>
      </c>
    </row>
    <row r="1621" spans="1:20" x14ac:dyDescent="0.3">
      <c r="A1621">
        <v>36709</v>
      </c>
      <c r="B1621" s="1">
        <v>41144</v>
      </c>
      <c r="C1621" t="s">
        <v>43</v>
      </c>
      <c r="D1621" t="str">
        <f t="shared" si="50"/>
        <v>23-Aug-2012</v>
      </c>
      <c r="E1621">
        <v>42</v>
      </c>
      <c r="F1621" s="13">
        <v>2245.6914999999999</v>
      </c>
      <c r="G1621">
        <v>0.05</v>
      </c>
      <c r="H1621" t="s">
        <v>19</v>
      </c>
      <c r="I1621" s="13">
        <v>369.08</v>
      </c>
      <c r="J1621">
        <v>65.989999999999995</v>
      </c>
      <c r="K1621">
        <v>8.99</v>
      </c>
      <c r="L1621" t="s">
        <v>277</v>
      </c>
      <c r="M1621" t="s">
        <v>341</v>
      </c>
      <c r="N1621" s="5" t="s">
        <v>102</v>
      </c>
      <c r="O1621" t="s">
        <v>28</v>
      </c>
      <c r="P1621" t="s">
        <v>29</v>
      </c>
      <c r="Q1621" t="s">
        <v>30</v>
      </c>
      <c r="R1621">
        <v>0.55000000000000004</v>
      </c>
      <c r="S1621" s="1">
        <v>41146</v>
      </c>
      <c r="T1621" t="str">
        <f t="shared" si="51"/>
        <v>25-Aug-2012</v>
      </c>
    </row>
    <row r="1622" spans="1:20" x14ac:dyDescent="0.3">
      <c r="A1622">
        <v>58308</v>
      </c>
      <c r="B1622" s="1">
        <v>40319</v>
      </c>
      <c r="C1622" t="s">
        <v>31</v>
      </c>
      <c r="D1622" t="str">
        <f t="shared" si="50"/>
        <v>21-May-2010</v>
      </c>
      <c r="E1622">
        <v>35</v>
      </c>
      <c r="F1622" s="13">
        <v>2173.2600000000002</v>
      </c>
      <c r="G1622">
        <v>0</v>
      </c>
      <c r="H1622" t="s">
        <v>24</v>
      </c>
      <c r="I1622" s="13">
        <v>-465.66</v>
      </c>
      <c r="J1622">
        <v>58.14</v>
      </c>
      <c r="K1622">
        <v>36.61</v>
      </c>
      <c r="L1622" t="s">
        <v>345</v>
      </c>
      <c r="M1622" t="s">
        <v>341</v>
      </c>
      <c r="N1622" s="5" t="s">
        <v>102</v>
      </c>
      <c r="O1622" t="s">
        <v>28</v>
      </c>
      <c r="P1622" t="s">
        <v>32</v>
      </c>
      <c r="Q1622" t="s">
        <v>45</v>
      </c>
      <c r="R1622">
        <v>0.61</v>
      </c>
      <c r="S1622" s="1">
        <v>40319</v>
      </c>
      <c r="T1622" t="str">
        <f t="shared" si="51"/>
        <v>21-May-2010</v>
      </c>
    </row>
    <row r="1623" spans="1:20" x14ac:dyDescent="0.3">
      <c r="A1623">
        <v>28742</v>
      </c>
      <c r="B1623" s="1">
        <v>41028</v>
      </c>
      <c r="C1623" t="s">
        <v>18</v>
      </c>
      <c r="D1623" t="str">
        <f t="shared" si="50"/>
        <v>29-Apr-2012</v>
      </c>
      <c r="E1623">
        <v>7</v>
      </c>
      <c r="F1623" s="13">
        <v>2171.4639999999999</v>
      </c>
      <c r="G1623">
        <v>0.04</v>
      </c>
      <c r="H1623" t="s">
        <v>24</v>
      </c>
      <c r="I1623" s="13">
        <v>-209.56</v>
      </c>
      <c r="J1623">
        <v>376.13</v>
      </c>
      <c r="K1623">
        <v>85.63</v>
      </c>
      <c r="L1623" t="s">
        <v>346</v>
      </c>
      <c r="M1623" t="s">
        <v>341</v>
      </c>
      <c r="N1623" s="5" t="s">
        <v>102</v>
      </c>
      <c r="O1623" t="s">
        <v>28</v>
      </c>
      <c r="P1623" t="s">
        <v>32</v>
      </c>
      <c r="Q1623" t="s">
        <v>46</v>
      </c>
      <c r="R1623">
        <v>0.74</v>
      </c>
      <c r="S1623" s="1">
        <v>41035</v>
      </c>
      <c r="T1623" t="str">
        <f t="shared" si="51"/>
        <v>06-May-2012</v>
      </c>
    </row>
    <row r="1624" spans="1:20" x14ac:dyDescent="0.3">
      <c r="A1624">
        <v>28867</v>
      </c>
      <c r="B1624" s="1">
        <v>40746</v>
      </c>
      <c r="C1624" t="s">
        <v>38</v>
      </c>
      <c r="D1624" t="str">
        <f t="shared" si="50"/>
        <v>22-Jul-2011</v>
      </c>
      <c r="E1624">
        <v>26</v>
      </c>
      <c r="F1624" s="13">
        <v>2169.7525000000001</v>
      </c>
      <c r="G1624">
        <v>0.02</v>
      </c>
      <c r="H1624" t="s">
        <v>19</v>
      </c>
      <c r="I1624" s="13">
        <v>374.75</v>
      </c>
      <c r="J1624">
        <v>95.99</v>
      </c>
      <c r="K1624">
        <v>8.99</v>
      </c>
      <c r="L1624" t="s">
        <v>357</v>
      </c>
      <c r="M1624" t="s">
        <v>341</v>
      </c>
      <c r="N1624" s="5" t="s">
        <v>102</v>
      </c>
      <c r="O1624" t="s">
        <v>28</v>
      </c>
      <c r="P1624" t="s">
        <v>29</v>
      </c>
      <c r="Q1624" t="s">
        <v>30</v>
      </c>
      <c r="R1624">
        <v>0.56999999999999995</v>
      </c>
      <c r="S1624" s="1">
        <v>40748</v>
      </c>
      <c r="T1624" t="str">
        <f t="shared" si="51"/>
        <v>24-Jul-2011</v>
      </c>
    </row>
    <row r="1625" spans="1:20" x14ac:dyDescent="0.3">
      <c r="A1625">
        <v>2086</v>
      </c>
      <c r="B1625" s="1">
        <v>40104</v>
      </c>
      <c r="C1625" t="s">
        <v>43</v>
      </c>
      <c r="D1625" t="str">
        <f t="shared" si="50"/>
        <v>18-Oct-2009</v>
      </c>
      <c r="E1625">
        <v>38</v>
      </c>
      <c r="F1625" s="13">
        <v>2115.2420000000002</v>
      </c>
      <c r="G1625">
        <v>0.04</v>
      </c>
      <c r="H1625" t="s">
        <v>19</v>
      </c>
      <c r="I1625" s="13">
        <v>371.41</v>
      </c>
      <c r="J1625">
        <v>65.989999999999995</v>
      </c>
      <c r="K1625">
        <v>8.99</v>
      </c>
      <c r="L1625" t="s">
        <v>103</v>
      </c>
      <c r="M1625" t="s">
        <v>341</v>
      </c>
      <c r="N1625" s="5" t="s">
        <v>102</v>
      </c>
      <c r="O1625" t="s">
        <v>28</v>
      </c>
      <c r="P1625" t="s">
        <v>29</v>
      </c>
      <c r="Q1625" t="s">
        <v>30</v>
      </c>
      <c r="R1625">
        <v>0.56000000000000005</v>
      </c>
      <c r="S1625" s="1">
        <v>40105</v>
      </c>
      <c r="T1625" t="str">
        <f t="shared" si="51"/>
        <v>19-Oct-2009</v>
      </c>
    </row>
    <row r="1626" spans="1:20" x14ac:dyDescent="0.3">
      <c r="A1626">
        <v>26693</v>
      </c>
      <c r="B1626" s="1">
        <v>40411</v>
      </c>
      <c r="C1626" t="s">
        <v>38</v>
      </c>
      <c r="D1626" t="str">
        <f t="shared" si="50"/>
        <v>21-Aug-2010</v>
      </c>
      <c r="E1626">
        <v>44</v>
      </c>
      <c r="F1626" s="13">
        <v>2094.9780000000001</v>
      </c>
      <c r="G1626">
        <v>0.06</v>
      </c>
      <c r="H1626" t="s">
        <v>35</v>
      </c>
      <c r="I1626" s="13">
        <v>697.29</v>
      </c>
      <c r="J1626">
        <v>55.99</v>
      </c>
      <c r="K1626">
        <v>1.25</v>
      </c>
      <c r="L1626" t="s">
        <v>345</v>
      </c>
      <c r="M1626" t="s">
        <v>341</v>
      </c>
      <c r="N1626" s="5" t="s">
        <v>102</v>
      </c>
      <c r="O1626" t="s">
        <v>28</v>
      </c>
      <c r="P1626" t="s">
        <v>29</v>
      </c>
      <c r="Q1626" t="s">
        <v>30</v>
      </c>
      <c r="R1626">
        <v>0.55000000000000004</v>
      </c>
      <c r="S1626" s="1">
        <v>40413</v>
      </c>
      <c r="T1626" t="str">
        <f t="shared" si="51"/>
        <v>23-Aug-2010</v>
      </c>
    </row>
    <row r="1627" spans="1:20" x14ac:dyDescent="0.3">
      <c r="A1627">
        <v>2593</v>
      </c>
      <c r="B1627" s="1">
        <v>40424</v>
      </c>
      <c r="C1627" t="s">
        <v>23</v>
      </c>
      <c r="D1627" t="str">
        <f t="shared" si="50"/>
        <v>03-Sep-2010</v>
      </c>
      <c r="E1627">
        <v>5</v>
      </c>
      <c r="F1627" s="13">
        <v>2004.12</v>
      </c>
      <c r="G1627">
        <v>0.1</v>
      </c>
      <c r="H1627" t="s">
        <v>35</v>
      </c>
      <c r="I1627" s="13">
        <v>276.68</v>
      </c>
      <c r="J1627">
        <v>420.98</v>
      </c>
      <c r="K1627">
        <v>19.989999999999998</v>
      </c>
      <c r="L1627" t="s">
        <v>343</v>
      </c>
      <c r="M1627" t="s">
        <v>341</v>
      </c>
      <c r="N1627" s="5" t="s">
        <v>102</v>
      </c>
      <c r="O1627" t="s">
        <v>28</v>
      </c>
      <c r="P1627" t="s">
        <v>21</v>
      </c>
      <c r="Q1627" t="s">
        <v>26</v>
      </c>
      <c r="R1627">
        <v>0.35</v>
      </c>
      <c r="S1627" s="1">
        <v>40426</v>
      </c>
      <c r="T1627" t="str">
        <f t="shared" si="51"/>
        <v>05-Sep-2010</v>
      </c>
    </row>
    <row r="1628" spans="1:20" x14ac:dyDescent="0.3">
      <c r="A1628">
        <v>25953</v>
      </c>
      <c r="B1628" s="1">
        <v>40083</v>
      </c>
      <c r="C1628" t="s">
        <v>43</v>
      </c>
      <c r="D1628" t="str">
        <f t="shared" si="50"/>
        <v>27-Sep-2009</v>
      </c>
      <c r="E1628">
        <v>19</v>
      </c>
      <c r="F1628" s="13">
        <v>1972.884</v>
      </c>
      <c r="G1628">
        <v>0.04</v>
      </c>
      <c r="H1628" t="s">
        <v>19</v>
      </c>
      <c r="I1628" s="13">
        <v>140.91</v>
      </c>
      <c r="J1628">
        <v>125.99</v>
      </c>
      <c r="K1628">
        <v>7.69</v>
      </c>
      <c r="L1628" t="s">
        <v>358</v>
      </c>
      <c r="M1628" t="s">
        <v>341</v>
      </c>
      <c r="N1628" s="5" t="s">
        <v>102</v>
      </c>
      <c r="O1628" t="s">
        <v>28</v>
      </c>
      <c r="P1628" t="s">
        <v>29</v>
      </c>
      <c r="Q1628" t="s">
        <v>30</v>
      </c>
      <c r="R1628">
        <v>0.57999999999999996</v>
      </c>
      <c r="S1628" s="1">
        <v>40084</v>
      </c>
      <c r="T1628" t="str">
        <f t="shared" si="51"/>
        <v>28-Sep-2009</v>
      </c>
    </row>
    <row r="1629" spans="1:20" x14ac:dyDescent="0.3">
      <c r="A1629">
        <v>49735</v>
      </c>
      <c r="B1629" s="1">
        <v>40079</v>
      </c>
      <c r="C1629" t="s">
        <v>31</v>
      </c>
      <c r="D1629" t="str">
        <f t="shared" si="50"/>
        <v>23-Sep-2009</v>
      </c>
      <c r="E1629">
        <v>32</v>
      </c>
      <c r="F1629" s="13">
        <v>1929.19</v>
      </c>
      <c r="G1629">
        <v>0.04</v>
      </c>
      <c r="H1629" t="s">
        <v>19</v>
      </c>
      <c r="I1629" s="13">
        <v>570.66999999999996</v>
      </c>
      <c r="J1629">
        <v>60.97</v>
      </c>
      <c r="K1629">
        <v>4.5</v>
      </c>
      <c r="L1629" t="s">
        <v>342</v>
      </c>
      <c r="M1629" t="s">
        <v>341</v>
      </c>
      <c r="N1629" s="5" t="s">
        <v>102</v>
      </c>
      <c r="O1629" t="s">
        <v>28</v>
      </c>
      <c r="P1629" t="s">
        <v>21</v>
      </c>
      <c r="Q1629" t="s">
        <v>25</v>
      </c>
      <c r="R1629">
        <v>0.56000000000000005</v>
      </c>
      <c r="S1629" s="1">
        <v>40080</v>
      </c>
      <c r="T1629" t="str">
        <f t="shared" si="51"/>
        <v>24-Sep-2009</v>
      </c>
    </row>
    <row r="1630" spans="1:20" x14ac:dyDescent="0.3">
      <c r="A1630">
        <v>45959</v>
      </c>
      <c r="B1630" s="1">
        <v>40153</v>
      </c>
      <c r="C1630" t="s">
        <v>38</v>
      </c>
      <c r="D1630" t="str">
        <f t="shared" si="50"/>
        <v>06-Dec-2009</v>
      </c>
      <c r="E1630">
        <v>35</v>
      </c>
      <c r="F1630" s="13">
        <v>1822.13</v>
      </c>
      <c r="G1630">
        <v>0</v>
      </c>
      <c r="H1630" t="s">
        <v>19</v>
      </c>
      <c r="I1630" s="13">
        <v>155.16999999999999</v>
      </c>
      <c r="J1630">
        <v>49.99</v>
      </c>
      <c r="K1630">
        <v>19.989999999999998</v>
      </c>
      <c r="L1630" t="s">
        <v>365</v>
      </c>
      <c r="M1630" t="s">
        <v>341</v>
      </c>
      <c r="N1630" s="5" t="s">
        <v>102</v>
      </c>
      <c r="O1630" t="s">
        <v>28</v>
      </c>
      <c r="P1630" t="s">
        <v>29</v>
      </c>
      <c r="Q1630" t="s">
        <v>41</v>
      </c>
      <c r="R1630">
        <v>0.41</v>
      </c>
      <c r="S1630" s="1">
        <v>40155</v>
      </c>
      <c r="T1630" t="str">
        <f t="shared" si="51"/>
        <v>08-Dec-2009</v>
      </c>
    </row>
    <row r="1631" spans="1:20" x14ac:dyDescent="0.3">
      <c r="A1631">
        <v>30565</v>
      </c>
      <c r="B1631" s="1">
        <v>40750</v>
      </c>
      <c r="C1631" t="s">
        <v>38</v>
      </c>
      <c r="D1631" t="str">
        <f t="shared" si="50"/>
        <v>26-Jul-2011</v>
      </c>
      <c r="E1631">
        <v>32</v>
      </c>
      <c r="F1631" s="13">
        <v>1785.02</v>
      </c>
      <c r="G1631">
        <v>0.04</v>
      </c>
      <c r="H1631" t="s">
        <v>35</v>
      </c>
      <c r="I1631" s="13">
        <v>52.66</v>
      </c>
      <c r="J1631">
        <v>55.94</v>
      </c>
      <c r="K1631">
        <v>4</v>
      </c>
      <c r="L1631" t="s">
        <v>365</v>
      </c>
      <c r="M1631" t="s">
        <v>341</v>
      </c>
      <c r="N1631" s="5" t="s">
        <v>102</v>
      </c>
      <c r="O1631" t="s">
        <v>28</v>
      </c>
      <c r="P1631" t="s">
        <v>29</v>
      </c>
      <c r="Q1631" t="s">
        <v>41</v>
      </c>
      <c r="R1631">
        <v>0.74</v>
      </c>
      <c r="S1631" s="1">
        <v>40752</v>
      </c>
      <c r="T1631" t="str">
        <f t="shared" si="51"/>
        <v>28-Jul-2011</v>
      </c>
    </row>
    <row r="1632" spans="1:20" x14ac:dyDescent="0.3">
      <c r="A1632">
        <v>36224</v>
      </c>
      <c r="B1632" s="1">
        <v>39936</v>
      </c>
      <c r="C1632" t="s">
        <v>38</v>
      </c>
      <c r="D1632" t="str">
        <f t="shared" si="50"/>
        <v>03-May-2009</v>
      </c>
      <c r="E1632">
        <v>15</v>
      </c>
      <c r="F1632" s="13">
        <v>1765.45</v>
      </c>
      <c r="G1632">
        <v>0.09</v>
      </c>
      <c r="H1632" t="s">
        <v>35</v>
      </c>
      <c r="I1632" s="13">
        <v>374.82</v>
      </c>
      <c r="J1632">
        <v>120.98</v>
      </c>
      <c r="K1632">
        <v>3.99</v>
      </c>
      <c r="L1632" t="s">
        <v>367</v>
      </c>
      <c r="M1632" t="s">
        <v>341</v>
      </c>
      <c r="N1632" s="5" t="s">
        <v>102</v>
      </c>
      <c r="O1632" t="s">
        <v>28</v>
      </c>
      <c r="P1632" t="s">
        <v>21</v>
      </c>
      <c r="Q1632" t="s">
        <v>25</v>
      </c>
      <c r="R1632">
        <v>0.6</v>
      </c>
      <c r="S1632" s="1">
        <v>39938</v>
      </c>
      <c r="T1632" t="str">
        <f t="shared" si="51"/>
        <v>05-May-2009</v>
      </c>
    </row>
    <row r="1633" spans="1:20" x14ac:dyDescent="0.3">
      <c r="A1633">
        <v>43650</v>
      </c>
      <c r="B1633" s="1">
        <v>39895</v>
      </c>
      <c r="C1633" t="s">
        <v>31</v>
      </c>
      <c r="D1633" t="str">
        <f t="shared" si="50"/>
        <v>23-Mar-2009</v>
      </c>
      <c r="E1633">
        <v>3</v>
      </c>
      <c r="F1633" s="13">
        <v>1759.65</v>
      </c>
      <c r="G1633">
        <v>0.06</v>
      </c>
      <c r="H1633" t="s">
        <v>19</v>
      </c>
      <c r="I1633" s="13">
        <v>-2213.75</v>
      </c>
      <c r="J1633">
        <v>599.99</v>
      </c>
      <c r="K1633">
        <v>24.49</v>
      </c>
      <c r="L1633" t="s">
        <v>345</v>
      </c>
      <c r="M1633" t="s">
        <v>341</v>
      </c>
      <c r="N1633" s="5" t="s">
        <v>102</v>
      </c>
      <c r="O1633" t="s">
        <v>28</v>
      </c>
      <c r="P1633" t="s">
        <v>29</v>
      </c>
      <c r="Q1633" t="s">
        <v>51</v>
      </c>
      <c r="R1633">
        <v>0.5</v>
      </c>
      <c r="S1633" s="1">
        <v>39896</v>
      </c>
      <c r="T1633" t="str">
        <f t="shared" si="51"/>
        <v>24-Mar-2009</v>
      </c>
    </row>
    <row r="1634" spans="1:20" x14ac:dyDescent="0.3">
      <c r="A1634">
        <v>6112</v>
      </c>
      <c r="B1634" s="1">
        <v>40048</v>
      </c>
      <c r="C1634" t="s">
        <v>38</v>
      </c>
      <c r="D1634" t="str">
        <f t="shared" si="50"/>
        <v>23-Aug-2009</v>
      </c>
      <c r="E1634">
        <v>31</v>
      </c>
      <c r="F1634" s="13">
        <v>1753.9580000000001</v>
      </c>
      <c r="G1634">
        <v>0.06</v>
      </c>
      <c r="H1634" t="s">
        <v>19</v>
      </c>
      <c r="I1634" s="13">
        <v>382.39</v>
      </c>
      <c r="J1634">
        <v>65.989999999999995</v>
      </c>
      <c r="K1634">
        <v>5.92</v>
      </c>
      <c r="L1634" t="s">
        <v>369</v>
      </c>
      <c r="M1634" t="s">
        <v>341</v>
      </c>
      <c r="N1634" s="5" t="s">
        <v>102</v>
      </c>
      <c r="O1634" t="s">
        <v>28</v>
      </c>
      <c r="P1634" t="s">
        <v>29</v>
      </c>
      <c r="Q1634" t="s">
        <v>30</v>
      </c>
      <c r="R1634">
        <v>0.55000000000000004</v>
      </c>
      <c r="S1634" s="1">
        <v>40049</v>
      </c>
      <c r="T1634" t="str">
        <f t="shared" si="51"/>
        <v>24-Aug-2009</v>
      </c>
    </row>
    <row r="1635" spans="1:20" x14ac:dyDescent="0.3">
      <c r="A1635">
        <v>5254</v>
      </c>
      <c r="B1635" s="1">
        <v>41115</v>
      </c>
      <c r="C1635" t="s">
        <v>31</v>
      </c>
      <c r="D1635" t="str">
        <f t="shared" si="50"/>
        <v>25-Jul-2012</v>
      </c>
      <c r="E1635">
        <v>31</v>
      </c>
      <c r="F1635" s="13">
        <v>1735.3515</v>
      </c>
      <c r="G1635">
        <v>0.08</v>
      </c>
      <c r="H1635" t="s">
        <v>19</v>
      </c>
      <c r="I1635" s="13">
        <v>258.62</v>
      </c>
      <c r="J1635">
        <v>65.989999999999995</v>
      </c>
      <c r="K1635">
        <v>8.99</v>
      </c>
      <c r="L1635" t="s">
        <v>345</v>
      </c>
      <c r="M1635" t="s">
        <v>341</v>
      </c>
      <c r="N1635" s="5" t="s">
        <v>102</v>
      </c>
      <c r="O1635" t="s">
        <v>28</v>
      </c>
      <c r="P1635" t="s">
        <v>29</v>
      </c>
      <c r="Q1635" t="s">
        <v>30</v>
      </c>
      <c r="R1635">
        <v>0.56000000000000005</v>
      </c>
      <c r="S1635" s="1">
        <v>41117</v>
      </c>
      <c r="T1635" t="str">
        <f t="shared" si="51"/>
        <v>27-Jul-2012</v>
      </c>
    </row>
    <row r="1636" spans="1:20" x14ac:dyDescent="0.3">
      <c r="A1636">
        <v>44805</v>
      </c>
      <c r="B1636" s="1">
        <v>41166</v>
      </c>
      <c r="C1636" t="s">
        <v>23</v>
      </c>
      <c r="D1636" t="str">
        <f t="shared" si="50"/>
        <v>14-Sep-2012</v>
      </c>
      <c r="E1636">
        <v>40</v>
      </c>
      <c r="F1636" s="13">
        <v>1710.65</v>
      </c>
      <c r="G1636">
        <v>0.01</v>
      </c>
      <c r="H1636" t="s">
        <v>19</v>
      </c>
      <c r="I1636" s="13">
        <v>782.01</v>
      </c>
      <c r="J1636">
        <v>41.94</v>
      </c>
      <c r="K1636">
        <v>2.99</v>
      </c>
      <c r="L1636" t="s">
        <v>356</v>
      </c>
      <c r="M1636" t="s">
        <v>341</v>
      </c>
      <c r="N1636" s="5" t="s">
        <v>102</v>
      </c>
      <c r="O1636" t="s">
        <v>28</v>
      </c>
      <c r="P1636" t="s">
        <v>21</v>
      </c>
      <c r="Q1636" t="s">
        <v>26</v>
      </c>
      <c r="R1636">
        <v>0.35</v>
      </c>
      <c r="S1636" s="1">
        <v>41167</v>
      </c>
      <c r="T1636" t="str">
        <f t="shared" si="51"/>
        <v>15-Sep-2012</v>
      </c>
    </row>
    <row r="1637" spans="1:20" x14ac:dyDescent="0.3">
      <c r="A1637">
        <v>43493</v>
      </c>
      <c r="B1637" s="1">
        <v>41039</v>
      </c>
      <c r="C1637" t="s">
        <v>23</v>
      </c>
      <c r="D1637" t="str">
        <f t="shared" si="50"/>
        <v>10-May-2012</v>
      </c>
      <c r="E1637">
        <v>37</v>
      </c>
      <c r="F1637" s="13">
        <v>1699.9829999999999</v>
      </c>
      <c r="G1637">
        <v>0.1</v>
      </c>
      <c r="H1637" t="s">
        <v>19</v>
      </c>
      <c r="I1637" s="13">
        <v>-202.86</v>
      </c>
      <c r="J1637">
        <v>55.99</v>
      </c>
      <c r="K1637">
        <v>5</v>
      </c>
      <c r="L1637" t="s">
        <v>352</v>
      </c>
      <c r="M1637" t="s">
        <v>341</v>
      </c>
      <c r="N1637" s="5" t="s">
        <v>102</v>
      </c>
      <c r="O1637" t="s">
        <v>28</v>
      </c>
      <c r="P1637" t="s">
        <v>29</v>
      </c>
      <c r="Q1637" t="s">
        <v>30</v>
      </c>
      <c r="R1637">
        <v>0.83</v>
      </c>
      <c r="S1637" s="1">
        <v>41042</v>
      </c>
      <c r="T1637" t="str">
        <f t="shared" si="51"/>
        <v>13-May-2012</v>
      </c>
    </row>
    <row r="1638" spans="1:20" x14ac:dyDescent="0.3">
      <c r="A1638">
        <v>27141</v>
      </c>
      <c r="B1638" s="1">
        <v>40213</v>
      </c>
      <c r="C1638" t="s">
        <v>31</v>
      </c>
      <c r="D1638" t="str">
        <f t="shared" si="50"/>
        <v>04-Feb-2010</v>
      </c>
      <c r="E1638">
        <v>28</v>
      </c>
      <c r="F1638" s="13">
        <v>1645.51</v>
      </c>
      <c r="G1638">
        <v>0.06</v>
      </c>
      <c r="H1638" t="s">
        <v>19</v>
      </c>
      <c r="I1638" s="13">
        <v>300.33999999999997</v>
      </c>
      <c r="J1638">
        <v>59.76</v>
      </c>
      <c r="K1638">
        <v>9.7100000000000009</v>
      </c>
      <c r="L1638" t="s">
        <v>327</v>
      </c>
      <c r="M1638" t="s">
        <v>341</v>
      </c>
      <c r="N1638" s="5" t="s">
        <v>102</v>
      </c>
      <c r="O1638" t="s">
        <v>28</v>
      </c>
      <c r="P1638" t="s">
        <v>21</v>
      </c>
      <c r="Q1638" t="s">
        <v>22</v>
      </c>
      <c r="R1638">
        <v>0.56999999999999995</v>
      </c>
      <c r="S1638" s="1">
        <v>40214</v>
      </c>
      <c r="T1638" t="str">
        <f t="shared" si="51"/>
        <v>05-Feb-2010</v>
      </c>
    </row>
    <row r="1639" spans="1:20" x14ac:dyDescent="0.3">
      <c r="A1639">
        <v>51266</v>
      </c>
      <c r="B1639" s="1">
        <v>39897</v>
      </c>
      <c r="C1639" t="s">
        <v>31</v>
      </c>
      <c r="D1639" t="str">
        <f t="shared" si="50"/>
        <v>25-Mar-2009</v>
      </c>
      <c r="E1639">
        <v>11</v>
      </c>
      <c r="F1639" s="13">
        <v>1610.29</v>
      </c>
      <c r="G1639">
        <v>0.04</v>
      </c>
      <c r="H1639" t="s">
        <v>19</v>
      </c>
      <c r="I1639" s="13">
        <v>221.38</v>
      </c>
      <c r="J1639">
        <v>150.97999999999999</v>
      </c>
      <c r="K1639">
        <v>13.99</v>
      </c>
      <c r="L1639" t="s">
        <v>362</v>
      </c>
      <c r="M1639" t="s">
        <v>341</v>
      </c>
      <c r="N1639" s="5" t="s">
        <v>102</v>
      </c>
      <c r="O1639" t="s">
        <v>28</v>
      </c>
      <c r="P1639" t="s">
        <v>29</v>
      </c>
      <c r="Q1639" t="s">
        <v>74</v>
      </c>
      <c r="R1639">
        <v>0.38</v>
      </c>
      <c r="S1639" s="1">
        <v>39899</v>
      </c>
      <c r="T1639" t="str">
        <f t="shared" si="51"/>
        <v>27-Mar-2009</v>
      </c>
    </row>
    <row r="1640" spans="1:20" x14ac:dyDescent="0.3">
      <c r="A1640">
        <v>56423</v>
      </c>
      <c r="B1640" s="1">
        <v>40902</v>
      </c>
      <c r="C1640" t="s">
        <v>31</v>
      </c>
      <c r="D1640" t="str">
        <f t="shared" si="50"/>
        <v>25-Dec-2011</v>
      </c>
      <c r="E1640">
        <v>4</v>
      </c>
      <c r="F1640" s="13">
        <v>1609.69</v>
      </c>
      <c r="G1640">
        <v>0.04</v>
      </c>
      <c r="H1640" t="s">
        <v>19</v>
      </c>
      <c r="I1640" s="13">
        <v>-281.17</v>
      </c>
      <c r="J1640">
        <v>419.19</v>
      </c>
      <c r="K1640">
        <v>19.989999999999998</v>
      </c>
      <c r="L1640" t="s">
        <v>359</v>
      </c>
      <c r="M1640" t="s">
        <v>341</v>
      </c>
      <c r="N1640" s="5" t="s">
        <v>102</v>
      </c>
      <c r="O1640" t="s">
        <v>28</v>
      </c>
      <c r="P1640" t="s">
        <v>21</v>
      </c>
      <c r="Q1640" t="s">
        <v>22</v>
      </c>
      <c r="R1640">
        <v>0.57999999999999996</v>
      </c>
      <c r="S1640" s="1">
        <v>40903</v>
      </c>
      <c r="T1640" t="str">
        <f t="shared" si="51"/>
        <v>26-Dec-2011</v>
      </c>
    </row>
    <row r="1641" spans="1:20" x14ac:dyDescent="0.3">
      <c r="A1641">
        <v>58339</v>
      </c>
      <c r="B1641" s="1">
        <v>39977</v>
      </c>
      <c r="C1641" t="s">
        <v>23</v>
      </c>
      <c r="D1641" t="str">
        <f t="shared" si="50"/>
        <v>13-Jun-2009</v>
      </c>
      <c r="E1641">
        <v>9</v>
      </c>
      <c r="F1641" s="13">
        <v>1608.87</v>
      </c>
      <c r="G1641">
        <v>7.0000000000000007E-2</v>
      </c>
      <c r="H1641" t="s">
        <v>19</v>
      </c>
      <c r="I1641" s="13">
        <v>346.98</v>
      </c>
      <c r="J1641">
        <v>177.98</v>
      </c>
      <c r="K1641">
        <v>0.99</v>
      </c>
      <c r="L1641" t="s">
        <v>346</v>
      </c>
      <c r="M1641" t="s">
        <v>341</v>
      </c>
      <c r="N1641" s="5" t="s">
        <v>102</v>
      </c>
      <c r="O1641" t="s">
        <v>28</v>
      </c>
      <c r="P1641" t="s">
        <v>21</v>
      </c>
      <c r="Q1641" t="s">
        <v>25</v>
      </c>
      <c r="R1641">
        <v>0.56000000000000005</v>
      </c>
      <c r="S1641" s="1">
        <v>39977</v>
      </c>
      <c r="T1641" t="str">
        <f t="shared" si="51"/>
        <v>13-Jun-2009</v>
      </c>
    </row>
    <row r="1642" spans="1:20" x14ac:dyDescent="0.3">
      <c r="A1642">
        <v>8034</v>
      </c>
      <c r="B1642" s="1">
        <v>40927</v>
      </c>
      <c r="C1642" t="s">
        <v>23</v>
      </c>
      <c r="D1642" t="str">
        <f t="shared" si="50"/>
        <v>19-Jan-2012</v>
      </c>
      <c r="E1642">
        <v>36</v>
      </c>
      <c r="F1642" s="13">
        <v>1606.4</v>
      </c>
      <c r="G1642">
        <v>0.08</v>
      </c>
      <c r="H1642" t="s">
        <v>24</v>
      </c>
      <c r="I1642" s="13">
        <v>-1231.3499999999999</v>
      </c>
      <c r="J1642">
        <v>44.43</v>
      </c>
      <c r="K1642">
        <v>46.59</v>
      </c>
      <c r="L1642" t="s">
        <v>359</v>
      </c>
      <c r="M1642" t="s">
        <v>341</v>
      </c>
      <c r="N1642" s="5" t="s">
        <v>102</v>
      </c>
      <c r="O1642" t="s">
        <v>28</v>
      </c>
      <c r="P1642" t="s">
        <v>32</v>
      </c>
      <c r="Q1642" t="s">
        <v>46</v>
      </c>
      <c r="R1642">
        <v>0.67</v>
      </c>
      <c r="S1642" s="1">
        <v>40929</v>
      </c>
      <c r="T1642" t="str">
        <f t="shared" si="51"/>
        <v>21-Jan-2012</v>
      </c>
    </row>
    <row r="1643" spans="1:20" x14ac:dyDescent="0.3">
      <c r="A1643">
        <v>51266</v>
      </c>
      <c r="B1643" s="1">
        <v>39897</v>
      </c>
      <c r="C1643" t="s">
        <v>31</v>
      </c>
      <c r="D1643" t="str">
        <f t="shared" si="50"/>
        <v>25-Mar-2009</v>
      </c>
      <c r="E1643">
        <v>46</v>
      </c>
      <c r="F1643" s="13">
        <v>1605.22</v>
      </c>
      <c r="G1643">
        <v>0.05</v>
      </c>
      <c r="H1643" t="s">
        <v>35</v>
      </c>
      <c r="I1643" s="13">
        <v>230.03</v>
      </c>
      <c r="J1643">
        <v>34.99</v>
      </c>
      <c r="K1643">
        <v>7.73</v>
      </c>
      <c r="L1643" t="s">
        <v>362</v>
      </c>
      <c r="M1643" t="s">
        <v>341</v>
      </c>
      <c r="N1643" s="5" t="s">
        <v>102</v>
      </c>
      <c r="O1643" t="s">
        <v>28</v>
      </c>
      <c r="P1643" t="s">
        <v>21</v>
      </c>
      <c r="Q1643" t="s">
        <v>50</v>
      </c>
      <c r="R1643">
        <v>0.59</v>
      </c>
      <c r="S1643" s="1">
        <v>39899</v>
      </c>
      <c r="T1643" t="str">
        <f t="shared" si="51"/>
        <v>27-Mar-2009</v>
      </c>
    </row>
    <row r="1644" spans="1:20" x14ac:dyDescent="0.3">
      <c r="A1644">
        <v>6112</v>
      </c>
      <c r="B1644" s="1">
        <v>40048</v>
      </c>
      <c r="C1644" t="s">
        <v>38</v>
      </c>
      <c r="D1644" t="str">
        <f t="shared" si="50"/>
        <v>23-Aug-2009</v>
      </c>
      <c r="E1644">
        <v>10</v>
      </c>
      <c r="F1644" s="13">
        <v>1597.37</v>
      </c>
      <c r="G1644">
        <v>0.02</v>
      </c>
      <c r="H1644" t="s">
        <v>24</v>
      </c>
      <c r="I1644" s="13">
        <v>-533.69000000000005</v>
      </c>
      <c r="J1644">
        <v>146.05000000000001</v>
      </c>
      <c r="K1644">
        <v>80.2</v>
      </c>
      <c r="L1644" t="s">
        <v>369</v>
      </c>
      <c r="M1644" t="s">
        <v>341</v>
      </c>
      <c r="N1644" s="5" t="s">
        <v>102</v>
      </c>
      <c r="O1644" t="s">
        <v>28</v>
      </c>
      <c r="P1644" t="s">
        <v>32</v>
      </c>
      <c r="Q1644" t="s">
        <v>46</v>
      </c>
      <c r="R1644">
        <v>0.71</v>
      </c>
      <c r="S1644" s="1">
        <v>40048</v>
      </c>
      <c r="T1644" t="str">
        <f t="shared" si="51"/>
        <v>23-Aug-2009</v>
      </c>
    </row>
    <row r="1645" spans="1:20" x14ac:dyDescent="0.3">
      <c r="A1645">
        <v>24326</v>
      </c>
      <c r="B1645" s="1">
        <v>40815</v>
      </c>
      <c r="C1645" t="s">
        <v>43</v>
      </c>
      <c r="D1645" t="str">
        <f t="shared" si="50"/>
        <v>29-Sep-2011</v>
      </c>
      <c r="E1645">
        <v>37</v>
      </c>
      <c r="F1645" s="13">
        <v>1596.86</v>
      </c>
      <c r="G1645">
        <v>0.05</v>
      </c>
      <c r="H1645" t="s">
        <v>19</v>
      </c>
      <c r="I1645" s="13">
        <v>418.6</v>
      </c>
      <c r="J1645">
        <v>44.01</v>
      </c>
      <c r="K1645">
        <v>3.5</v>
      </c>
      <c r="L1645" t="s">
        <v>82</v>
      </c>
      <c r="M1645" t="s">
        <v>341</v>
      </c>
      <c r="N1645" s="5" t="s">
        <v>102</v>
      </c>
      <c r="O1645" t="s">
        <v>28</v>
      </c>
      <c r="P1645" t="s">
        <v>21</v>
      </c>
      <c r="Q1645" t="s">
        <v>25</v>
      </c>
      <c r="R1645">
        <v>0.59</v>
      </c>
      <c r="S1645" s="1">
        <v>40817</v>
      </c>
      <c r="T1645" t="str">
        <f t="shared" si="51"/>
        <v>01-Oct-2011</v>
      </c>
    </row>
    <row r="1646" spans="1:20" x14ac:dyDescent="0.3">
      <c r="A1646">
        <v>4772</v>
      </c>
      <c r="B1646" s="1">
        <v>40069</v>
      </c>
      <c r="C1646" t="s">
        <v>43</v>
      </c>
      <c r="D1646" t="str">
        <f t="shared" si="50"/>
        <v>13-Sep-2009</v>
      </c>
      <c r="E1646">
        <v>28</v>
      </c>
      <c r="F1646" s="13">
        <v>1560.617</v>
      </c>
      <c r="G1646">
        <v>0.04</v>
      </c>
      <c r="H1646" t="s">
        <v>19</v>
      </c>
      <c r="I1646" s="13">
        <v>214.29</v>
      </c>
      <c r="J1646">
        <v>65.989999999999995</v>
      </c>
      <c r="K1646">
        <v>8.99</v>
      </c>
      <c r="L1646" t="s">
        <v>131</v>
      </c>
      <c r="M1646" t="s">
        <v>341</v>
      </c>
      <c r="N1646" s="5" t="s">
        <v>102</v>
      </c>
      <c r="O1646" t="s">
        <v>28</v>
      </c>
      <c r="P1646" t="s">
        <v>29</v>
      </c>
      <c r="Q1646" t="s">
        <v>30</v>
      </c>
      <c r="R1646">
        <v>0.55000000000000004</v>
      </c>
      <c r="S1646" s="1">
        <v>40070</v>
      </c>
      <c r="T1646" t="str">
        <f t="shared" si="51"/>
        <v>14-Sep-2009</v>
      </c>
    </row>
    <row r="1647" spans="1:20" x14ac:dyDescent="0.3">
      <c r="A1647">
        <v>12711</v>
      </c>
      <c r="B1647" s="1">
        <v>40958</v>
      </c>
      <c r="C1647" t="s">
        <v>43</v>
      </c>
      <c r="D1647" t="str">
        <f t="shared" si="50"/>
        <v>19-Feb-2012</v>
      </c>
      <c r="E1647">
        <v>32</v>
      </c>
      <c r="F1647" s="13">
        <v>1486.72</v>
      </c>
      <c r="G1647">
        <v>0</v>
      </c>
      <c r="H1647" t="s">
        <v>19</v>
      </c>
      <c r="I1647" s="13">
        <v>294.81</v>
      </c>
      <c r="J1647">
        <v>43.98</v>
      </c>
      <c r="K1647">
        <v>8.99</v>
      </c>
      <c r="L1647" t="s">
        <v>349</v>
      </c>
      <c r="M1647" t="s">
        <v>341</v>
      </c>
      <c r="N1647" s="5" t="s">
        <v>102</v>
      </c>
      <c r="O1647" t="s">
        <v>28</v>
      </c>
      <c r="P1647" t="s">
        <v>21</v>
      </c>
      <c r="Q1647" t="s">
        <v>50</v>
      </c>
      <c r="R1647">
        <v>0.57999999999999996</v>
      </c>
      <c r="S1647" s="1">
        <v>40959</v>
      </c>
      <c r="T1647" t="str">
        <f t="shared" si="51"/>
        <v>20-Feb-2012</v>
      </c>
    </row>
    <row r="1648" spans="1:20" x14ac:dyDescent="0.3">
      <c r="A1648">
        <v>47010</v>
      </c>
      <c r="B1648" s="1">
        <v>40819</v>
      </c>
      <c r="C1648" t="s">
        <v>43</v>
      </c>
      <c r="D1648" t="str">
        <f t="shared" si="50"/>
        <v>03-Oct-2011</v>
      </c>
      <c r="E1648">
        <v>11</v>
      </c>
      <c r="F1648" s="13">
        <v>1479.14</v>
      </c>
      <c r="G1648">
        <v>0.06</v>
      </c>
      <c r="H1648" t="s">
        <v>24</v>
      </c>
      <c r="I1648" s="13">
        <v>-236.63</v>
      </c>
      <c r="J1648">
        <v>130.97999999999999</v>
      </c>
      <c r="K1648">
        <v>30</v>
      </c>
      <c r="L1648" t="s">
        <v>367</v>
      </c>
      <c r="M1648" t="s">
        <v>341</v>
      </c>
      <c r="N1648" s="5" t="s">
        <v>102</v>
      </c>
      <c r="O1648" t="s">
        <v>28</v>
      </c>
      <c r="P1648" t="s">
        <v>32</v>
      </c>
      <c r="Q1648" t="s">
        <v>56</v>
      </c>
      <c r="R1648">
        <v>0.78</v>
      </c>
      <c r="S1648" s="1">
        <v>40819</v>
      </c>
      <c r="T1648" t="str">
        <f t="shared" si="51"/>
        <v>03-Oct-2011</v>
      </c>
    </row>
    <row r="1649" spans="1:20" x14ac:dyDescent="0.3">
      <c r="A1649">
        <v>2086</v>
      </c>
      <c r="B1649" s="1">
        <v>40104</v>
      </c>
      <c r="C1649" t="s">
        <v>43</v>
      </c>
      <c r="D1649" t="str">
        <f t="shared" si="50"/>
        <v>18-Oct-2009</v>
      </c>
      <c r="E1649">
        <v>24</v>
      </c>
      <c r="F1649" s="13">
        <v>1411.58</v>
      </c>
      <c r="G1649">
        <v>0.01</v>
      </c>
      <c r="H1649" t="s">
        <v>35</v>
      </c>
      <c r="I1649" s="13">
        <v>699.31</v>
      </c>
      <c r="J1649">
        <v>55.98</v>
      </c>
      <c r="K1649">
        <v>4.8600000000000003</v>
      </c>
      <c r="L1649" t="s">
        <v>103</v>
      </c>
      <c r="M1649" t="s">
        <v>341</v>
      </c>
      <c r="N1649" s="5" t="s">
        <v>102</v>
      </c>
      <c r="O1649" t="s">
        <v>28</v>
      </c>
      <c r="P1649" t="s">
        <v>21</v>
      </c>
      <c r="Q1649" t="s">
        <v>37</v>
      </c>
      <c r="R1649">
        <v>0.36</v>
      </c>
      <c r="S1649" s="1">
        <v>40106</v>
      </c>
      <c r="T1649" t="str">
        <f t="shared" si="51"/>
        <v>20-Oct-2009</v>
      </c>
    </row>
    <row r="1650" spans="1:20" x14ac:dyDescent="0.3">
      <c r="A1650">
        <v>13767</v>
      </c>
      <c r="B1650" s="1">
        <v>40416</v>
      </c>
      <c r="C1650" t="s">
        <v>23</v>
      </c>
      <c r="D1650" t="str">
        <f t="shared" si="50"/>
        <v>26-Aug-2010</v>
      </c>
      <c r="E1650">
        <v>45</v>
      </c>
      <c r="F1650" s="13">
        <v>1403.741</v>
      </c>
      <c r="G1650">
        <v>0.01</v>
      </c>
      <c r="H1650" t="s">
        <v>19</v>
      </c>
      <c r="I1650" s="13">
        <v>622.25</v>
      </c>
      <c r="J1650">
        <v>35.99</v>
      </c>
      <c r="K1650">
        <v>3.3</v>
      </c>
      <c r="L1650" t="s">
        <v>316</v>
      </c>
      <c r="M1650" t="s">
        <v>341</v>
      </c>
      <c r="N1650" s="5" t="s">
        <v>102</v>
      </c>
      <c r="O1650" t="s">
        <v>28</v>
      </c>
      <c r="P1650" t="s">
        <v>29</v>
      </c>
      <c r="Q1650" t="s">
        <v>30</v>
      </c>
      <c r="R1650">
        <v>0.39</v>
      </c>
      <c r="S1650" s="1">
        <v>40418</v>
      </c>
      <c r="T1650" t="str">
        <f t="shared" si="51"/>
        <v>28-Aug-2010</v>
      </c>
    </row>
    <row r="1651" spans="1:20" x14ac:dyDescent="0.3">
      <c r="A1651">
        <v>46981</v>
      </c>
      <c r="B1651" s="1">
        <v>39851</v>
      </c>
      <c r="C1651" t="s">
        <v>38</v>
      </c>
      <c r="D1651" t="str">
        <f t="shared" si="50"/>
        <v>07-Feb-2009</v>
      </c>
      <c r="E1651">
        <v>46</v>
      </c>
      <c r="F1651" s="13">
        <v>1398.87</v>
      </c>
      <c r="G1651">
        <v>7.0000000000000007E-2</v>
      </c>
      <c r="H1651" t="s">
        <v>19</v>
      </c>
      <c r="I1651" s="13">
        <v>601.96</v>
      </c>
      <c r="J1651">
        <v>30.56</v>
      </c>
      <c r="K1651">
        <v>2.99</v>
      </c>
      <c r="L1651" t="s">
        <v>367</v>
      </c>
      <c r="M1651" t="s">
        <v>341</v>
      </c>
      <c r="N1651" s="5" t="s">
        <v>102</v>
      </c>
      <c r="O1651" t="s">
        <v>28</v>
      </c>
      <c r="P1651" t="s">
        <v>21</v>
      </c>
      <c r="Q1651" t="s">
        <v>26</v>
      </c>
      <c r="R1651">
        <v>0.35</v>
      </c>
      <c r="S1651" s="1">
        <v>39851</v>
      </c>
      <c r="T1651" t="str">
        <f t="shared" si="51"/>
        <v>07-Feb-2009</v>
      </c>
    </row>
    <row r="1652" spans="1:20" x14ac:dyDescent="0.3">
      <c r="A1652">
        <v>58784</v>
      </c>
      <c r="B1652" s="1">
        <v>39831</v>
      </c>
      <c r="C1652" t="s">
        <v>38</v>
      </c>
      <c r="D1652" t="str">
        <f t="shared" si="50"/>
        <v>18-Jan-2009</v>
      </c>
      <c r="E1652">
        <v>29</v>
      </c>
      <c r="F1652" s="13">
        <v>1379.1</v>
      </c>
      <c r="G1652">
        <v>0.06</v>
      </c>
      <c r="H1652" t="s">
        <v>19</v>
      </c>
      <c r="I1652" s="13">
        <v>573.79999999999995</v>
      </c>
      <c r="J1652">
        <v>48.91</v>
      </c>
      <c r="K1652">
        <v>5.81</v>
      </c>
      <c r="L1652" t="s">
        <v>308</v>
      </c>
      <c r="M1652" t="s">
        <v>341</v>
      </c>
      <c r="N1652" s="5" t="s">
        <v>102</v>
      </c>
      <c r="O1652" t="s">
        <v>28</v>
      </c>
      <c r="P1652" t="s">
        <v>21</v>
      </c>
      <c r="Q1652" t="s">
        <v>37</v>
      </c>
      <c r="R1652">
        <v>0.38</v>
      </c>
      <c r="S1652" s="1">
        <v>39831</v>
      </c>
      <c r="T1652" t="str">
        <f t="shared" si="51"/>
        <v>18-Jan-2009</v>
      </c>
    </row>
    <row r="1653" spans="1:20" x14ac:dyDescent="0.3">
      <c r="A1653">
        <v>19136</v>
      </c>
      <c r="B1653" s="1">
        <v>40394</v>
      </c>
      <c r="C1653" t="s">
        <v>31</v>
      </c>
      <c r="D1653" t="str">
        <f t="shared" si="50"/>
        <v>04-Aug-2010</v>
      </c>
      <c r="E1653">
        <v>44</v>
      </c>
      <c r="F1653" s="13">
        <v>1372.9455</v>
      </c>
      <c r="G1653">
        <v>0</v>
      </c>
      <c r="H1653" t="s">
        <v>19</v>
      </c>
      <c r="I1653" s="13">
        <v>429.89</v>
      </c>
      <c r="J1653">
        <v>35.99</v>
      </c>
      <c r="K1653">
        <v>1.25</v>
      </c>
      <c r="L1653" t="s">
        <v>348</v>
      </c>
      <c r="M1653" t="s">
        <v>341</v>
      </c>
      <c r="N1653" s="5" t="s">
        <v>102</v>
      </c>
      <c r="O1653" t="s">
        <v>28</v>
      </c>
      <c r="P1653" t="s">
        <v>29</v>
      </c>
      <c r="Q1653" t="s">
        <v>30</v>
      </c>
      <c r="R1653">
        <v>0.56999999999999995</v>
      </c>
      <c r="S1653" s="1">
        <v>40396</v>
      </c>
      <c r="T1653" t="str">
        <f t="shared" si="51"/>
        <v>06-Aug-2010</v>
      </c>
    </row>
    <row r="1654" spans="1:20" x14ac:dyDescent="0.3">
      <c r="A1654">
        <v>39846</v>
      </c>
      <c r="B1654" s="1">
        <v>39871</v>
      </c>
      <c r="C1654" t="s">
        <v>18</v>
      </c>
      <c r="D1654" t="str">
        <f t="shared" si="50"/>
        <v>27-Feb-2009</v>
      </c>
      <c r="E1654">
        <v>10</v>
      </c>
      <c r="F1654" s="13">
        <v>1372.14</v>
      </c>
      <c r="G1654">
        <v>0.06</v>
      </c>
      <c r="H1654" t="s">
        <v>24</v>
      </c>
      <c r="I1654" s="13">
        <v>-340.98</v>
      </c>
      <c r="J1654">
        <v>130.97999999999999</v>
      </c>
      <c r="K1654">
        <v>54.74</v>
      </c>
      <c r="L1654" t="s">
        <v>82</v>
      </c>
      <c r="M1654" t="s">
        <v>341</v>
      </c>
      <c r="N1654" s="5" t="s">
        <v>102</v>
      </c>
      <c r="O1654" t="s">
        <v>28</v>
      </c>
      <c r="P1654" t="s">
        <v>32</v>
      </c>
      <c r="Q1654" t="s">
        <v>45</v>
      </c>
      <c r="R1654">
        <v>0.69</v>
      </c>
      <c r="S1654" s="1">
        <v>39878</v>
      </c>
      <c r="T1654" t="str">
        <f t="shared" si="51"/>
        <v>06-Mar-2009</v>
      </c>
    </row>
    <row r="1655" spans="1:20" x14ac:dyDescent="0.3">
      <c r="A1655">
        <v>19105</v>
      </c>
      <c r="B1655" s="1">
        <v>40114</v>
      </c>
      <c r="C1655" t="s">
        <v>23</v>
      </c>
      <c r="D1655" t="str">
        <f t="shared" si="50"/>
        <v>28-Oct-2009</v>
      </c>
      <c r="E1655">
        <v>31</v>
      </c>
      <c r="F1655" s="13">
        <v>1370.56</v>
      </c>
      <c r="G1655">
        <v>0.1</v>
      </c>
      <c r="H1655" t="s">
        <v>19</v>
      </c>
      <c r="I1655" s="13">
        <v>511.51</v>
      </c>
      <c r="J1655">
        <v>48.91</v>
      </c>
      <c r="K1655">
        <v>5.97</v>
      </c>
      <c r="L1655" t="s">
        <v>347</v>
      </c>
      <c r="M1655" t="s">
        <v>341</v>
      </c>
      <c r="N1655" s="5" t="s">
        <v>102</v>
      </c>
      <c r="O1655" t="s">
        <v>28</v>
      </c>
      <c r="P1655" t="s">
        <v>21</v>
      </c>
      <c r="Q1655" t="s">
        <v>37</v>
      </c>
      <c r="R1655">
        <v>0.38</v>
      </c>
      <c r="S1655" s="1">
        <v>40116</v>
      </c>
      <c r="T1655" t="str">
        <f t="shared" si="51"/>
        <v>30-Oct-2009</v>
      </c>
    </row>
    <row r="1656" spans="1:20" x14ac:dyDescent="0.3">
      <c r="A1656">
        <v>26146</v>
      </c>
      <c r="B1656" s="1">
        <v>40097</v>
      </c>
      <c r="C1656" t="s">
        <v>18</v>
      </c>
      <c r="D1656" t="str">
        <f t="shared" si="50"/>
        <v>11-Oct-2009</v>
      </c>
      <c r="E1656">
        <v>13</v>
      </c>
      <c r="F1656" s="13">
        <v>1351.76</v>
      </c>
      <c r="G1656">
        <v>0.03</v>
      </c>
      <c r="H1656" t="s">
        <v>19</v>
      </c>
      <c r="I1656" s="13">
        <v>107.31</v>
      </c>
      <c r="J1656">
        <v>104.65</v>
      </c>
      <c r="K1656">
        <v>18.93</v>
      </c>
      <c r="L1656" t="s">
        <v>343</v>
      </c>
      <c r="M1656" t="s">
        <v>341</v>
      </c>
      <c r="N1656" s="5" t="s">
        <v>102</v>
      </c>
      <c r="O1656" t="s">
        <v>28</v>
      </c>
      <c r="P1656" t="s">
        <v>21</v>
      </c>
      <c r="Q1656" t="s">
        <v>25</v>
      </c>
      <c r="R1656">
        <v>0.57999999999999996</v>
      </c>
      <c r="S1656" s="1">
        <v>40104</v>
      </c>
      <c r="T1656" t="str">
        <f t="shared" si="51"/>
        <v>18-Oct-2009</v>
      </c>
    </row>
    <row r="1657" spans="1:20" x14ac:dyDescent="0.3">
      <c r="A1657">
        <v>5221</v>
      </c>
      <c r="B1657" s="1">
        <v>40702</v>
      </c>
      <c r="C1657" t="s">
        <v>31</v>
      </c>
      <c r="D1657" t="str">
        <f t="shared" si="50"/>
        <v>08-Jun-2011</v>
      </c>
      <c r="E1657">
        <v>48</v>
      </c>
      <c r="F1657" s="13">
        <v>1347.63</v>
      </c>
      <c r="G1657">
        <v>7.0000000000000007E-2</v>
      </c>
      <c r="H1657" t="s">
        <v>19</v>
      </c>
      <c r="I1657" s="13">
        <v>562.89</v>
      </c>
      <c r="J1657">
        <v>28.48</v>
      </c>
      <c r="K1657">
        <v>1.99</v>
      </c>
      <c r="L1657" t="s">
        <v>367</v>
      </c>
      <c r="M1657" t="s">
        <v>341</v>
      </c>
      <c r="N1657" s="5" t="s">
        <v>102</v>
      </c>
      <c r="O1657" t="s">
        <v>28</v>
      </c>
      <c r="P1657" t="s">
        <v>29</v>
      </c>
      <c r="Q1657" t="s">
        <v>41</v>
      </c>
      <c r="R1657">
        <v>0.4</v>
      </c>
      <c r="S1657" s="1">
        <v>40704</v>
      </c>
      <c r="T1657" t="str">
        <f t="shared" si="51"/>
        <v>10-Jun-2011</v>
      </c>
    </row>
    <row r="1658" spans="1:20" x14ac:dyDescent="0.3">
      <c r="A1658">
        <v>47398</v>
      </c>
      <c r="B1658" s="1">
        <v>40711</v>
      </c>
      <c r="C1658" t="s">
        <v>38</v>
      </c>
      <c r="D1658" t="str">
        <f t="shared" si="50"/>
        <v>17-Jun-2011</v>
      </c>
      <c r="E1658">
        <v>6</v>
      </c>
      <c r="F1658" s="13">
        <v>1307.184</v>
      </c>
      <c r="G1658">
        <v>0.03</v>
      </c>
      <c r="H1658" t="s">
        <v>24</v>
      </c>
      <c r="I1658" s="13">
        <v>-184.06</v>
      </c>
      <c r="J1658">
        <v>262.11</v>
      </c>
      <c r="K1658">
        <v>62.74</v>
      </c>
      <c r="L1658" t="s">
        <v>340</v>
      </c>
      <c r="M1658" t="s">
        <v>341</v>
      </c>
      <c r="N1658" s="5" t="s">
        <v>102</v>
      </c>
      <c r="O1658" t="s">
        <v>28</v>
      </c>
      <c r="P1658" t="s">
        <v>32</v>
      </c>
      <c r="Q1658" t="s">
        <v>46</v>
      </c>
      <c r="R1658">
        <v>0.75</v>
      </c>
      <c r="S1658" s="1">
        <v>40713</v>
      </c>
      <c r="T1658" t="str">
        <f t="shared" si="51"/>
        <v>19-Jun-2011</v>
      </c>
    </row>
    <row r="1659" spans="1:20" x14ac:dyDescent="0.3">
      <c r="A1659">
        <v>2086</v>
      </c>
      <c r="B1659" s="1">
        <v>40104</v>
      </c>
      <c r="C1659" t="s">
        <v>43</v>
      </c>
      <c r="D1659" t="str">
        <f t="shared" si="50"/>
        <v>18-Oct-2009</v>
      </c>
      <c r="E1659">
        <v>9</v>
      </c>
      <c r="F1659" s="13">
        <v>1246.68</v>
      </c>
      <c r="G1659">
        <v>0.01</v>
      </c>
      <c r="H1659" t="s">
        <v>19</v>
      </c>
      <c r="I1659" s="13">
        <v>218.48</v>
      </c>
      <c r="J1659">
        <v>128.24</v>
      </c>
      <c r="K1659">
        <v>12.65</v>
      </c>
      <c r="L1659" t="s">
        <v>103</v>
      </c>
      <c r="M1659" t="s">
        <v>341</v>
      </c>
      <c r="N1659" s="5" t="s">
        <v>102</v>
      </c>
      <c r="O1659" t="s">
        <v>28</v>
      </c>
      <c r="P1659" t="s">
        <v>32</v>
      </c>
      <c r="Q1659" t="s">
        <v>56</v>
      </c>
      <c r="S1659" s="1">
        <v>40107</v>
      </c>
      <c r="T1659" t="str">
        <f t="shared" si="51"/>
        <v>21-Oct-2009</v>
      </c>
    </row>
    <row r="1660" spans="1:20" x14ac:dyDescent="0.3">
      <c r="A1660">
        <v>13767</v>
      </c>
      <c r="B1660" s="1">
        <v>40416</v>
      </c>
      <c r="C1660" t="s">
        <v>23</v>
      </c>
      <c r="D1660" t="str">
        <f t="shared" si="50"/>
        <v>26-Aug-2010</v>
      </c>
      <c r="E1660">
        <v>10</v>
      </c>
      <c r="F1660" s="13">
        <v>1246.3634999999999</v>
      </c>
      <c r="G1660">
        <v>0.06</v>
      </c>
      <c r="H1660" t="s">
        <v>19</v>
      </c>
      <c r="I1660" s="13">
        <v>-339.11</v>
      </c>
      <c r="J1660">
        <v>155.99</v>
      </c>
      <c r="K1660">
        <v>8.99</v>
      </c>
      <c r="L1660" t="s">
        <v>316</v>
      </c>
      <c r="M1660" t="s">
        <v>341</v>
      </c>
      <c r="N1660" s="5" t="s">
        <v>102</v>
      </c>
      <c r="O1660" t="s">
        <v>28</v>
      </c>
      <c r="P1660" t="s">
        <v>29</v>
      </c>
      <c r="Q1660" t="s">
        <v>30</v>
      </c>
      <c r="R1660">
        <v>0.57999999999999996</v>
      </c>
      <c r="S1660" s="1">
        <v>40417</v>
      </c>
      <c r="T1660" t="str">
        <f t="shared" si="51"/>
        <v>27-Aug-2010</v>
      </c>
    </row>
    <row r="1661" spans="1:20" x14ac:dyDescent="0.3">
      <c r="A1661">
        <v>53378</v>
      </c>
      <c r="B1661" s="1">
        <v>41103</v>
      </c>
      <c r="C1661" t="s">
        <v>38</v>
      </c>
      <c r="D1661" t="str">
        <f t="shared" si="50"/>
        <v>13-Jul-2012</v>
      </c>
      <c r="E1661">
        <v>38</v>
      </c>
      <c r="F1661" s="13">
        <v>1233.76</v>
      </c>
      <c r="G1661">
        <v>0.06</v>
      </c>
      <c r="H1661" t="s">
        <v>19</v>
      </c>
      <c r="I1661" s="13">
        <v>-168.08</v>
      </c>
      <c r="J1661">
        <v>33.979999999999997</v>
      </c>
      <c r="K1661">
        <v>19.989999999999998</v>
      </c>
      <c r="L1661" t="s">
        <v>342</v>
      </c>
      <c r="M1661" t="s">
        <v>341</v>
      </c>
      <c r="N1661" s="5" t="s">
        <v>102</v>
      </c>
      <c r="O1661" t="s">
        <v>28</v>
      </c>
      <c r="P1661" t="s">
        <v>32</v>
      </c>
      <c r="Q1661" t="s">
        <v>33</v>
      </c>
      <c r="R1661">
        <v>0.55000000000000004</v>
      </c>
      <c r="S1661" s="1">
        <v>41104</v>
      </c>
      <c r="T1661" t="str">
        <f t="shared" si="51"/>
        <v>14-Jul-2012</v>
      </c>
    </row>
    <row r="1662" spans="1:20" x14ac:dyDescent="0.3">
      <c r="A1662">
        <v>26439</v>
      </c>
      <c r="B1662" s="1">
        <v>40801</v>
      </c>
      <c r="C1662" t="s">
        <v>38</v>
      </c>
      <c r="D1662" t="str">
        <f t="shared" si="50"/>
        <v>15-Sep-2011</v>
      </c>
      <c r="E1662">
        <v>38</v>
      </c>
      <c r="F1662" s="13">
        <v>1230.83</v>
      </c>
      <c r="G1662">
        <v>0</v>
      </c>
      <c r="H1662" t="s">
        <v>19</v>
      </c>
      <c r="I1662" s="13">
        <v>75.5</v>
      </c>
      <c r="J1662">
        <v>30.98</v>
      </c>
      <c r="K1662">
        <v>6.5</v>
      </c>
      <c r="L1662" t="s">
        <v>319</v>
      </c>
      <c r="M1662" t="s">
        <v>341</v>
      </c>
      <c r="N1662" s="5" t="s">
        <v>102</v>
      </c>
      <c r="O1662" t="s">
        <v>28</v>
      </c>
      <c r="P1662" t="s">
        <v>29</v>
      </c>
      <c r="Q1662" t="s">
        <v>41</v>
      </c>
      <c r="R1662">
        <v>0.64</v>
      </c>
      <c r="S1662" s="1">
        <v>40802</v>
      </c>
      <c r="T1662" t="str">
        <f t="shared" si="51"/>
        <v>16-Sep-2011</v>
      </c>
    </row>
    <row r="1663" spans="1:20" x14ac:dyDescent="0.3">
      <c r="A1663">
        <v>30374</v>
      </c>
      <c r="B1663" s="1">
        <v>40258</v>
      </c>
      <c r="C1663" t="s">
        <v>43</v>
      </c>
      <c r="D1663" t="str">
        <f t="shared" si="50"/>
        <v>21-Mar-2010</v>
      </c>
      <c r="E1663">
        <v>42</v>
      </c>
      <c r="F1663" s="13">
        <v>1220.08</v>
      </c>
      <c r="G1663">
        <v>0</v>
      </c>
      <c r="H1663" t="s">
        <v>19</v>
      </c>
      <c r="I1663" s="13">
        <v>515.64</v>
      </c>
      <c r="J1663">
        <v>28.48</v>
      </c>
      <c r="K1663">
        <v>1.99</v>
      </c>
      <c r="L1663" t="s">
        <v>348</v>
      </c>
      <c r="M1663" t="s">
        <v>341</v>
      </c>
      <c r="N1663" s="5" t="s">
        <v>102</v>
      </c>
      <c r="O1663" t="s">
        <v>28</v>
      </c>
      <c r="P1663" t="s">
        <v>29</v>
      </c>
      <c r="Q1663" t="s">
        <v>41</v>
      </c>
      <c r="R1663">
        <v>0.4</v>
      </c>
      <c r="S1663" s="1">
        <v>40259</v>
      </c>
      <c r="T1663" t="str">
        <f t="shared" si="51"/>
        <v>22-Mar-2010</v>
      </c>
    </row>
    <row r="1664" spans="1:20" x14ac:dyDescent="0.3">
      <c r="A1664">
        <v>52068</v>
      </c>
      <c r="B1664" s="1">
        <v>40921</v>
      </c>
      <c r="C1664" t="s">
        <v>31</v>
      </c>
      <c r="D1664" t="str">
        <f t="shared" si="50"/>
        <v>13-Jan-2012</v>
      </c>
      <c r="E1664">
        <v>21</v>
      </c>
      <c r="F1664" s="13">
        <v>1217.5</v>
      </c>
      <c r="G1664">
        <v>7.0000000000000007E-2</v>
      </c>
      <c r="H1664" t="s">
        <v>24</v>
      </c>
      <c r="I1664" s="13">
        <v>-412.36</v>
      </c>
      <c r="J1664">
        <v>58.14</v>
      </c>
      <c r="K1664">
        <v>36.61</v>
      </c>
      <c r="L1664" t="s">
        <v>340</v>
      </c>
      <c r="M1664" t="s">
        <v>341</v>
      </c>
      <c r="N1664" s="5" t="s">
        <v>102</v>
      </c>
      <c r="O1664" t="s">
        <v>28</v>
      </c>
      <c r="P1664" t="s">
        <v>32</v>
      </c>
      <c r="Q1664" t="s">
        <v>45</v>
      </c>
      <c r="R1664">
        <v>0.61</v>
      </c>
      <c r="S1664" s="1">
        <v>40922</v>
      </c>
      <c r="T1664" t="str">
        <f t="shared" si="51"/>
        <v>14-Jan-2012</v>
      </c>
    </row>
    <row r="1665" spans="1:20" x14ac:dyDescent="0.3">
      <c r="A1665">
        <v>7782</v>
      </c>
      <c r="B1665" s="1">
        <v>39996</v>
      </c>
      <c r="C1665" t="s">
        <v>43</v>
      </c>
      <c r="D1665" t="str">
        <f t="shared" si="50"/>
        <v>02-Jul-2009</v>
      </c>
      <c r="E1665">
        <v>20</v>
      </c>
      <c r="F1665" s="13">
        <v>1205.73</v>
      </c>
      <c r="G1665">
        <v>7.0000000000000007E-2</v>
      </c>
      <c r="H1665" t="s">
        <v>35</v>
      </c>
      <c r="I1665" s="13">
        <v>310.93</v>
      </c>
      <c r="J1665">
        <v>60.97</v>
      </c>
      <c r="K1665">
        <v>4.5</v>
      </c>
      <c r="L1665" t="s">
        <v>357</v>
      </c>
      <c r="M1665" t="s">
        <v>341</v>
      </c>
      <c r="N1665" s="5" t="s">
        <v>102</v>
      </c>
      <c r="O1665" t="s">
        <v>28</v>
      </c>
      <c r="P1665" t="s">
        <v>21</v>
      </c>
      <c r="Q1665" t="s">
        <v>25</v>
      </c>
      <c r="R1665">
        <v>0.56000000000000005</v>
      </c>
      <c r="S1665" s="1">
        <v>39998</v>
      </c>
      <c r="T1665" t="str">
        <f t="shared" si="51"/>
        <v>04-Jul-2009</v>
      </c>
    </row>
    <row r="1666" spans="1:20" x14ac:dyDescent="0.3">
      <c r="A1666">
        <v>69</v>
      </c>
      <c r="B1666" s="1">
        <v>39967</v>
      </c>
      <c r="C1666" t="s">
        <v>31</v>
      </c>
      <c r="D1666" t="str">
        <f t="shared" ref="D1666:D1729" si="52">TEXT(B1666, "dd-mmm-yyyy" )</f>
        <v>03-Jun-2009</v>
      </c>
      <c r="E1666">
        <v>42</v>
      </c>
      <c r="F1666" s="13">
        <v>1186.06</v>
      </c>
      <c r="G1666">
        <v>0.09</v>
      </c>
      <c r="H1666" t="s">
        <v>19</v>
      </c>
      <c r="I1666" s="13">
        <v>511.69</v>
      </c>
      <c r="J1666">
        <v>30.93</v>
      </c>
      <c r="K1666">
        <v>3.92</v>
      </c>
      <c r="L1666" t="s">
        <v>356</v>
      </c>
      <c r="M1666" t="s">
        <v>341</v>
      </c>
      <c r="N1666" s="5" t="s">
        <v>102</v>
      </c>
      <c r="O1666" t="s">
        <v>28</v>
      </c>
      <c r="P1666" t="s">
        <v>32</v>
      </c>
      <c r="Q1666" t="s">
        <v>33</v>
      </c>
      <c r="R1666">
        <v>0.44</v>
      </c>
      <c r="S1666" s="1">
        <v>39969</v>
      </c>
      <c r="T1666" t="str">
        <f t="shared" ref="T1666:T1729" si="53">TEXT(S1666, "dd-mmm-yyyy")</f>
        <v>05-Jun-2009</v>
      </c>
    </row>
    <row r="1667" spans="1:20" x14ac:dyDescent="0.3">
      <c r="A1667">
        <v>8803</v>
      </c>
      <c r="B1667" s="1">
        <v>41263</v>
      </c>
      <c r="C1667" t="s">
        <v>31</v>
      </c>
      <c r="D1667" t="str">
        <f t="shared" si="52"/>
        <v>20-Dec-2012</v>
      </c>
      <c r="E1667">
        <v>6</v>
      </c>
      <c r="F1667" s="13">
        <v>1184.1099999999999</v>
      </c>
      <c r="G1667">
        <v>7.0000000000000007E-2</v>
      </c>
      <c r="H1667" t="s">
        <v>19</v>
      </c>
      <c r="I1667" s="13">
        <v>-145.07</v>
      </c>
      <c r="J1667">
        <v>193.17</v>
      </c>
      <c r="K1667">
        <v>19.989999999999998</v>
      </c>
      <c r="L1667" t="s">
        <v>345</v>
      </c>
      <c r="M1667" t="s">
        <v>341</v>
      </c>
      <c r="N1667" s="5" t="s">
        <v>102</v>
      </c>
      <c r="O1667" t="s">
        <v>28</v>
      </c>
      <c r="P1667" t="s">
        <v>21</v>
      </c>
      <c r="Q1667" t="s">
        <v>22</v>
      </c>
      <c r="R1667">
        <v>0.71</v>
      </c>
      <c r="S1667" s="1">
        <v>41264</v>
      </c>
      <c r="T1667" t="str">
        <f t="shared" si="53"/>
        <v>21-Dec-2012</v>
      </c>
    </row>
    <row r="1668" spans="1:20" x14ac:dyDescent="0.3">
      <c r="A1668">
        <v>26439</v>
      </c>
      <c r="B1668" s="1">
        <v>40801</v>
      </c>
      <c r="C1668" t="s">
        <v>38</v>
      </c>
      <c r="D1668" t="str">
        <f t="shared" si="52"/>
        <v>15-Sep-2011</v>
      </c>
      <c r="E1668">
        <v>23</v>
      </c>
      <c r="F1668" s="13">
        <v>1176.944</v>
      </c>
      <c r="G1668">
        <v>0.1</v>
      </c>
      <c r="H1668" t="s">
        <v>19</v>
      </c>
      <c r="I1668" s="13">
        <v>53.65</v>
      </c>
      <c r="J1668">
        <v>65.989999999999995</v>
      </c>
      <c r="K1668">
        <v>4.99</v>
      </c>
      <c r="L1668" t="s">
        <v>319</v>
      </c>
      <c r="M1668" t="s">
        <v>341</v>
      </c>
      <c r="N1668" s="5" t="s">
        <v>102</v>
      </c>
      <c r="O1668" t="s">
        <v>28</v>
      </c>
      <c r="P1668" t="s">
        <v>29</v>
      </c>
      <c r="Q1668" t="s">
        <v>30</v>
      </c>
      <c r="R1668">
        <v>0.57999999999999996</v>
      </c>
      <c r="S1668" s="1">
        <v>40803</v>
      </c>
      <c r="T1668" t="str">
        <f t="shared" si="53"/>
        <v>17-Sep-2011</v>
      </c>
    </row>
    <row r="1669" spans="1:20" x14ac:dyDescent="0.3">
      <c r="A1669">
        <v>28870</v>
      </c>
      <c r="B1669" s="1">
        <v>40857</v>
      </c>
      <c r="C1669" t="s">
        <v>23</v>
      </c>
      <c r="D1669" t="str">
        <f t="shared" si="52"/>
        <v>10-Nov-2011</v>
      </c>
      <c r="E1669">
        <v>27</v>
      </c>
      <c r="F1669" s="13">
        <v>1154.8900000000001</v>
      </c>
      <c r="G1669">
        <v>0.03</v>
      </c>
      <c r="H1669" t="s">
        <v>19</v>
      </c>
      <c r="I1669" s="13">
        <v>66.36</v>
      </c>
      <c r="J1669">
        <v>40.98</v>
      </c>
      <c r="K1669">
        <v>6.5</v>
      </c>
      <c r="L1669" t="s">
        <v>82</v>
      </c>
      <c r="M1669" t="s">
        <v>341</v>
      </c>
      <c r="N1669" s="5" t="s">
        <v>102</v>
      </c>
      <c r="O1669" t="s">
        <v>28</v>
      </c>
      <c r="P1669" t="s">
        <v>29</v>
      </c>
      <c r="Q1669" t="s">
        <v>41</v>
      </c>
      <c r="R1669">
        <v>0.64</v>
      </c>
      <c r="S1669" s="1">
        <v>40858</v>
      </c>
      <c r="T1669" t="str">
        <f t="shared" si="53"/>
        <v>11-Nov-2011</v>
      </c>
    </row>
    <row r="1670" spans="1:20" x14ac:dyDescent="0.3">
      <c r="A1670">
        <v>42631</v>
      </c>
      <c r="B1670" s="1">
        <v>39942</v>
      </c>
      <c r="C1670" t="s">
        <v>23</v>
      </c>
      <c r="D1670" t="str">
        <f t="shared" si="52"/>
        <v>09-May-2009</v>
      </c>
      <c r="E1670">
        <v>22</v>
      </c>
      <c r="F1670" s="13">
        <v>1148.0355</v>
      </c>
      <c r="G1670">
        <v>0.08</v>
      </c>
      <c r="H1670" t="s">
        <v>35</v>
      </c>
      <c r="I1670" s="13">
        <v>21.98</v>
      </c>
      <c r="J1670">
        <v>65.989999999999995</v>
      </c>
      <c r="K1670">
        <v>8.99</v>
      </c>
      <c r="L1670" t="s">
        <v>81</v>
      </c>
      <c r="M1670" t="s">
        <v>341</v>
      </c>
      <c r="N1670" s="5" t="s">
        <v>102</v>
      </c>
      <c r="O1670" t="s">
        <v>28</v>
      </c>
      <c r="P1670" t="s">
        <v>29</v>
      </c>
      <c r="Q1670" t="s">
        <v>30</v>
      </c>
      <c r="R1670">
        <v>0.55000000000000004</v>
      </c>
      <c r="S1670" s="1">
        <v>39944</v>
      </c>
      <c r="T1670" t="str">
        <f t="shared" si="53"/>
        <v>11-May-2009</v>
      </c>
    </row>
    <row r="1671" spans="1:20" x14ac:dyDescent="0.3">
      <c r="A1671">
        <v>41799</v>
      </c>
      <c r="B1671" s="1">
        <v>39987</v>
      </c>
      <c r="C1671" t="s">
        <v>23</v>
      </c>
      <c r="D1671" t="str">
        <f t="shared" si="52"/>
        <v>23-Jun-2009</v>
      </c>
      <c r="E1671">
        <v>21</v>
      </c>
      <c r="F1671" s="13">
        <v>1130.806</v>
      </c>
      <c r="G1671">
        <v>0.04</v>
      </c>
      <c r="H1671" t="s">
        <v>19</v>
      </c>
      <c r="I1671" s="13">
        <v>95.15</v>
      </c>
      <c r="J1671">
        <v>65.989999999999995</v>
      </c>
      <c r="K1671">
        <v>4.99</v>
      </c>
      <c r="L1671" t="s">
        <v>356</v>
      </c>
      <c r="M1671" t="s">
        <v>341</v>
      </c>
      <c r="N1671" s="5" t="s">
        <v>102</v>
      </c>
      <c r="O1671" t="s">
        <v>28</v>
      </c>
      <c r="P1671" t="s">
        <v>29</v>
      </c>
      <c r="Q1671" t="s">
        <v>30</v>
      </c>
      <c r="R1671">
        <v>0.56999999999999995</v>
      </c>
      <c r="S1671" s="1">
        <v>39988</v>
      </c>
      <c r="T1671" t="str">
        <f t="shared" si="53"/>
        <v>24-Jun-2009</v>
      </c>
    </row>
    <row r="1672" spans="1:20" x14ac:dyDescent="0.3">
      <c r="A1672">
        <v>38982</v>
      </c>
      <c r="B1672" s="1">
        <v>40011</v>
      </c>
      <c r="C1672" t="s">
        <v>31</v>
      </c>
      <c r="D1672" t="str">
        <f t="shared" si="52"/>
        <v>17-Jul-2009</v>
      </c>
      <c r="E1672">
        <v>43</v>
      </c>
      <c r="F1672" s="13">
        <v>1114.42</v>
      </c>
      <c r="G1672">
        <v>0.09</v>
      </c>
      <c r="H1672" t="s">
        <v>19</v>
      </c>
      <c r="I1672" s="13">
        <v>425.07</v>
      </c>
      <c r="J1672">
        <v>28.48</v>
      </c>
      <c r="K1672">
        <v>1.99</v>
      </c>
      <c r="L1672" t="s">
        <v>358</v>
      </c>
      <c r="M1672" t="s">
        <v>341</v>
      </c>
      <c r="N1672" s="5" t="s">
        <v>102</v>
      </c>
      <c r="O1672" t="s">
        <v>28</v>
      </c>
      <c r="P1672" t="s">
        <v>29</v>
      </c>
      <c r="Q1672" t="s">
        <v>41</v>
      </c>
      <c r="R1672">
        <v>0.4</v>
      </c>
      <c r="S1672" s="1">
        <v>40012</v>
      </c>
      <c r="T1672" t="str">
        <f t="shared" si="53"/>
        <v>18-Jul-2009</v>
      </c>
    </row>
    <row r="1673" spans="1:20" x14ac:dyDescent="0.3">
      <c r="A1673">
        <v>32100</v>
      </c>
      <c r="B1673" s="1">
        <v>41052</v>
      </c>
      <c r="C1673" t="s">
        <v>38</v>
      </c>
      <c r="D1673" t="str">
        <f t="shared" si="52"/>
        <v>23-May-2012</v>
      </c>
      <c r="E1673">
        <v>29</v>
      </c>
      <c r="F1673" s="13">
        <v>1104.28</v>
      </c>
      <c r="G1673">
        <v>0.08</v>
      </c>
      <c r="H1673" t="s">
        <v>19</v>
      </c>
      <c r="I1673" s="13">
        <v>359.75</v>
      </c>
      <c r="J1673">
        <v>40.98</v>
      </c>
      <c r="K1673">
        <v>1.99</v>
      </c>
      <c r="L1673" t="s">
        <v>358</v>
      </c>
      <c r="M1673" t="s">
        <v>341</v>
      </c>
      <c r="N1673" s="5" t="s">
        <v>102</v>
      </c>
      <c r="O1673" t="s">
        <v>28</v>
      </c>
      <c r="P1673" t="s">
        <v>29</v>
      </c>
      <c r="Q1673" t="s">
        <v>41</v>
      </c>
      <c r="R1673">
        <v>0.44</v>
      </c>
      <c r="S1673" s="1">
        <v>41054</v>
      </c>
      <c r="T1673" t="str">
        <f t="shared" si="53"/>
        <v>25-May-2012</v>
      </c>
    </row>
    <row r="1674" spans="1:20" x14ac:dyDescent="0.3">
      <c r="A1674">
        <v>14242</v>
      </c>
      <c r="B1674" s="1">
        <v>40671</v>
      </c>
      <c r="C1674" t="s">
        <v>23</v>
      </c>
      <c r="D1674" t="str">
        <f t="shared" si="52"/>
        <v>08-May-2011</v>
      </c>
      <c r="E1674">
        <v>35</v>
      </c>
      <c r="F1674" s="13">
        <v>1078.58</v>
      </c>
      <c r="G1674">
        <v>0.03</v>
      </c>
      <c r="H1674" t="s">
        <v>19</v>
      </c>
      <c r="I1674" s="13">
        <v>9</v>
      </c>
      <c r="J1674">
        <v>30.73</v>
      </c>
      <c r="K1674">
        <v>4</v>
      </c>
      <c r="L1674" t="s">
        <v>359</v>
      </c>
      <c r="M1674" t="s">
        <v>341</v>
      </c>
      <c r="N1674" s="5" t="s">
        <v>102</v>
      </c>
      <c r="O1674" t="s">
        <v>28</v>
      </c>
      <c r="P1674" t="s">
        <v>29</v>
      </c>
      <c r="Q1674" t="s">
        <v>41</v>
      </c>
      <c r="R1674">
        <v>0.75</v>
      </c>
      <c r="S1674" s="1">
        <v>40673</v>
      </c>
      <c r="T1674" t="str">
        <f t="shared" si="53"/>
        <v>10-May-2011</v>
      </c>
    </row>
    <row r="1675" spans="1:20" x14ac:dyDescent="0.3">
      <c r="A1675">
        <v>25155</v>
      </c>
      <c r="B1675" s="1">
        <v>40198</v>
      </c>
      <c r="C1675" t="s">
        <v>18</v>
      </c>
      <c r="D1675" t="str">
        <f t="shared" si="52"/>
        <v>20-Jan-2010</v>
      </c>
      <c r="E1675">
        <v>48</v>
      </c>
      <c r="F1675" s="13">
        <v>1038.99</v>
      </c>
      <c r="G1675">
        <v>0</v>
      </c>
      <c r="H1675" t="s">
        <v>19</v>
      </c>
      <c r="I1675" s="13">
        <v>-180.45</v>
      </c>
      <c r="J1675">
        <v>19.940000000000001</v>
      </c>
      <c r="K1675">
        <v>14.87</v>
      </c>
      <c r="L1675" t="s">
        <v>343</v>
      </c>
      <c r="M1675" t="s">
        <v>341</v>
      </c>
      <c r="N1675" s="5" t="s">
        <v>102</v>
      </c>
      <c r="O1675" t="s">
        <v>28</v>
      </c>
      <c r="P1675" t="s">
        <v>32</v>
      </c>
      <c r="Q1675" t="s">
        <v>33</v>
      </c>
      <c r="R1675">
        <v>0.56999999999999995</v>
      </c>
      <c r="S1675" s="1">
        <v>40205</v>
      </c>
      <c r="T1675" t="str">
        <f t="shared" si="53"/>
        <v>27-Jan-2010</v>
      </c>
    </row>
    <row r="1676" spans="1:20" x14ac:dyDescent="0.3">
      <c r="A1676">
        <v>20549</v>
      </c>
      <c r="B1676" s="1">
        <v>39825</v>
      </c>
      <c r="C1676" t="s">
        <v>31</v>
      </c>
      <c r="D1676" t="str">
        <f t="shared" si="52"/>
        <v>12-Jan-2009</v>
      </c>
      <c r="E1676">
        <v>40</v>
      </c>
      <c r="F1676" s="13">
        <v>1030.0899999999999</v>
      </c>
      <c r="G1676">
        <v>0.09</v>
      </c>
      <c r="H1676" t="s">
        <v>19</v>
      </c>
      <c r="I1676" s="13">
        <v>-568.71</v>
      </c>
      <c r="J1676">
        <v>27.75</v>
      </c>
      <c r="K1676">
        <v>19.989999999999998</v>
      </c>
      <c r="L1676" t="s">
        <v>82</v>
      </c>
      <c r="M1676" t="s">
        <v>341</v>
      </c>
      <c r="N1676" s="5" t="s">
        <v>102</v>
      </c>
      <c r="O1676" t="s">
        <v>28</v>
      </c>
      <c r="P1676" t="s">
        <v>21</v>
      </c>
      <c r="Q1676" t="s">
        <v>22</v>
      </c>
      <c r="R1676">
        <v>0.67</v>
      </c>
      <c r="S1676" s="1">
        <v>39826</v>
      </c>
      <c r="T1676" t="str">
        <f t="shared" si="53"/>
        <v>13-Jan-2009</v>
      </c>
    </row>
    <row r="1677" spans="1:20" x14ac:dyDescent="0.3">
      <c r="A1677">
        <v>47203</v>
      </c>
      <c r="B1677" s="1">
        <v>40165</v>
      </c>
      <c r="C1677" t="s">
        <v>43</v>
      </c>
      <c r="D1677" t="str">
        <f t="shared" si="52"/>
        <v>18-Dec-2009</v>
      </c>
      <c r="E1677">
        <v>44</v>
      </c>
      <c r="F1677" s="13">
        <v>1016.26</v>
      </c>
      <c r="G1677">
        <v>0.06</v>
      </c>
      <c r="H1677" t="s">
        <v>19</v>
      </c>
      <c r="I1677" s="13">
        <v>337.97</v>
      </c>
      <c r="J1677">
        <v>22.84</v>
      </c>
      <c r="K1677">
        <v>5.47</v>
      </c>
      <c r="L1677" t="s">
        <v>133</v>
      </c>
      <c r="M1677" t="s">
        <v>341</v>
      </c>
      <c r="N1677" s="5" t="s">
        <v>102</v>
      </c>
      <c r="O1677" t="s">
        <v>28</v>
      </c>
      <c r="P1677" t="s">
        <v>21</v>
      </c>
      <c r="Q1677" t="s">
        <v>37</v>
      </c>
      <c r="R1677">
        <v>0.39</v>
      </c>
      <c r="S1677" s="1">
        <v>40167</v>
      </c>
      <c r="T1677" t="str">
        <f t="shared" si="53"/>
        <v>20-Dec-2009</v>
      </c>
    </row>
    <row r="1678" spans="1:20" x14ac:dyDescent="0.3">
      <c r="A1678">
        <v>20037</v>
      </c>
      <c r="B1678" s="1">
        <v>39823</v>
      </c>
      <c r="C1678" t="s">
        <v>18</v>
      </c>
      <c r="D1678" t="str">
        <f t="shared" si="52"/>
        <v>10-Jan-2009</v>
      </c>
      <c r="E1678">
        <v>35</v>
      </c>
      <c r="F1678" s="13">
        <v>1009.42</v>
      </c>
      <c r="G1678">
        <v>0.02</v>
      </c>
      <c r="H1678" t="s">
        <v>19</v>
      </c>
      <c r="I1678" s="13">
        <v>339.58</v>
      </c>
      <c r="J1678">
        <v>29.18</v>
      </c>
      <c r="K1678">
        <v>8.5500000000000007</v>
      </c>
      <c r="L1678" t="s">
        <v>348</v>
      </c>
      <c r="M1678" t="s">
        <v>341</v>
      </c>
      <c r="N1678" s="5" t="s">
        <v>102</v>
      </c>
      <c r="O1678" t="s">
        <v>28</v>
      </c>
      <c r="P1678" t="s">
        <v>32</v>
      </c>
      <c r="Q1678" t="s">
        <v>33</v>
      </c>
      <c r="R1678">
        <v>0.42</v>
      </c>
      <c r="S1678" s="1">
        <v>39828</v>
      </c>
      <c r="T1678" t="str">
        <f t="shared" si="53"/>
        <v>15-Jan-2009</v>
      </c>
    </row>
    <row r="1679" spans="1:20" x14ac:dyDescent="0.3">
      <c r="A1679">
        <v>45410</v>
      </c>
      <c r="B1679" s="1">
        <v>40044</v>
      </c>
      <c r="C1679" t="s">
        <v>18</v>
      </c>
      <c r="D1679" t="str">
        <f t="shared" si="52"/>
        <v>19-Aug-2009</v>
      </c>
      <c r="E1679">
        <v>19</v>
      </c>
      <c r="F1679" s="13">
        <v>991.36</v>
      </c>
      <c r="G1679">
        <v>0.1</v>
      </c>
      <c r="H1679" t="s">
        <v>19</v>
      </c>
      <c r="I1679" s="13">
        <v>-103.11</v>
      </c>
      <c r="J1679">
        <v>54.1</v>
      </c>
      <c r="K1679">
        <v>19.989999999999998</v>
      </c>
      <c r="L1679" t="s">
        <v>362</v>
      </c>
      <c r="M1679" t="s">
        <v>341</v>
      </c>
      <c r="N1679" s="5" t="s">
        <v>102</v>
      </c>
      <c r="O1679" t="s">
        <v>28</v>
      </c>
      <c r="P1679" t="s">
        <v>21</v>
      </c>
      <c r="Q1679" t="s">
        <v>22</v>
      </c>
      <c r="R1679">
        <v>0.59</v>
      </c>
      <c r="S1679" s="1">
        <v>40049</v>
      </c>
      <c r="T1679" t="str">
        <f t="shared" si="53"/>
        <v>24-Aug-2009</v>
      </c>
    </row>
    <row r="1680" spans="1:20" x14ac:dyDescent="0.3">
      <c r="A1680">
        <v>59879</v>
      </c>
      <c r="B1680" s="1">
        <v>39881</v>
      </c>
      <c r="C1680" t="s">
        <v>31</v>
      </c>
      <c r="D1680" t="str">
        <f t="shared" si="52"/>
        <v>09-Mar-2009</v>
      </c>
      <c r="E1680">
        <v>33</v>
      </c>
      <c r="F1680" s="13">
        <v>987.3175</v>
      </c>
      <c r="G1680">
        <v>0.04</v>
      </c>
      <c r="H1680" t="s">
        <v>35</v>
      </c>
      <c r="I1680" s="13">
        <v>368.56</v>
      </c>
      <c r="J1680">
        <v>35.99</v>
      </c>
      <c r="K1680">
        <v>3.3</v>
      </c>
      <c r="L1680" t="s">
        <v>354</v>
      </c>
      <c r="M1680" t="s">
        <v>341</v>
      </c>
      <c r="N1680" s="5" t="s">
        <v>102</v>
      </c>
      <c r="O1680" t="s">
        <v>28</v>
      </c>
      <c r="P1680" t="s">
        <v>29</v>
      </c>
      <c r="Q1680" t="s">
        <v>30</v>
      </c>
      <c r="R1680">
        <v>0.39</v>
      </c>
      <c r="S1680" s="1">
        <v>39883</v>
      </c>
      <c r="T1680" t="str">
        <f t="shared" si="53"/>
        <v>11-Mar-2009</v>
      </c>
    </row>
    <row r="1681" spans="1:20" x14ac:dyDescent="0.3">
      <c r="A1681">
        <v>27491</v>
      </c>
      <c r="B1681" s="1">
        <v>39912</v>
      </c>
      <c r="C1681" t="s">
        <v>31</v>
      </c>
      <c r="D1681" t="str">
        <f t="shared" si="52"/>
        <v>09-Apr-2009</v>
      </c>
      <c r="E1681">
        <v>11</v>
      </c>
      <c r="F1681" s="13">
        <v>985.01</v>
      </c>
      <c r="G1681">
        <v>0.04</v>
      </c>
      <c r="H1681" t="s">
        <v>19</v>
      </c>
      <c r="I1681" s="13">
        <v>186.05</v>
      </c>
      <c r="J1681">
        <v>90.48</v>
      </c>
      <c r="K1681">
        <v>19.989999999999998</v>
      </c>
      <c r="L1681" t="s">
        <v>365</v>
      </c>
      <c r="M1681" t="s">
        <v>341</v>
      </c>
      <c r="N1681" s="5" t="s">
        <v>102</v>
      </c>
      <c r="O1681" t="s">
        <v>28</v>
      </c>
      <c r="P1681" t="s">
        <v>21</v>
      </c>
      <c r="Q1681" t="s">
        <v>42</v>
      </c>
      <c r="R1681">
        <v>0.4</v>
      </c>
      <c r="S1681" s="1">
        <v>39914</v>
      </c>
      <c r="T1681" t="str">
        <f t="shared" si="53"/>
        <v>11-Apr-2009</v>
      </c>
    </row>
    <row r="1682" spans="1:20" x14ac:dyDescent="0.3">
      <c r="A1682">
        <v>37861</v>
      </c>
      <c r="B1682" s="1">
        <v>40905</v>
      </c>
      <c r="C1682" t="s">
        <v>31</v>
      </c>
      <c r="D1682" t="str">
        <f t="shared" si="52"/>
        <v>28-Dec-2011</v>
      </c>
      <c r="E1682">
        <v>32</v>
      </c>
      <c r="F1682" s="13">
        <v>980.07</v>
      </c>
      <c r="G1682">
        <v>0.09</v>
      </c>
      <c r="H1682" t="s">
        <v>19</v>
      </c>
      <c r="I1682" s="13">
        <v>337.25</v>
      </c>
      <c r="J1682">
        <v>30.98</v>
      </c>
      <c r="K1682">
        <v>5.76</v>
      </c>
      <c r="L1682" t="s">
        <v>327</v>
      </c>
      <c r="M1682" t="s">
        <v>341</v>
      </c>
      <c r="N1682" s="5" t="s">
        <v>102</v>
      </c>
      <c r="O1682" t="s">
        <v>28</v>
      </c>
      <c r="P1682" t="s">
        <v>21</v>
      </c>
      <c r="Q1682" t="s">
        <v>37</v>
      </c>
      <c r="R1682">
        <v>0.4</v>
      </c>
      <c r="S1682" s="1">
        <v>40907</v>
      </c>
      <c r="T1682" t="str">
        <f t="shared" si="53"/>
        <v>30-Dec-2011</v>
      </c>
    </row>
    <row r="1683" spans="1:20" x14ac:dyDescent="0.3">
      <c r="A1683">
        <v>7776</v>
      </c>
      <c r="B1683" s="1">
        <v>39886</v>
      </c>
      <c r="C1683" t="s">
        <v>38</v>
      </c>
      <c r="D1683" t="str">
        <f t="shared" si="52"/>
        <v>14-Mar-2009</v>
      </c>
      <c r="E1683">
        <v>6</v>
      </c>
      <c r="F1683" s="13">
        <v>934.21600000000001</v>
      </c>
      <c r="G1683">
        <v>0.02</v>
      </c>
      <c r="H1683" t="s">
        <v>24</v>
      </c>
      <c r="I1683" s="13">
        <v>-4.34</v>
      </c>
      <c r="J1683">
        <v>179.29</v>
      </c>
      <c r="K1683">
        <v>29.21</v>
      </c>
      <c r="L1683" t="s">
        <v>348</v>
      </c>
      <c r="M1683" t="s">
        <v>341</v>
      </c>
      <c r="N1683" s="5" t="s">
        <v>102</v>
      </c>
      <c r="O1683" t="s">
        <v>28</v>
      </c>
      <c r="P1683" t="s">
        <v>32</v>
      </c>
      <c r="Q1683" t="s">
        <v>46</v>
      </c>
      <c r="R1683">
        <v>0.76</v>
      </c>
      <c r="S1683" s="1">
        <v>39886</v>
      </c>
      <c r="T1683" t="str">
        <f t="shared" si="53"/>
        <v>14-Mar-2009</v>
      </c>
    </row>
    <row r="1684" spans="1:20" x14ac:dyDescent="0.3">
      <c r="A1684">
        <v>11335</v>
      </c>
      <c r="B1684" s="1">
        <v>40107</v>
      </c>
      <c r="C1684" t="s">
        <v>23</v>
      </c>
      <c r="D1684" t="str">
        <f t="shared" si="52"/>
        <v>21-Oct-2009</v>
      </c>
      <c r="E1684">
        <v>8</v>
      </c>
      <c r="F1684" s="13">
        <v>922.47</v>
      </c>
      <c r="G1684">
        <v>0.09</v>
      </c>
      <c r="H1684" t="s">
        <v>24</v>
      </c>
      <c r="I1684" s="13">
        <v>-13.1</v>
      </c>
      <c r="J1684">
        <v>119.99</v>
      </c>
      <c r="K1684">
        <v>14</v>
      </c>
      <c r="L1684" t="s">
        <v>144</v>
      </c>
      <c r="M1684" t="s">
        <v>341</v>
      </c>
      <c r="N1684" s="5" t="s">
        <v>102</v>
      </c>
      <c r="O1684" t="s">
        <v>28</v>
      </c>
      <c r="P1684" t="s">
        <v>29</v>
      </c>
      <c r="Q1684" t="s">
        <v>74</v>
      </c>
      <c r="R1684">
        <v>0.36</v>
      </c>
      <c r="S1684" s="1">
        <v>40109</v>
      </c>
      <c r="T1684" t="str">
        <f t="shared" si="53"/>
        <v>23-Oct-2009</v>
      </c>
    </row>
    <row r="1685" spans="1:20" x14ac:dyDescent="0.3">
      <c r="A1685">
        <v>47942</v>
      </c>
      <c r="B1685" s="1">
        <v>40236</v>
      </c>
      <c r="C1685" t="s">
        <v>38</v>
      </c>
      <c r="D1685" t="str">
        <f t="shared" si="52"/>
        <v>27-Feb-2010</v>
      </c>
      <c r="E1685">
        <v>9</v>
      </c>
      <c r="F1685" s="13">
        <v>918.73950000000002</v>
      </c>
      <c r="G1685">
        <v>0.06</v>
      </c>
      <c r="H1685" t="s">
        <v>35</v>
      </c>
      <c r="I1685" s="13">
        <v>-303.56</v>
      </c>
      <c r="J1685">
        <v>125.99</v>
      </c>
      <c r="K1685">
        <v>7.69</v>
      </c>
      <c r="L1685" t="s">
        <v>225</v>
      </c>
      <c r="M1685" t="s">
        <v>341</v>
      </c>
      <c r="N1685" s="5" t="s">
        <v>102</v>
      </c>
      <c r="O1685" t="s">
        <v>28</v>
      </c>
      <c r="P1685" t="s">
        <v>29</v>
      </c>
      <c r="Q1685" t="s">
        <v>30</v>
      </c>
      <c r="R1685">
        <v>0.57999999999999996</v>
      </c>
      <c r="S1685" s="1">
        <v>40237</v>
      </c>
      <c r="T1685" t="str">
        <f t="shared" si="53"/>
        <v>28-Feb-2010</v>
      </c>
    </row>
    <row r="1686" spans="1:20" x14ac:dyDescent="0.3">
      <c r="A1686">
        <v>1925</v>
      </c>
      <c r="B1686" s="1">
        <v>40972</v>
      </c>
      <c r="C1686" t="s">
        <v>43</v>
      </c>
      <c r="D1686" t="str">
        <f t="shared" si="52"/>
        <v>04-Mar-2012</v>
      </c>
      <c r="E1686">
        <v>40</v>
      </c>
      <c r="F1686" s="13">
        <v>909.82</v>
      </c>
      <c r="G1686">
        <v>0.02</v>
      </c>
      <c r="H1686" t="s">
        <v>19</v>
      </c>
      <c r="I1686" s="13">
        <v>292.49</v>
      </c>
      <c r="J1686">
        <v>22.98</v>
      </c>
      <c r="K1686">
        <v>1.99</v>
      </c>
      <c r="L1686" t="s">
        <v>103</v>
      </c>
      <c r="M1686" t="s">
        <v>341</v>
      </c>
      <c r="N1686" s="5" t="s">
        <v>102</v>
      </c>
      <c r="O1686" t="s">
        <v>28</v>
      </c>
      <c r="P1686" t="s">
        <v>29</v>
      </c>
      <c r="Q1686" t="s">
        <v>41</v>
      </c>
      <c r="R1686">
        <v>0.46</v>
      </c>
      <c r="S1686" s="1">
        <v>40974</v>
      </c>
      <c r="T1686" t="str">
        <f t="shared" si="53"/>
        <v>06-Mar-2012</v>
      </c>
    </row>
    <row r="1687" spans="1:20" x14ac:dyDescent="0.3">
      <c r="A1687">
        <v>26466</v>
      </c>
      <c r="B1687" s="1">
        <v>39975</v>
      </c>
      <c r="C1687" t="s">
        <v>43</v>
      </c>
      <c r="D1687" t="str">
        <f t="shared" si="52"/>
        <v>11-Jun-2009</v>
      </c>
      <c r="E1687">
        <v>29</v>
      </c>
      <c r="F1687" s="13">
        <v>909.721</v>
      </c>
      <c r="G1687">
        <v>0.01</v>
      </c>
      <c r="H1687" t="s">
        <v>19</v>
      </c>
      <c r="I1687" s="13">
        <v>287.99</v>
      </c>
      <c r="J1687">
        <v>35.99</v>
      </c>
      <c r="K1687">
        <v>5.99</v>
      </c>
      <c r="L1687" t="s">
        <v>173</v>
      </c>
      <c r="M1687" t="s">
        <v>341</v>
      </c>
      <c r="N1687" s="5" t="s">
        <v>102</v>
      </c>
      <c r="O1687" t="s">
        <v>28</v>
      </c>
      <c r="P1687" t="s">
        <v>29</v>
      </c>
      <c r="Q1687" t="s">
        <v>30</v>
      </c>
      <c r="R1687">
        <v>0.38</v>
      </c>
      <c r="S1687" s="1">
        <v>39976</v>
      </c>
      <c r="T1687" t="str">
        <f t="shared" si="53"/>
        <v>12-Jun-2009</v>
      </c>
    </row>
    <row r="1688" spans="1:20" x14ac:dyDescent="0.3">
      <c r="A1688">
        <v>50304</v>
      </c>
      <c r="B1688" s="1">
        <v>40209</v>
      </c>
      <c r="C1688" t="s">
        <v>43</v>
      </c>
      <c r="D1688" t="str">
        <f t="shared" si="52"/>
        <v>31-Jan-2010</v>
      </c>
      <c r="E1688">
        <v>22</v>
      </c>
      <c r="F1688" s="13">
        <v>887.98</v>
      </c>
      <c r="G1688">
        <v>0.04</v>
      </c>
      <c r="H1688" t="s">
        <v>19</v>
      </c>
      <c r="I1688" s="13">
        <v>239.94</v>
      </c>
      <c r="J1688">
        <v>39.979999999999997</v>
      </c>
      <c r="K1688">
        <v>9.83</v>
      </c>
      <c r="L1688" t="s">
        <v>356</v>
      </c>
      <c r="M1688" t="s">
        <v>341</v>
      </c>
      <c r="N1688" s="5" t="s">
        <v>102</v>
      </c>
      <c r="O1688" t="s">
        <v>28</v>
      </c>
      <c r="P1688" t="s">
        <v>21</v>
      </c>
      <c r="Q1688" t="s">
        <v>42</v>
      </c>
      <c r="R1688">
        <v>0.4</v>
      </c>
      <c r="S1688" s="1">
        <v>40211</v>
      </c>
      <c r="T1688" t="str">
        <f t="shared" si="53"/>
        <v>02-Feb-2010</v>
      </c>
    </row>
    <row r="1689" spans="1:20" x14ac:dyDescent="0.3">
      <c r="A1689">
        <v>35910</v>
      </c>
      <c r="B1689" s="1">
        <v>40506</v>
      </c>
      <c r="C1689" t="s">
        <v>23</v>
      </c>
      <c r="D1689" t="str">
        <f t="shared" si="52"/>
        <v>24-Nov-2010</v>
      </c>
      <c r="E1689">
        <v>28</v>
      </c>
      <c r="F1689" s="13">
        <v>881.50099999999998</v>
      </c>
      <c r="G1689">
        <v>0.02</v>
      </c>
      <c r="H1689" t="s">
        <v>35</v>
      </c>
      <c r="I1689" s="13">
        <v>334.53</v>
      </c>
      <c r="J1689">
        <v>35.99</v>
      </c>
      <c r="K1689">
        <v>3.3</v>
      </c>
      <c r="L1689" t="s">
        <v>308</v>
      </c>
      <c r="M1689" t="s">
        <v>341</v>
      </c>
      <c r="N1689" s="5" t="s">
        <v>102</v>
      </c>
      <c r="O1689" t="s">
        <v>28</v>
      </c>
      <c r="P1689" t="s">
        <v>29</v>
      </c>
      <c r="Q1689" t="s">
        <v>30</v>
      </c>
      <c r="R1689">
        <v>0.39</v>
      </c>
      <c r="S1689" s="1">
        <v>40507</v>
      </c>
      <c r="T1689" t="str">
        <f t="shared" si="53"/>
        <v>25-Nov-2010</v>
      </c>
    </row>
    <row r="1690" spans="1:20" x14ac:dyDescent="0.3">
      <c r="A1690">
        <v>7363</v>
      </c>
      <c r="B1690" s="1">
        <v>40491</v>
      </c>
      <c r="C1690" t="s">
        <v>38</v>
      </c>
      <c r="D1690" t="str">
        <f t="shared" si="52"/>
        <v>09-Nov-2010</v>
      </c>
      <c r="E1690">
        <v>24</v>
      </c>
      <c r="F1690" s="13">
        <v>875.52</v>
      </c>
      <c r="G1690">
        <v>0.09</v>
      </c>
      <c r="H1690" t="s">
        <v>19</v>
      </c>
      <c r="I1690" s="13">
        <v>5.71</v>
      </c>
      <c r="J1690">
        <v>37.93</v>
      </c>
      <c r="K1690">
        <v>13.99</v>
      </c>
      <c r="L1690" t="s">
        <v>349</v>
      </c>
      <c r="M1690" t="s">
        <v>341</v>
      </c>
      <c r="N1690" s="5" t="s">
        <v>102</v>
      </c>
      <c r="O1690" t="s">
        <v>28</v>
      </c>
      <c r="P1690" t="s">
        <v>32</v>
      </c>
      <c r="Q1690" t="s">
        <v>33</v>
      </c>
      <c r="R1690">
        <v>0.67</v>
      </c>
      <c r="S1690" s="1">
        <v>40493</v>
      </c>
      <c r="T1690" t="str">
        <f t="shared" si="53"/>
        <v>11-Nov-2010</v>
      </c>
    </row>
    <row r="1691" spans="1:20" x14ac:dyDescent="0.3">
      <c r="A1691">
        <v>28867</v>
      </c>
      <c r="B1691" s="1">
        <v>40746</v>
      </c>
      <c r="C1691" t="s">
        <v>38</v>
      </c>
      <c r="D1691" t="str">
        <f t="shared" si="52"/>
        <v>22-Jul-2011</v>
      </c>
      <c r="E1691">
        <v>43</v>
      </c>
      <c r="F1691" s="13">
        <v>866.73</v>
      </c>
      <c r="G1691">
        <v>0.1</v>
      </c>
      <c r="H1691" t="s">
        <v>19</v>
      </c>
      <c r="I1691" s="13">
        <v>-199.98</v>
      </c>
      <c r="J1691">
        <v>20.97</v>
      </c>
      <c r="K1691">
        <v>6.5</v>
      </c>
      <c r="L1691" t="s">
        <v>357</v>
      </c>
      <c r="M1691" t="s">
        <v>341</v>
      </c>
      <c r="N1691" s="5" t="s">
        <v>102</v>
      </c>
      <c r="O1691" t="s">
        <v>28</v>
      </c>
      <c r="P1691" t="s">
        <v>29</v>
      </c>
      <c r="Q1691" t="s">
        <v>41</v>
      </c>
      <c r="R1691">
        <v>0.78</v>
      </c>
      <c r="S1691" s="1">
        <v>40747</v>
      </c>
      <c r="T1691" t="str">
        <f t="shared" si="53"/>
        <v>23-Jul-2011</v>
      </c>
    </row>
    <row r="1692" spans="1:20" x14ac:dyDescent="0.3">
      <c r="A1692">
        <v>45733</v>
      </c>
      <c r="B1692" s="1">
        <v>40518</v>
      </c>
      <c r="C1692" t="s">
        <v>43</v>
      </c>
      <c r="D1692" t="str">
        <f t="shared" si="52"/>
        <v>06-Dec-2010</v>
      </c>
      <c r="E1692">
        <v>39</v>
      </c>
      <c r="F1692" s="13">
        <v>851.17</v>
      </c>
      <c r="G1692">
        <v>7.0000000000000007E-2</v>
      </c>
      <c r="H1692" t="s">
        <v>19</v>
      </c>
      <c r="I1692" s="13">
        <v>-131.28</v>
      </c>
      <c r="J1692">
        <v>22.38</v>
      </c>
      <c r="K1692">
        <v>15.1</v>
      </c>
      <c r="L1692" t="s">
        <v>144</v>
      </c>
      <c r="M1692" t="s">
        <v>341</v>
      </c>
      <c r="N1692" s="5" t="s">
        <v>102</v>
      </c>
      <c r="O1692" t="s">
        <v>28</v>
      </c>
      <c r="P1692" t="s">
        <v>21</v>
      </c>
      <c r="Q1692" t="s">
        <v>26</v>
      </c>
      <c r="R1692">
        <v>0.38</v>
      </c>
      <c r="S1692" s="1">
        <v>40519</v>
      </c>
      <c r="T1692" t="str">
        <f t="shared" si="53"/>
        <v>07-Dec-2010</v>
      </c>
    </row>
    <row r="1693" spans="1:20" x14ac:dyDescent="0.3">
      <c r="A1693">
        <v>5765</v>
      </c>
      <c r="B1693" s="1">
        <v>40161</v>
      </c>
      <c r="C1693" t="s">
        <v>18</v>
      </c>
      <c r="D1693" t="str">
        <f t="shared" si="52"/>
        <v>14-Dec-2009</v>
      </c>
      <c r="E1693">
        <v>23</v>
      </c>
      <c r="F1693" s="13">
        <v>849.46</v>
      </c>
      <c r="G1693">
        <v>0.04</v>
      </c>
      <c r="H1693" t="s">
        <v>19</v>
      </c>
      <c r="I1693" s="13">
        <v>9.06</v>
      </c>
      <c r="J1693">
        <v>35.44</v>
      </c>
      <c r="K1693">
        <v>19.989999999999998</v>
      </c>
      <c r="L1693" t="s">
        <v>356</v>
      </c>
      <c r="M1693" t="s">
        <v>341</v>
      </c>
      <c r="N1693" s="5" t="s">
        <v>102</v>
      </c>
      <c r="O1693" t="s">
        <v>28</v>
      </c>
      <c r="P1693" t="s">
        <v>21</v>
      </c>
      <c r="Q1693" t="s">
        <v>37</v>
      </c>
      <c r="R1693">
        <v>0.38</v>
      </c>
      <c r="S1693" s="1">
        <v>40168</v>
      </c>
      <c r="T1693" t="str">
        <f t="shared" si="53"/>
        <v>21-Dec-2009</v>
      </c>
    </row>
    <row r="1694" spans="1:20" x14ac:dyDescent="0.3">
      <c r="A1694">
        <v>45767</v>
      </c>
      <c r="B1694" s="1">
        <v>41100</v>
      </c>
      <c r="C1694" t="s">
        <v>23</v>
      </c>
      <c r="D1694" t="str">
        <f t="shared" si="52"/>
        <v>10-Jul-2012</v>
      </c>
      <c r="E1694">
        <v>49</v>
      </c>
      <c r="F1694" s="13">
        <v>841.51</v>
      </c>
      <c r="G1694">
        <v>0.05</v>
      </c>
      <c r="H1694" t="s">
        <v>35</v>
      </c>
      <c r="I1694" s="13">
        <v>20.86</v>
      </c>
      <c r="J1694">
        <v>16.91</v>
      </c>
      <c r="K1694">
        <v>6.25</v>
      </c>
      <c r="L1694" t="s">
        <v>352</v>
      </c>
      <c r="M1694" t="s">
        <v>341</v>
      </c>
      <c r="N1694" s="5" t="s">
        <v>102</v>
      </c>
      <c r="O1694" t="s">
        <v>28</v>
      </c>
      <c r="P1694" t="s">
        <v>21</v>
      </c>
      <c r="Q1694" t="s">
        <v>22</v>
      </c>
      <c r="R1694">
        <v>0.57999999999999996</v>
      </c>
      <c r="S1694" s="1">
        <v>41102</v>
      </c>
      <c r="T1694" t="str">
        <f t="shared" si="53"/>
        <v>12-Jul-2012</v>
      </c>
    </row>
    <row r="1695" spans="1:20" x14ac:dyDescent="0.3">
      <c r="A1695">
        <v>10528</v>
      </c>
      <c r="B1695" s="1">
        <v>40069</v>
      </c>
      <c r="C1695" t="s">
        <v>38</v>
      </c>
      <c r="D1695" t="str">
        <f t="shared" si="52"/>
        <v>13-Sep-2009</v>
      </c>
      <c r="E1695">
        <v>47</v>
      </c>
      <c r="F1695" s="13">
        <v>838.4</v>
      </c>
      <c r="G1695">
        <v>0.02</v>
      </c>
      <c r="H1695" t="s">
        <v>35</v>
      </c>
      <c r="I1695" s="13">
        <v>-132.91</v>
      </c>
      <c r="J1695">
        <v>17.7</v>
      </c>
      <c r="K1695">
        <v>9.4700000000000006</v>
      </c>
      <c r="L1695" t="s">
        <v>362</v>
      </c>
      <c r="M1695" t="s">
        <v>341</v>
      </c>
      <c r="N1695" s="5" t="s">
        <v>102</v>
      </c>
      <c r="O1695" t="s">
        <v>28</v>
      </c>
      <c r="P1695" t="s">
        <v>21</v>
      </c>
      <c r="Q1695" t="s">
        <v>22</v>
      </c>
      <c r="R1695">
        <v>0.59</v>
      </c>
      <c r="S1695" s="1">
        <v>40071</v>
      </c>
      <c r="T1695" t="str">
        <f t="shared" si="53"/>
        <v>15-Sep-2009</v>
      </c>
    </row>
    <row r="1696" spans="1:20" x14ac:dyDescent="0.3">
      <c r="A1696">
        <v>39717</v>
      </c>
      <c r="B1696" s="1">
        <v>40145</v>
      </c>
      <c r="C1696" t="s">
        <v>23</v>
      </c>
      <c r="D1696" t="str">
        <f t="shared" si="52"/>
        <v>28-Nov-2009</v>
      </c>
      <c r="E1696">
        <v>20</v>
      </c>
      <c r="F1696" s="13">
        <v>835.48</v>
      </c>
      <c r="G1696">
        <v>0.06</v>
      </c>
      <c r="H1696" t="s">
        <v>19</v>
      </c>
      <c r="I1696" s="13">
        <v>-58.13</v>
      </c>
      <c r="J1696">
        <v>43.57</v>
      </c>
      <c r="K1696">
        <v>16.36</v>
      </c>
      <c r="L1696" t="s">
        <v>277</v>
      </c>
      <c r="M1696" t="s">
        <v>341</v>
      </c>
      <c r="N1696" s="5" t="s">
        <v>102</v>
      </c>
      <c r="O1696" t="s">
        <v>28</v>
      </c>
      <c r="P1696" t="s">
        <v>21</v>
      </c>
      <c r="Q1696" t="s">
        <v>22</v>
      </c>
      <c r="R1696">
        <v>0.55000000000000004</v>
      </c>
      <c r="S1696" s="1">
        <v>40147</v>
      </c>
      <c r="T1696" t="str">
        <f t="shared" si="53"/>
        <v>30-Nov-2009</v>
      </c>
    </row>
    <row r="1697" spans="1:20" x14ac:dyDescent="0.3">
      <c r="A1697">
        <v>22147</v>
      </c>
      <c r="B1697" s="1">
        <v>39829</v>
      </c>
      <c r="C1697" t="s">
        <v>18</v>
      </c>
      <c r="D1697" t="str">
        <f t="shared" si="52"/>
        <v>16-Jan-2009</v>
      </c>
      <c r="E1697">
        <v>37</v>
      </c>
      <c r="F1697" s="13">
        <v>832.14</v>
      </c>
      <c r="G1697">
        <v>0.04</v>
      </c>
      <c r="H1697" t="s">
        <v>19</v>
      </c>
      <c r="I1697" s="13">
        <v>175.07</v>
      </c>
      <c r="J1697">
        <v>22.72</v>
      </c>
      <c r="K1697">
        <v>8.99</v>
      </c>
      <c r="L1697" t="s">
        <v>366</v>
      </c>
      <c r="M1697" t="s">
        <v>341</v>
      </c>
      <c r="N1697" s="5" t="s">
        <v>102</v>
      </c>
      <c r="O1697" t="s">
        <v>28</v>
      </c>
      <c r="P1697" t="s">
        <v>32</v>
      </c>
      <c r="Q1697" t="s">
        <v>33</v>
      </c>
      <c r="R1697">
        <v>0.44</v>
      </c>
      <c r="S1697" s="1">
        <v>39833</v>
      </c>
      <c r="T1697" t="str">
        <f t="shared" si="53"/>
        <v>20-Jan-2009</v>
      </c>
    </row>
    <row r="1698" spans="1:20" x14ac:dyDescent="0.3">
      <c r="A1698">
        <v>42374</v>
      </c>
      <c r="B1698" s="1">
        <v>41107</v>
      </c>
      <c r="C1698" t="s">
        <v>43</v>
      </c>
      <c r="D1698" t="str">
        <f t="shared" si="52"/>
        <v>17-Jul-2012</v>
      </c>
      <c r="E1698">
        <v>47</v>
      </c>
      <c r="F1698" s="13">
        <v>807.6</v>
      </c>
      <c r="G1698">
        <v>0</v>
      </c>
      <c r="H1698" t="s">
        <v>19</v>
      </c>
      <c r="I1698" s="13">
        <v>214.3</v>
      </c>
      <c r="J1698">
        <v>16.739999999999998</v>
      </c>
      <c r="K1698">
        <v>5.08</v>
      </c>
      <c r="L1698" t="s">
        <v>359</v>
      </c>
      <c r="M1698" t="s">
        <v>341</v>
      </c>
      <c r="N1698" s="5" t="s">
        <v>102</v>
      </c>
      <c r="O1698" t="s">
        <v>28</v>
      </c>
      <c r="P1698" t="s">
        <v>21</v>
      </c>
      <c r="Q1698" t="s">
        <v>26</v>
      </c>
      <c r="R1698">
        <v>0.36</v>
      </c>
      <c r="S1698" s="1">
        <v>41108</v>
      </c>
      <c r="T1698" t="str">
        <f t="shared" si="53"/>
        <v>18-Jul-2012</v>
      </c>
    </row>
    <row r="1699" spans="1:20" x14ac:dyDescent="0.3">
      <c r="A1699">
        <v>7559</v>
      </c>
      <c r="B1699" s="1">
        <v>40463</v>
      </c>
      <c r="C1699" t="s">
        <v>43</v>
      </c>
      <c r="D1699" t="str">
        <f t="shared" si="52"/>
        <v>12-Oct-2010</v>
      </c>
      <c r="E1699">
        <v>39</v>
      </c>
      <c r="F1699" s="13">
        <v>806.05</v>
      </c>
      <c r="G1699">
        <v>0.04</v>
      </c>
      <c r="H1699" t="s">
        <v>19</v>
      </c>
      <c r="I1699" s="13">
        <v>-63.39</v>
      </c>
      <c r="J1699">
        <v>20.95</v>
      </c>
      <c r="K1699">
        <v>5.99</v>
      </c>
      <c r="L1699" t="s">
        <v>327</v>
      </c>
      <c r="M1699" t="s">
        <v>341</v>
      </c>
      <c r="N1699" s="5" t="s">
        <v>102</v>
      </c>
      <c r="O1699" t="s">
        <v>28</v>
      </c>
      <c r="P1699" t="s">
        <v>29</v>
      </c>
      <c r="Q1699" t="s">
        <v>41</v>
      </c>
      <c r="R1699">
        <v>0.65</v>
      </c>
      <c r="S1699" s="1">
        <v>40464</v>
      </c>
      <c r="T1699" t="str">
        <f t="shared" si="53"/>
        <v>13-Oct-2010</v>
      </c>
    </row>
    <row r="1700" spans="1:20" x14ac:dyDescent="0.3">
      <c r="A1700">
        <v>50501</v>
      </c>
      <c r="B1700" s="1">
        <v>39962</v>
      </c>
      <c r="C1700" t="s">
        <v>23</v>
      </c>
      <c r="D1700" t="str">
        <f t="shared" si="52"/>
        <v>29-May-2009</v>
      </c>
      <c r="E1700">
        <v>31</v>
      </c>
      <c r="F1700" s="13">
        <v>801.45</v>
      </c>
      <c r="G1700">
        <v>0.01</v>
      </c>
      <c r="H1700" t="s">
        <v>19</v>
      </c>
      <c r="I1700" s="13">
        <v>227.59</v>
      </c>
      <c r="J1700">
        <v>23.99</v>
      </c>
      <c r="K1700">
        <v>6.3</v>
      </c>
      <c r="L1700" t="s">
        <v>343</v>
      </c>
      <c r="M1700" t="s">
        <v>341</v>
      </c>
      <c r="N1700" s="5" t="s">
        <v>102</v>
      </c>
      <c r="O1700" t="s">
        <v>28</v>
      </c>
      <c r="P1700" t="s">
        <v>29</v>
      </c>
      <c r="Q1700" t="s">
        <v>74</v>
      </c>
      <c r="R1700">
        <v>0.38</v>
      </c>
      <c r="S1700" s="1">
        <v>39964</v>
      </c>
      <c r="T1700" t="str">
        <f t="shared" si="53"/>
        <v>31-May-2009</v>
      </c>
    </row>
    <row r="1701" spans="1:20" x14ac:dyDescent="0.3">
      <c r="A1701">
        <v>19206</v>
      </c>
      <c r="B1701" s="1">
        <v>40267</v>
      </c>
      <c r="C1701" t="s">
        <v>18</v>
      </c>
      <c r="D1701" t="str">
        <f t="shared" si="52"/>
        <v>30-Mar-2010</v>
      </c>
      <c r="E1701">
        <v>32</v>
      </c>
      <c r="F1701" s="13">
        <v>800</v>
      </c>
      <c r="G1701">
        <v>0.1</v>
      </c>
      <c r="H1701" t="s">
        <v>24</v>
      </c>
      <c r="I1701" s="13">
        <v>-210.3</v>
      </c>
      <c r="J1701">
        <v>25.98</v>
      </c>
      <c r="K1701">
        <v>14.36</v>
      </c>
      <c r="L1701" t="s">
        <v>348</v>
      </c>
      <c r="M1701" t="s">
        <v>341</v>
      </c>
      <c r="N1701" s="5" t="s">
        <v>102</v>
      </c>
      <c r="O1701" t="s">
        <v>28</v>
      </c>
      <c r="P1701" t="s">
        <v>32</v>
      </c>
      <c r="Q1701" t="s">
        <v>56</v>
      </c>
      <c r="R1701">
        <v>0.6</v>
      </c>
      <c r="S1701" s="1">
        <v>40269</v>
      </c>
      <c r="T1701" t="str">
        <f t="shared" si="53"/>
        <v>01-Apr-2010</v>
      </c>
    </row>
    <row r="1702" spans="1:20" x14ac:dyDescent="0.3">
      <c r="A1702">
        <v>10210</v>
      </c>
      <c r="B1702" s="1">
        <v>40717</v>
      </c>
      <c r="C1702" t="s">
        <v>31</v>
      </c>
      <c r="D1702" t="str">
        <f t="shared" si="52"/>
        <v>23-Jun-2011</v>
      </c>
      <c r="E1702">
        <v>10</v>
      </c>
      <c r="F1702" s="13">
        <v>767.34</v>
      </c>
      <c r="G1702">
        <v>0.04</v>
      </c>
      <c r="H1702" t="s">
        <v>19</v>
      </c>
      <c r="I1702" s="13">
        <v>-154.65</v>
      </c>
      <c r="J1702">
        <v>73.98</v>
      </c>
      <c r="K1702">
        <v>14.52</v>
      </c>
      <c r="L1702" t="s">
        <v>358</v>
      </c>
      <c r="M1702" t="s">
        <v>341</v>
      </c>
      <c r="N1702" s="5" t="s">
        <v>102</v>
      </c>
      <c r="O1702" t="s">
        <v>28</v>
      </c>
      <c r="P1702" t="s">
        <v>29</v>
      </c>
      <c r="Q1702" t="s">
        <v>41</v>
      </c>
      <c r="R1702">
        <v>0.65</v>
      </c>
      <c r="S1702" s="1">
        <v>40718</v>
      </c>
      <c r="T1702" t="str">
        <f t="shared" si="53"/>
        <v>24-Jun-2011</v>
      </c>
    </row>
    <row r="1703" spans="1:20" x14ac:dyDescent="0.3">
      <c r="A1703">
        <v>31876</v>
      </c>
      <c r="B1703" s="1">
        <v>40670</v>
      </c>
      <c r="C1703" t="s">
        <v>23</v>
      </c>
      <c r="D1703" t="str">
        <f t="shared" si="52"/>
        <v>07-May-2011</v>
      </c>
      <c r="E1703">
        <v>8</v>
      </c>
      <c r="F1703" s="13">
        <v>741.49</v>
      </c>
      <c r="G1703">
        <v>0.08</v>
      </c>
      <c r="H1703" t="s">
        <v>19</v>
      </c>
      <c r="I1703" s="13">
        <v>-360.18</v>
      </c>
      <c r="J1703">
        <v>95.99</v>
      </c>
      <c r="K1703">
        <v>35</v>
      </c>
      <c r="L1703" t="s">
        <v>103</v>
      </c>
      <c r="M1703" t="s">
        <v>341</v>
      </c>
      <c r="N1703" s="5" t="s">
        <v>102</v>
      </c>
      <c r="O1703" t="s">
        <v>28</v>
      </c>
      <c r="P1703" t="s">
        <v>21</v>
      </c>
      <c r="Q1703" t="s">
        <v>22</v>
      </c>
      <c r="S1703" s="1">
        <v>40671</v>
      </c>
      <c r="T1703" t="str">
        <f t="shared" si="53"/>
        <v>08-May-2011</v>
      </c>
    </row>
    <row r="1704" spans="1:20" x14ac:dyDescent="0.3">
      <c r="A1704">
        <v>31780</v>
      </c>
      <c r="B1704" s="1">
        <v>40207</v>
      </c>
      <c r="C1704" t="s">
        <v>38</v>
      </c>
      <c r="D1704" t="str">
        <f t="shared" si="52"/>
        <v>29-Jan-2010</v>
      </c>
      <c r="E1704">
        <v>17</v>
      </c>
      <c r="F1704" s="13">
        <v>734.25</v>
      </c>
      <c r="G1704">
        <v>0.08</v>
      </c>
      <c r="H1704" t="s">
        <v>35</v>
      </c>
      <c r="I1704" s="13">
        <v>160.58000000000001</v>
      </c>
      <c r="J1704">
        <v>42.98</v>
      </c>
      <c r="K1704">
        <v>4.62</v>
      </c>
      <c r="L1704" t="s">
        <v>347</v>
      </c>
      <c r="M1704" t="s">
        <v>341</v>
      </c>
      <c r="N1704" s="5" t="s">
        <v>102</v>
      </c>
      <c r="O1704" t="s">
        <v>28</v>
      </c>
      <c r="P1704" t="s">
        <v>21</v>
      </c>
      <c r="Q1704" t="s">
        <v>25</v>
      </c>
      <c r="R1704">
        <v>0.56000000000000005</v>
      </c>
      <c r="S1704" s="1">
        <v>40209</v>
      </c>
      <c r="T1704" t="str">
        <f t="shared" si="53"/>
        <v>31-Jan-2010</v>
      </c>
    </row>
    <row r="1705" spans="1:20" x14ac:dyDescent="0.3">
      <c r="A1705">
        <v>28929</v>
      </c>
      <c r="B1705" s="1">
        <v>41191</v>
      </c>
      <c r="C1705" t="s">
        <v>38</v>
      </c>
      <c r="D1705" t="str">
        <f t="shared" si="52"/>
        <v>09-Oct-2012</v>
      </c>
      <c r="E1705">
        <v>46</v>
      </c>
      <c r="F1705" s="13">
        <v>723.17</v>
      </c>
      <c r="G1705">
        <v>0.09</v>
      </c>
      <c r="H1705" t="s">
        <v>19</v>
      </c>
      <c r="I1705" s="13">
        <v>-154.11000000000001</v>
      </c>
      <c r="J1705">
        <v>16.98</v>
      </c>
      <c r="K1705">
        <v>12.39</v>
      </c>
      <c r="L1705" t="s">
        <v>363</v>
      </c>
      <c r="M1705" t="s">
        <v>341</v>
      </c>
      <c r="N1705" s="5" t="s">
        <v>102</v>
      </c>
      <c r="O1705" t="s">
        <v>28</v>
      </c>
      <c r="P1705" t="s">
        <v>21</v>
      </c>
      <c r="Q1705" t="s">
        <v>42</v>
      </c>
      <c r="R1705">
        <v>0.35</v>
      </c>
      <c r="S1705" s="1">
        <v>41193</v>
      </c>
      <c r="T1705" t="str">
        <f t="shared" si="53"/>
        <v>11-Oct-2012</v>
      </c>
    </row>
    <row r="1706" spans="1:20" x14ac:dyDescent="0.3">
      <c r="A1706">
        <v>30374</v>
      </c>
      <c r="B1706" s="1">
        <v>40258</v>
      </c>
      <c r="C1706" t="s">
        <v>43</v>
      </c>
      <c r="D1706" t="str">
        <f t="shared" si="52"/>
        <v>21-Mar-2010</v>
      </c>
      <c r="E1706">
        <v>12</v>
      </c>
      <c r="F1706" s="13">
        <v>709.54</v>
      </c>
      <c r="G1706">
        <v>7.0000000000000007E-2</v>
      </c>
      <c r="H1706" t="s">
        <v>19</v>
      </c>
      <c r="I1706" s="13">
        <v>131.44</v>
      </c>
      <c r="J1706">
        <v>59.98</v>
      </c>
      <c r="K1706">
        <v>3.99</v>
      </c>
      <c r="L1706" t="s">
        <v>348</v>
      </c>
      <c r="M1706" t="s">
        <v>341</v>
      </c>
      <c r="N1706" s="5" t="s">
        <v>102</v>
      </c>
      <c r="O1706" t="s">
        <v>28</v>
      </c>
      <c r="P1706" t="s">
        <v>21</v>
      </c>
      <c r="Q1706" t="s">
        <v>25</v>
      </c>
      <c r="R1706">
        <v>0.56999999999999995</v>
      </c>
      <c r="S1706" s="1">
        <v>40259</v>
      </c>
      <c r="T1706" t="str">
        <f t="shared" si="53"/>
        <v>22-Mar-2010</v>
      </c>
    </row>
    <row r="1707" spans="1:20" x14ac:dyDescent="0.3">
      <c r="A1707">
        <v>42374</v>
      </c>
      <c r="B1707" s="1">
        <v>41107</v>
      </c>
      <c r="C1707" t="s">
        <v>43</v>
      </c>
      <c r="D1707" t="str">
        <f t="shared" si="52"/>
        <v>17-Jul-2012</v>
      </c>
      <c r="E1707">
        <v>11</v>
      </c>
      <c r="F1707" s="13">
        <v>694.17</v>
      </c>
      <c r="G1707">
        <v>0</v>
      </c>
      <c r="H1707" t="s">
        <v>19</v>
      </c>
      <c r="I1707" s="13">
        <v>174.22</v>
      </c>
      <c r="J1707">
        <v>59.78</v>
      </c>
      <c r="K1707">
        <v>10.29</v>
      </c>
      <c r="L1707" t="s">
        <v>359</v>
      </c>
      <c r="M1707" t="s">
        <v>341</v>
      </c>
      <c r="N1707" s="5" t="s">
        <v>102</v>
      </c>
      <c r="O1707" t="s">
        <v>28</v>
      </c>
      <c r="P1707" t="s">
        <v>21</v>
      </c>
      <c r="Q1707" t="s">
        <v>26</v>
      </c>
      <c r="R1707">
        <v>0.39</v>
      </c>
      <c r="S1707" s="1">
        <v>41109</v>
      </c>
      <c r="T1707" t="str">
        <f t="shared" si="53"/>
        <v>19-Jul-2012</v>
      </c>
    </row>
    <row r="1708" spans="1:20" x14ac:dyDescent="0.3">
      <c r="A1708">
        <v>10951</v>
      </c>
      <c r="B1708" s="1">
        <v>41219</v>
      </c>
      <c r="C1708" t="s">
        <v>31</v>
      </c>
      <c r="D1708" t="str">
        <f t="shared" si="52"/>
        <v>06-Nov-2012</v>
      </c>
      <c r="E1708">
        <v>14</v>
      </c>
      <c r="F1708" s="13">
        <v>677.43</v>
      </c>
      <c r="G1708">
        <v>0.1</v>
      </c>
      <c r="H1708" t="s">
        <v>19</v>
      </c>
      <c r="I1708" s="13">
        <v>75.48</v>
      </c>
      <c r="J1708">
        <v>50.98</v>
      </c>
      <c r="K1708">
        <v>22.24</v>
      </c>
      <c r="L1708" t="s">
        <v>131</v>
      </c>
      <c r="M1708" t="s">
        <v>341</v>
      </c>
      <c r="N1708" s="5" t="s">
        <v>102</v>
      </c>
      <c r="O1708" t="s">
        <v>28</v>
      </c>
      <c r="P1708" t="s">
        <v>32</v>
      </c>
      <c r="Q1708" t="s">
        <v>33</v>
      </c>
      <c r="R1708">
        <v>0.55000000000000004</v>
      </c>
      <c r="S1708" s="1">
        <v>41219</v>
      </c>
      <c r="T1708" t="str">
        <f t="shared" si="53"/>
        <v>06-Nov-2012</v>
      </c>
    </row>
    <row r="1709" spans="1:20" x14ac:dyDescent="0.3">
      <c r="A1709">
        <v>22407</v>
      </c>
      <c r="B1709" s="1">
        <v>40134</v>
      </c>
      <c r="C1709" t="s">
        <v>31</v>
      </c>
      <c r="D1709" t="str">
        <f t="shared" si="52"/>
        <v>17-Nov-2009</v>
      </c>
      <c r="E1709">
        <v>20</v>
      </c>
      <c r="F1709" s="13">
        <v>676.44</v>
      </c>
      <c r="G1709">
        <v>7.0000000000000007E-2</v>
      </c>
      <c r="H1709" t="s">
        <v>19</v>
      </c>
      <c r="I1709" s="13">
        <v>48.76</v>
      </c>
      <c r="J1709">
        <v>34.54</v>
      </c>
      <c r="K1709">
        <v>14.72</v>
      </c>
      <c r="L1709" t="s">
        <v>349</v>
      </c>
      <c r="M1709" t="s">
        <v>341</v>
      </c>
      <c r="N1709" s="5" t="s">
        <v>102</v>
      </c>
      <c r="O1709" t="s">
        <v>28</v>
      </c>
      <c r="P1709" t="s">
        <v>21</v>
      </c>
      <c r="Q1709" t="s">
        <v>26</v>
      </c>
      <c r="R1709">
        <v>0.37</v>
      </c>
      <c r="S1709" s="1">
        <v>40135</v>
      </c>
      <c r="T1709" t="str">
        <f t="shared" si="53"/>
        <v>18-Nov-2009</v>
      </c>
    </row>
    <row r="1710" spans="1:20" x14ac:dyDescent="0.3">
      <c r="A1710">
        <v>1217</v>
      </c>
      <c r="B1710" s="1">
        <v>41024</v>
      </c>
      <c r="C1710" t="s">
        <v>31</v>
      </c>
      <c r="D1710" t="str">
        <f t="shared" si="52"/>
        <v>25-Apr-2012</v>
      </c>
      <c r="E1710">
        <v>25</v>
      </c>
      <c r="F1710" s="13">
        <v>662.16</v>
      </c>
      <c r="G1710">
        <v>7.0000000000000007E-2</v>
      </c>
      <c r="H1710" t="s">
        <v>19</v>
      </c>
      <c r="I1710" s="13">
        <v>185.21</v>
      </c>
      <c r="J1710">
        <v>28.48</v>
      </c>
      <c r="K1710">
        <v>1.99</v>
      </c>
      <c r="L1710" t="s">
        <v>349</v>
      </c>
      <c r="M1710" t="s">
        <v>341</v>
      </c>
      <c r="N1710" s="5" t="s">
        <v>102</v>
      </c>
      <c r="O1710" t="s">
        <v>28</v>
      </c>
      <c r="P1710" t="s">
        <v>29</v>
      </c>
      <c r="Q1710" t="s">
        <v>41</v>
      </c>
      <c r="R1710">
        <v>0.4</v>
      </c>
      <c r="S1710" s="1">
        <v>41025</v>
      </c>
      <c r="T1710" t="str">
        <f t="shared" si="53"/>
        <v>26-Apr-2012</v>
      </c>
    </row>
    <row r="1711" spans="1:20" x14ac:dyDescent="0.3">
      <c r="A1711">
        <v>35910</v>
      </c>
      <c r="B1711" s="1">
        <v>40506</v>
      </c>
      <c r="C1711" t="s">
        <v>23</v>
      </c>
      <c r="D1711" t="str">
        <f t="shared" si="52"/>
        <v>24-Nov-2010</v>
      </c>
      <c r="E1711">
        <v>36</v>
      </c>
      <c r="F1711" s="13">
        <v>660.05899999999997</v>
      </c>
      <c r="G1711">
        <v>0.05</v>
      </c>
      <c r="H1711" t="s">
        <v>19</v>
      </c>
      <c r="I1711" s="13">
        <v>-0.65</v>
      </c>
      <c r="J1711">
        <v>20.99</v>
      </c>
      <c r="K1711">
        <v>1.25</v>
      </c>
      <c r="L1711" t="s">
        <v>308</v>
      </c>
      <c r="M1711" t="s">
        <v>341</v>
      </c>
      <c r="N1711" s="5" t="s">
        <v>102</v>
      </c>
      <c r="O1711" t="s">
        <v>28</v>
      </c>
      <c r="P1711" t="s">
        <v>29</v>
      </c>
      <c r="Q1711" t="s">
        <v>30</v>
      </c>
      <c r="R1711">
        <v>0.83</v>
      </c>
      <c r="S1711" s="1">
        <v>40508</v>
      </c>
      <c r="T1711" t="str">
        <f t="shared" si="53"/>
        <v>26-Nov-2010</v>
      </c>
    </row>
    <row r="1712" spans="1:20" x14ac:dyDescent="0.3">
      <c r="A1712">
        <v>28867</v>
      </c>
      <c r="B1712" s="1">
        <v>40746</v>
      </c>
      <c r="C1712" t="s">
        <v>38</v>
      </c>
      <c r="D1712" t="str">
        <f t="shared" si="52"/>
        <v>22-Jul-2011</v>
      </c>
      <c r="E1712">
        <v>6</v>
      </c>
      <c r="F1712" s="13">
        <v>642.41999999999996</v>
      </c>
      <c r="G1712">
        <v>0.03</v>
      </c>
      <c r="H1712" t="s">
        <v>19</v>
      </c>
      <c r="I1712" s="13">
        <v>80.010000000000005</v>
      </c>
      <c r="J1712">
        <v>104.85</v>
      </c>
      <c r="K1712">
        <v>19.989999999999998</v>
      </c>
      <c r="L1712" t="s">
        <v>357</v>
      </c>
      <c r="M1712" t="s">
        <v>341</v>
      </c>
      <c r="N1712" s="5" t="s">
        <v>102</v>
      </c>
      <c r="O1712" t="s">
        <v>28</v>
      </c>
      <c r="P1712" t="s">
        <v>21</v>
      </c>
      <c r="Q1712" t="s">
        <v>37</v>
      </c>
      <c r="R1712">
        <v>0.37</v>
      </c>
      <c r="S1712" s="1">
        <v>40747</v>
      </c>
      <c r="T1712" t="str">
        <f t="shared" si="53"/>
        <v>23-Jul-2011</v>
      </c>
    </row>
    <row r="1713" spans="1:20" x14ac:dyDescent="0.3">
      <c r="A1713">
        <v>36708</v>
      </c>
      <c r="B1713" s="1">
        <v>40805</v>
      </c>
      <c r="C1713" t="s">
        <v>31</v>
      </c>
      <c r="D1713" t="str">
        <f t="shared" si="52"/>
        <v>19-Sep-2011</v>
      </c>
      <c r="E1713">
        <v>46</v>
      </c>
      <c r="F1713" s="13">
        <v>636.5</v>
      </c>
      <c r="G1713">
        <v>0.01</v>
      </c>
      <c r="H1713" t="s">
        <v>19</v>
      </c>
      <c r="I1713" s="13">
        <v>-71.98</v>
      </c>
      <c r="J1713">
        <v>12.99</v>
      </c>
      <c r="K1713">
        <v>9.44</v>
      </c>
      <c r="L1713" t="s">
        <v>345</v>
      </c>
      <c r="M1713" t="s">
        <v>341</v>
      </c>
      <c r="N1713" s="5" t="s">
        <v>102</v>
      </c>
      <c r="O1713" t="s">
        <v>28</v>
      </c>
      <c r="P1713" t="s">
        <v>29</v>
      </c>
      <c r="Q1713" t="s">
        <v>74</v>
      </c>
      <c r="R1713">
        <v>0.39</v>
      </c>
      <c r="S1713" s="1">
        <v>40807</v>
      </c>
      <c r="T1713" t="str">
        <f t="shared" si="53"/>
        <v>21-Sep-2011</v>
      </c>
    </row>
    <row r="1714" spans="1:20" x14ac:dyDescent="0.3">
      <c r="A1714">
        <v>55686</v>
      </c>
      <c r="B1714" s="1">
        <v>40627</v>
      </c>
      <c r="C1714" t="s">
        <v>43</v>
      </c>
      <c r="D1714" t="str">
        <f t="shared" si="52"/>
        <v>25-Mar-2011</v>
      </c>
      <c r="E1714">
        <v>22</v>
      </c>
      <c r="F1714" s="13">
        <v>628.39</v>
      </c>
      <c r="G1714">
        <v>0.1</v>
      </c>
      <c r="H1714" t="s">
        <v>35</v>
      </c>
      <c r="I1714" s="13">
        <v>181.83</v>
      </c>
      <c r="J1714">
        <v>30.98</v>
      </c>
      <c r="K1714">
        <v>5.09</v>
      </c>
      <c r="L1714" t="s">
        <v>351</v>
      </c>
      <c r="M1714" t="s">
        <v>341</v>
      </c>
      <c r="N1714" s="5" t="s">
        <v>102</v>
      </c>
      <c r="O1714" t="s">
        <v>28</v>
      </c>
      <c r="P1714" t="s">
        <v>21</v>
      </c>
      <c r="Q1714" t="s">
        <v>37</v>
      </c>
      <c r="R1714">
        <v>0.4</v>
      </c>
      <c r="S1714" s="1">
        <v>40629</v>
      </c>
      <c r="T1714" t="str">
        <f t="shared" si="53"/>
        <v>27-Mar-2011</v>
      </c>
    </row>
    <row r="1715" spans="1:20" x14ac:dyDescent="0.3">
      <c r="A1715">
        <v>58308</v>
      </c>
      <c r="B1715" s="1">
        <v>40319</v>
      </c>
      <c r="C1715" t="s">
        <v>31</v>
      </c>
      <c r="D1715" t="str">
        <f t="shared" si="52"/>
        <v>21-May-2010</v>
      </c>
      <c r="E1715">
        <v>20</v>
      </c>
      <c r="F1715" s="13">
        <v>623.29</v>
      </c>
      <c r="G1715">
        <v>0</v>
      </c>
      <c r="H1715" t="s">
        <v>19</v>
      </c>
      <c r="I1715" s="13">
        <v>57.44</v>
      </c>
      <c r="J1715">
        <v>29.99</v>
      </c>
      <c r="K1715">
        <v>5.5</v>
      </c>
      <c r="L1715" t="s">
        <v>345</v>
      </c>
      <c r="M1715" t="s">
        <v>341</v>
      </c>
      <c r="N1715" s="5" t="s">
        <v>102</v>
      </c>
      <c r="O1715" t="s">
        <v>28</v>
      </c>
      <c r="P1715" t="s">
        <v>29</v>
      </c>
      <c r="Q1715" t="s">
        <v>41</v>
      </c>
      <c r="R1715">
        <v>0.51</v>
      </c>
      <c r="S1715" s="1">
        <v>40320</v>
      </c>
      <c r="T1715" t="str">
        <f t="shared" si="53"/>
        <v>22-May-2010</v>
      </c>
    </row>
    <row r="1716" spans="1:20" x14ac:dyDescent="0.3">
      <c r="A1716">
        <v>51266</v>
      </c>
      <c r="B1716" s="1">
        <v>39897</v>
      </c>
      <c r="C1716" t="s">
        <v>31</v>
      </c>
      <c r="D1716" t="str">
        <f t="shared" si="52"/>
        <v>25-Mar-2009</v>
      </c>
      <c r="E1716">
        <v>30</v>
      </c>
      <c r="F1716" s="13">
        <v>617.51</v>
      </c>
      <c r="G1716">
        <v>0.01</v>
      </c>
      <c r="H1716" t="s">
        <v>19</v>
      </c>
      <c r="I1716" s="13">
        <v>98.1</v>
      </c>
      <c r="J1716">
        <v>18.97</v>
      </c>
      <c r="K1716">
        <v>9.0299999999999994</v>
      </c>
      <c r="L1716" t="s">
        <v>362</v>
      </c>
      <c r="M1716" t="s">
        <v>341</v>
      </c>
      <c r="N1716" s="5" t="s">
        <v>102</v>
      </c>
      <c r="O1716" t="s">
        <v>28</v>
      </c>
      <c r="P1716" t="s">
        <v>21</v>
      </c>
      <c r="Q1716" t="s">
        <v>37</v>
      </c>
      <c r="R1716">
        <v>0.37</v>
      </c>
      <c r="S1716" s="1">
        <v>39897</v>
      </c>
      <c r="T1716" t="str">
        <f t="shared" si="53"/>
        <v>25-Mar-2009</v>
      </c>
    </row>
    <row r="1717" spans="1:20" x14ac:dyDescent="0.3">
      <c r="A1717">
        <v>55234</v>
      </c>
      <c r="B1717" s="1">
        <v>40387</v>
      </c>
      <c r="C1717" t="s">
        <v>18</v>
      </c>
      <c r="D1717" t="str">
        <f t="shared" si="52"/>
        <v>28-Jul-2010</v>
      </c>
      <c r="E1717">
        <v>12</v>
      </c>
      <c r="F1717" s="13">
        <v>600.86</v>
      </c>
      <c r="G1717">
        <v>0.09</v>
      </c>
      <c r="H1717" t="s">
        <v>19</v>
      </c>
      <c r="I1717" s="13">
        <v>-82.67</v>
      </c>
      <c r="J1717">
        <v>53.98</v>
      </c>
      <c r="K1717">
        <v>5.5</v>
      </c>
      <c r="L1717" t="s">
        <v>364</v>
      </c>
      <c r="M1717" t="s">
        <v>341</v>
      </c>
      <c r="N1717" s="5" t="s">
        <v>102</v>
      </c>
      <c r="O1717" t="s">
        <v>28</v>
      </c>
      <c r="P1717" t="s">
        <v>29</v>
      </c>
      <c r="Q1717" t="s">
        <v>41</v>
      </c>
      <c r="R1717">
        <v>0.62</v>
      </c>
      <c r="S1717" s="1">
        <v>40391</v>
      </c>
      <c r="T1717" t="str">
        <f t="shared" si="53"/>
        <v>01-Aug-2010</v>
      </c>
    </row>
    <row r="1718" spans="1:20" x14ac:dyDescent="0.3">
      <c r="A1718">
        <v>33473</v>
      </c>
      <c r="B1718" s="1">
        <v>40547</v>
      </c>
      <c r="C1718" t="s">
        <v>18</v>
      </c>
      <c r="D1718" t="str">
        <f t="shared" si="52"/>
        <v>04-Jan-2011</v>
      </c>
      <c r="E1718">
        <v>50</v>
      </c>
      <c r="F1718" s="13">
        <v>600.22</v>
      </c>
      <c r="G1718">
        <v>0.08</v>
      </c>
      <c r="H1718" t="s">
        <v>19</v>
      </c>
      <c r="I1718" s="13">
        <v>27.86</v>
      </c>
      <c r="J1718">
        <v>12.98</v>
      </c>
      <c r="K1718">
        <v>3.14</v>
      </c>
      <c r="L1718" t="s">
        <v>348</v>
      </c>
      <c r="M1718" t="s">
        <v>341</v>
      </c>
      <c r="N1718" s="5" t="s">
        <v>102</v>
      </c>
      <c r="O1718" t="s">
        <v>28</v>
      </c>
      <c r="P1718" t="s">
        <v>21</v>
      </c>
      <c r="Q1718" t="s">
        <v>67</v>
      </c>
      <c r="R1718">
        <v>0.6</v>
      </c>
      <c r="S1718" s="1">
        <v>40547</v>
      </c>
      <c r="T1718" t="str">
        <f t="shared" si="53"/>
        <v>04-Jan-2011</v>
      </c>
    </row>
    <row r="1719" spans="1:20" x14ac:dyDescent="0.3">
      <c r="A1719">
        <v>13767</v>
      </c>
      <c r="B1719" s="1">
        <v>40416</v>
      </c>
      <c r="C1719" t="s">
        <v>23</v>
      </c>
      <c r="D1719" t="str">
        <f t="shared" si="52"/>
        <v>26-Aug-2010</v>
      </c>
      <c r="E1719">
        <v>29</v>
      </c>
      <c r="F1719" s="13">
        <v>597.66</v>
      </c>
      <c r="G1719">
        <v>0.08</v>
      </c>
      <c r="H1719" t="s">
        <v>19</v>
      </c>
      <c r="I1719" s="13">
        <v>-178</v>
      </c>
      <c r="J1719">
        <v>21.66</v>
      </c>
      <c r="K1719">
        <v>13.99</v>
      </c>
      <c r="L1719" t="s">
        <v>316</v>
      </c>
      <c r="M1719" t="s">
        <v>341</v>
      </c>
      <c r="N1719" s="5" t="s">
        <v>102</v>
      </c>
      <c r="O1719" t="s">
        <v>28</v>
      </c>
      <c r="P1719" t="s">
        <v>21</v>
      </c>
      <c r="Q1719" t="s">
        <v>25</v>
      </c>
      <c r="R1719">
        <v>0.52</v>
      </c>
      <c r="S1719" s="1">
        <v>40418</v>
      </c>
      <c r="T1719" t="str">
        <f t="shared" si="53"/>
        <v>28-Aug-2010</v>
      </c>
    </row>
    <row r="1720" spans="1:20" x14ac:dyDescent="0.3">
      <c r="A1720">
        <v>26146</v>
      </c>
      <c r="B1720" s="1">
        <v>40097</v>
      </c>
      <c r="C1720" t="s">
        <v>18</v>
      </c>
      <c r="D1720" t="str">
        <f t="shared" si="52"/>
        <v>11-Oct-2009</v>
      </c>
      <c r="E1720">
        <v>49</v>
      </c>
      <c r="F1720" s="13">
        <v>595.4</v>
      </c>
      <c r="G1720">
        <v>0.03</v>
      </c>
      <c r="H1720" t="s">
        <v>19</v>
      </c>
      <c r="I1720" s="13">
        <v>-148.85</v>
      </c>
      <c r="J1720">
        <v>11.66</v>
      </c>
      <c r="K1720">
        <v>7.95</v>
      </c>
      <c r="L1720" t="s">
        <v>343</v>
      </c>
      <c r="M1720" t="s">
        <v>341</v>
      </c>
      <c r="N1720" s="5" t="s">
        <v>102</v>
      </c>
      <c r="O1720" t="s">
        <v>28</v>
      </c>
      <c r="P1720" t="s">
        <v>21</v>
      </c>
      <c r="Q1720" t="s">
        <v>50</v>
      </c>
      <c r="R1720">
        <v>0.57999999999999996</v>
      </c>
      <c r="S1720" s="1">
        <v>40106</v>
      </c>
      <c r="T1720" t="str">
        <f t="shared" si="53"/>
        <v>20-Oct-2009</v>
      </c>
    </row>
    <row r="1721" spans="1:20" x14ac:dyDescent="0.3">
      <c r="A1721">
        <v>28742</v>
      </c>
      <c r="B1721" s="1">
        <v>41028</v>
      </c>
      <c r="C1721" t="s">
        <v>18</v>
      </c>
      <c r="D1721" t="str">
        <f t="shared" si="52"/>
        <v>29-Apr-2012</v>
      </c>
      <c r="E1721">
        <v>35</v>
      </c>
      <c r="F1721" s="13">
        <v>587.91999999999996</v>
      </c>
      <c r="G1721">
        <v>0.09</v>
      </c>
      <c r="H1721" t="s">
        <v>19</v>
      </c>
      <c r="I1721" s="13">
        <v>-7.92</v>
      </c>
      <c r="J1721">
        <v>16.91</v>
      </c>
      <c r="K1721">
        <v>6.25</v>
      </c>
      <c r="L1721" t="s">
        <v>346</v>
      </c>
      <c r="M1721" t="s">
        <v>341</v>
      </c>
      <c r="N1721" s="5" t="s">
        <v>102</v>
      </c>
      <c r="O1721" t="s">
        <v>28</v>
      </c>
      <c r="P1721" t="s">
        <v>21</v>
      </c>
      <c r="Q1721" t="s">
        <v>22</v>
      </c>
      <c r="R1721">
        <v>0.57999999999999996</v>
      </c>
      <c r="S1721" s="1">
        <v>41028</v>
      </c>
      <c r="T1721" t="str">
        <f t="shared" si="53"/>
        <v>29-Apr-2012</v>
      </c>
    </row>
    <row r="1722" spans="1:20" x14ac:dyDescent="0.3">
      <c r="A1722">
        <v>43206</v>
      </c>
      <c r="B1722" s="1">
        <v>40048</v>
      </c>
      <c r="C1722" t="s">
        <v>38</v>
      </c>
      <c r="D1722" t="str">
        <f t="shared" si="52"/>
        <v>23-Aug-2009</v>
      </c>
      <c r="E1722">
        <v>16</v>
      </c>
      <c r="F1722" s="13">
        <v>587.88</v>
      </c>
      <c r="G1722">
        <v>0</v>
      </c>
      <c r="H1722" t="s">
        <v>35</v>
      </c>
      <c r="I1722" s="13">
        <v>135.37</v>
      </c>
      <c r="J1722">
        <v>35.409999999999997</v>
      </c>
      <c r="K1722">
        <v>1.99</v>
      </c>
      <c r="L1722" t="s">
        <v>343</v>
      </c>
      <c r="M1722" t="s">
        <v>341</v>
      </c>
      <c r="N1722" s="5" t="s">
        <v>102</v>
      </c>
      <c r="O1722" t="s">
        <v>28</v>
      </c>
      <c r="P1722" t="s">
        <v>29</v>
      </c>
      <c r="Q1722" t="s">
        <v>41</v>
      </c>
      <c r="R1722">
        <v>0.43</v>
      </c>
      <c r="S1722" s="1">
        <v>40049</v>
      </c>
      <c r="T1722" t="str">
        <f t="shared" si="53"/>
        <v>24-Aug-2009</v>
      </c>
    </row>
    <row r="1723" spans="1:20" x14ac:dyDescent="0.3">
      <c r="A1723">
        <v>45412</v>
      </c>
      <c r="B1723" s="1">
        <v>40290</v>
      </c>
      <c r="C1723" t="s">
        <v>38</v>
      </c>
      <c r="D1723" t="str">
        <f t="shared" si="52"/>
        <v>22-Apr-2010</v>
      </c>
      <c r="E1723">
        <v>20</v>
      </c>
      <c r="F1723" s="13">
        <v>586.61900000000003</v>
      </c>
      <c r="G1723">
        <v>0.06</v>
      </c>
      <c r="H1723" t="s">
        <v>19</v>
      </c>
      <c r="I1723" s="13">
        <v>83.07</v>
      </c>
      <c r="J1723">
        <v>35.99</v>
      </c>
      <c r="K1723">
        <v>1.1000000000000001</v>
      </c>
      <c r="L1723" t="s">
        <v>369</v>
      </c>
      <c r="M1723" t="s">
        <v>341</v>
      </c>
      <c r="N1723" s="5" t="s">
        <v>102</v>
      </c>
      <c r="O1723" t="s">
        <v>28</v>
      </c>
      <c r="P1723" t="s">
        <v>29</v>
      </c>
      <c r="Q1723" t="s">
        <v>30</v>
      </c>
      <c r="R1723">
        <v>0.55000000000000004</v>
      </c>
      <c r="S1723" s="1">
        <v>40291</v>
      </c>
      <c r="T1723" t="str">
        <f t="shared" si="53"/>
        <v>23-Apr-2010</v>
      </c>
    </row>
    <row r="1724" spans="1:20" x14ac:dyDescent="0.3">
      <c r="A1724">
        <v>53153</v>
      </c>
      <c r="B1724" s="1">
        <v>40079</v>
      </c>
      <c r="C1724" t="s">
        <v>43</v>
      </c>
      <c r="D1724" t="str">
        <f t="shared" si="52"/>
        <v>23-Sep-2009</v>
      </c>
      <c r="E1724">
        <v>29</v>
      </c>
      <c r="F1724" s="13">
        <v>575.36</v>
      </c>
      <c r="G1724">
        <v>0.1</v>
      </c>
      <c r="H1724" t="s">
        <v>19</v>
      </c>
      <c r="I1724" s="13">
        <v>84.05</v>
      </c>
      <c r="J1724">
        <v>20.27</v>
      </c>
      <c r="K1724">
        <v>3.99</v>
      </c>
      <c r="L1724" t="s">
        <v>180</v>
      </c>
      <c r="M1724" t="s">
        <v>341</v>
      </c>
      <c r="N1724" s="5" t="s">
        <v>102</v>
      </c>
      <c r="O1724" t="s">
        <v>28</v>
      </c>
      <c r="P1724" t="s">
        <v>21</v>
      </c>
      <c r="Q1724" t="s">
        <v>25</v>
      </c>
      <c r="R1724">
        <v>0.56999999999999995</v>
      </c>
      <c r="S1724" s="1">
        <v>40080</v>
      </c>
      <c r="T1724" t="str">
        <f t="shared" si="53"/>
        <v>24-Sep-2009</v>
      </c>
    </row>
    <row r="1725" spans="1:20" x14ac:dyDescent="0.3">
      <c r="A1725">
        <v>130</v>
      </c>
      <c r="B1725" s="1">
        <v>41036</v>
      </c>
      <c r="C1725" t="s">
        <v>23</v>
      </c>
      <c r="D1725" t="str">
        <f t="shared" si="52"/>
        <v>07-May-2012</v>
      </c>
      <c r="E1725">
        <v>29</v>
      </c>
      <c r="F1725" s="13">
        <v>575.11</v>
      </c>
      <c r="G1725">
        <v>0.02</v>
      </c>
      <c r="H1725" t="s">
        <v>19</v>
      </c>
      <c r="I1725" s="13">
        <v>71.75</v>
      </c>
      <c r="J1725">
        <v>18.97</v>
      </c>
      <c r="K1725">
        <v>9.0299999999999994</v>
      </c>
      <c r="L1725" t="s">
        <v>365</v>
      </c>
      <c r="M1725" t="s">
        <v>341</v>
      </c>
      <c r="N1725" s="5" t="s">
        <v>102</v>
      </c>
      <c r="O1725" t="s">
        <v>28</v>
      </c>
      <c r="P1725" t="s">
        <v>21</v>
      </c>
      <c r="Q1725" t="s">
        <v>37</v>
      </c>
      <c r="R1725">
        <v>0.37</v>
      </c>
      <c r="S1725" s="1">
        <v>41037</v>
      </c>
      <c r="T1725" t="str">
        <f t="shared" si="53"/>
        <v>08-May-2012</v>
      </c>
    </row>
    <row r="1726" spans="1:20" x14ac:dyDescent="0.3">
      <c r="A1726">
        <v>25443</v>
      </c>
      <c r="B1726" s="1">
        <v>41174</v>
      </c>
      <c r="C1726" t="s">
        <v>38</v>
      </c>
      <c r="D1726" t="str">
        <f t="shared" si="52"/>
        <v>22-Sep-2012</v>
      </c>
      <c r="E1726">
        <v>33</v>
      </c>
      <c r="F1726" s="13">
        <v>570.24</v>
      </c>
      <c r="G1726">
        <v>0.01</v>
      </c>
      <c r="H1726" t="s">
        <v>19</v>
      </c>
      <c r="I1726" s="13">
        <v>-57.83</v>
      </c>
      <c r="J1726">
        <v>15.99</v>
      </c>
      <c r="K1726">
        <v>11.28</v>
      </c>
      <c r="L1726" t="s">
        <v>173</v>
      </c>
      <c r="M1726" t="s">
        <v>341</v>
      </c>
      <c r="N1726" s="5" t="s">
        <v>102</v>
      </c>
      <c r="O1726" t="s">
        <v>28</v>
      </c>
      <c r="P1726" t="s">
        <v>29</v>
      </c>
      <c r="Q1726" t="s">
        <v>74</v>
      </c>
      <c r="R1726">
        <v>0.38</v>
      </c>
      <c r="S1726" s="1">
        <v>41174</v>
      </c>
      <c r="T1726" t="str">
        <f t="shared" si="53"/>
        <v>22-Sep-2012</v>
      </c>
    </row>
    <row r="1727" spans="1:20" x14ac:dyDescent="0.3">
      <c r="A1727">
        <v>2757</v>
      </c>
      <c r="B1727" s="1">
        <v>40743</v>
      </c>
      <c r="C1727" t="s">
        <v>23</v>
      </c>
      <c r="D1727" t="str">
        <f t="shared" si="52"/>
        <v>19-Jul-2011</v>
      </c>
      <c r="E1727">
        <v>42</v>
      </c>
      <c r="F1727" s="13">
        <v>569.32000000000005</v>
      </c>
      <c r="G1727">
        <v>0.05</v>
      </c>
      <c r="H1727" t="s">
        <v>35</v>
      </c>
      <c r="I1727" s="13">
        <v>84.38</v>
      </c>
      <c r="J1727">
        <v>12.98</v>
      </c>
      <c r="K1727">
        <v>3.14</v>
      </c>
      <c r="L1727" t="s">
        <v>163</v>
      </c>
      <c r="M1727" t="s">
        <v>341</v>
      </c>
      <c r="N1727" s="5" t="s">
        <v>102</v>
      </c>
      <c r="O1727" t="s">
        <v>28</v>
      </c>
      <c r="P1727" t="s">
        <v>21</v>
      </c>
      <c r="Q1727" t="s">
        <v>67</v>
      </c>
      <c r="R1727">
        <v>0.6</v>
      </c>
      <c r="S1727" s="1">
        <v>40744</v>
      </c>
      <c r="T1727" t="str">
        <f t="shared" si="53"/>
        <v>20-Jul-2011</v>
      </c>
    </row>
    <row r="1728" spans="1:20" x14ac:dyDescent="0.3">
      <c r="A1728">
        <v>9473</v>
      </c>
      <c r="B1728" s="1">
        <v>41193</v>
      </c>
      <c r="C1728" t="s">
        <v>31</v>
      </c>
      <c r="D1728" t="str">
        <f t="shared" si="52"/>
        <v>11-Oct-2012</v>
      </c>
      <c r="E1728">
        <v>34</v>
      </c>
      <c r="F1728" s="13">
        <v>563.82000000000005</v>
      </c>
      <c r="G1728">
        <v>0.03</v>
      </c>
      <c r="H1728" t="s">
        <v>19</v>
      </c>
      <c r="I1728" s="13">
        <v>188.22</v>
      </c>
      <c r="J1728">
        <v>16.510000000000002</v>
      </c>
      <c r="K1728">
        <v>2.99</v>
      </c>
      <c r="L1728" t="s">
        <v>356</v>
      </c>
      <c r="M1728" t="s">
        <v>341</v>
      </c>
      <c r="N1728" s="5" t="s">
        <v>102</v>
      </c>
      <c r="O1728" t="s">
        <v>28</v>
      </c>
      <c r="P1728" t="s">
        <v>21</v>
      </c>
      <c r="Q1728" t="s">
        <v>26</v>
      </c>
      <c r="R1728">
        <v>0.37</v>
      </c>
      <c r="S1728" s="1">
        <v>41194</v>
      </c>
      <c r="T1728" t="str">
        <f t="shared" si="53"/>
        <v>12-Oct-2012</v>
      </c>
    </row>
    <row r="1729" spans="1:20" x14ac:dyDescent="0.3">
      <c r="A1729">
        <v>12711</v>
      </c>
      <c r="B1729" s="1">
        <v>40958</v>
      </c>
      <c r="C1729" t="s">
        <v>43</v>
      </c>
      <c r="D1729" t="str">
        <f t="shared" si="52"/>
        <v>19-Feb-2012</v>
      </c>
      <c r="E1729">
        <v>45</v>
      </c>
      <c r="F1729" s="13">
        <v>558.04</v>
      </c>
      <c r="G1729">
        <v>0.05</v>
      </c>
      <c r="H1729" t="s">
        <v>19</v>
      </c>
      <c r="I1729" s="13">
        <v>40.32</v>
      </c>
      <c r="J1729">
        <v>12.98</v>
      </c>
      <c r="K1729">
        <v>3.14</v>
      </c>
      <c r="L1729" t="s">
        <v>349</v>
      </c>
      <c r="M1729" t="s">
        <v>341</v>
      </c>
      <c r="N1729" s="5" t="s">
        <v>102</v>
      </c>
      <c r="O1729" t="s">
        <v>28</v>
      </c>
      <c r="P1729" t="s">
        <v>21</v>
      </c>
      <c r="Q1729" t="s">
        <v>67</v>
      </c>
      <c r="R1729">
        <v>0.6</v>
      </c>
      <c r="S1729" s="1">
        <v>40959</v>
      </c>
      <c r="T1729" t="str">
        <f t="shared" si="53"/>
        <v>20-Feb-2012</v>
      </c>
    </row>
    <row r="1730" spans="1:20" x14ac:dyDescent="0.3">
      <c r="A1730">
        <v>41186</v>
      </c>
      <c r="B1730" s="1">
        <v>40504</v>
      </c>
      <c r="C1730" t="s">
        <v>23</v>
      </c>
      <c r="D1730" t="str">
        <f t="shared" ref="D1730:D1793" si="54">TEXT(B1730, "dd-mmm-yyyy" )</f>
        <v>22-Nov-2010</v>
      </c>
      <c r="E1730">
        <v>33</v>
      </c>
      <c r="F1730" s="13">
        <v>553.3415</v>
      </c>
      <c r="G1730">
        <v>0.08</v>
      </c>
      <c r="H1730" t="s">
        <v>19</v>
      </c>
      <c r="I1730" s="13">
        <v>-67.709999999999994</v>
      </c>
      <c r="J1730">
        <v>20.99</v>
      </c>
      <c r="K1730">
        <v>0.99</v>
      </c>
      <c r="L1730" t="s">
        <v>353</v>
      </c>
      <c r="M1730" t="s">
        <v>341</v>
      </c>
      <c r="N1730" s="5" t="s">
        <v>102</v>
      </c>
      <c r="O1730" t="s">
        <v>28</v>
      </c>
      <c r="P1730" t="s">
        <v>29</v>
      </c>
      <c r="Q1730" t="s">
        <v>30</v>
      </c>
      <c r="R1730">
        <v>0.83</v>
      </c>
      <c r="S1730" s="1">
        <v>40505</v>
      </c>
      <c r="T1730" t="str">
        <f t="shared" ref="T1730:T1793" si="55">TEXT(S1730, "dd-mmm-yyyy")</f>
        <v>23-Nov-2010</v>
      </c>
    </row>
    <row r="1731" spans="1:20" x14ac:dyDescent="0.3">
      <c r="A1731">
        <v>47232</v>
      </c>
      <c r="B1731" s="1">
        <v>40407</v>
      </c>
      <c r="C1731" t="s">
        <v>31</v>
      </c>
      <c r="D1731" t="str">
        <f t="shared" si="54"/>
        <v>17-Aug-2010</v>
      </c>
      <c r="E1731">
        <v>39</v>
      </c>
      <c r="F1731" s="13">
        <v>546.4</v>
      </c>
      <c r="G1731">
        <v>0.1</v>
      </c>
      <c r="H1731" t="s">
        <v>35</v>
      </c>
      <c r="I1731" s="13">
        <v>-138.82</v>
      </c>
      <c r="J1731">
        <v>15.14</v>
      </c>
      <c r="K1731">
        <v>4.53</v>
      </c>
      <c r="L1731" t="s">
        <v>103</v>
      </c>
      <c r="M1731" t="s">
        <v>341</v>
      </c>
      <c r="N1731" s="5" t="s">
        <v>102</v>
      </c>
      <c r="O1731" t="s">
        <v>28</v>
      </c>
      <c r="P1731" t="s">
        <v>21</v>
      </c>
      <c r="Q1731" t="s">
        <v>22</v>
      </c>
      <c r="R1731">
        <v>0.81</v>
      </c>
      <c r="S1731" s="1">
        <v>40409</v>
      </c>
      <c r="T1731" t="str">
        <f t="shared" si="55"/>
        <v>19-Aug-2010</v>
      </c>
    </row>
    <row r="1732" spans="1:20" x14ac:dyDescent="0.3">
      <c r="A1732">
        <v>31330</v>
      </c>
      <c r="B1732" s="1">
        <v>40330</v>
      </c>
      <c r="C1732" t="s">
        <v>23</v>
      </c>
      <c r="D1732" t="str">
        <f t="shared" si="54"/>
        <v>01-Jun-2010</v>
      </c>
      <c r="E1732">
        <v>38</v>
      </c>
      <c r="F1732" s="13">
        <v>540.64</v>
      </c>
      <c r="G1732">
        <v>0.02</v>
      </c>
      <c r="H1732" t="s">
        <v>19</v>
      </c>
      <c r="I1732" s="13">
        <v>13.89</v>
      </c>
      <c r="J1732">
        <v>13.43</v>
      </c>
      <c r="K1732">
        <v>5.5</v>
      </c>
      <c r="L1732" t="s">
        <v>361</v>
      </c>
      <c r="M1732" t="s">
        <v>341</v>
      </c>
      <c r="N1732" s="5" t="s">
        <v>102</v>
      </c>
      <c r="O1732" t="s">
        <v>28</v>
      </c>
      <c r="P1732" t="s">
        <v>21</v>
      </c>
      <c r="Q1732" t="s">
        <v>22</v>
      </c>
      <c r="R1732">
        <v>0.56999999999999995</v>
      </c>
      <c r="S1732" s="1">
        <v>40331</v>
      </c>
      <c r="T1732" t="str">
        <f t="shared" si="55"/>
        <v>02-Jun-2010</v>
      </c>
    </row>
    <row r="1733" spans="1:20" x14ac:dyDescent="0.3">
      <c r="A1733">
        <v>31175</v>
      </c>
      <c r="B1733" s="1">
        <v>40082</v>
      </c>
      <c r="C1733" t="s">
        <v>43</v>
      </c>
      <c r="D1733" t="str">
        <f t="shared" si="54"/>
        <v>26-Sep-2009</v>
      </c>
      <c r="E1733">
        <v>26</v>
      </c>
      <c r="F1733" s="13">
        <v>539.66</v>
      </c>
      <c r="G1733">
        <v>0</v>
      </c>
      <c r="H1733" t="s">
        <v>35</v>
      </c>
      <c r="I1733" s="13">
        <v>147.08000000000001</v>
      </c>
      <c r="J1733">
        <v>19.98</v>
      </c>
      <c r="K1733">
        <v>5.97</v>
      </c>
      <c r="L1733" t="s">
        <v>345</v>
      </c>
      <c r="M1733" t="s">
        <v>341</v>
      </c>
      <c r="N1733" s="5" t="s">
        <v>102</v>
      </c>
      <c r="O1733" t="s">
        <v>28</v>
      </c>
      <c r="P1733" t="s">
        <v>21</v>
      </c>
      <c r="Q1733" t="s">
        <v>37</v>
      </c>
      <c r="R1733">
        <v>0.38</v>
      </c>
      <c r="S1733" s="1">
        <v>40085</v>
      </c>
      <c r="T1733" t="str">
        <f t="shared" si="55"/>
        <v>29-Sep-2009</v>
      </c>
    </row>
    <row r="1734" spans="1:20" x14ac:dyDescent="0.3">
      <c r="A1734">
        <v>25447</v>
      </c>
      <c r="B1734" s="1">
        <v>41052</v>
      </c>
      <c r="C1734" t="s">
        <v>31</v>
      </c>
      <c r="D1734" t="str">
        <f t="shared" si="54"/>
        <v>23-May-2012</v>
      </c>
      <c r="E1734">
        <v>25</v>
      </c>
      <c r="F1734" s="13">
        <v>536.21</v>
      </c>
      <c r="G1734">
        <v>0.09</v>
      </c>
      <c r="H1734" t="s">
        <v>19</v>
      </c>
      <c r="I1734" s="13">
        <v>106.98</v>
      </c>
      <c r="J1734">
        <v>22.72</v>
      </c>
      <c r="K1734">
        <v>8.99</v>
      </c>
      <c r="L1734" t="s">
        <v>368</v>
      </c>
      <c r="M1734" t="s">
        <v>341</v>
      </c>
      <c r="N1734" s="5" t="s">
        <v>102</v>
      </c>
      <c r="O1734" t="s">
        <v>28</v>
      </c>
      <c r="P1734" t="s">
        <v>32</v>
      </c>
      <c r="Q1734" t="s">
        <v>33</v>
      </c>
      <c r="R1734">
        <v>0.44</v>
      </c>
      <c r="S1734" s="1">
        <v>41053</v>
      </c>
      <c r="T1734" t="str">
        <f t="shared" si="55"/>
        <v>24-May-2012</v>
      </c>
    </row>
    <row r="1735" spans="1:20" x14ac:dyDescent="0.3">
      <c r="A1735">
        <v>15815</v>
      </c>
      <c r="B1735" s="1">
        <v>39934</v>
      </c>
      <c r="C1735" t="s">
        <v>43</v>
      </c>
      <c r="D1735" t="str">
        <f t="shared" si="54"/>
        <v>01-May-2009</v>
      </c>
      <c r="E1735">
        <v>43</v>
      </c>
      <c r="F1735" s="13">
        <v>528.6</v>
      </c>
      <c r="G1735">
        <v>0.01</v>
      </c>
      <c r="H1735" t="s">
        <v>19</v>
      </c>
      <c r="I1735" s="13">
        <v>52.59</v>
      </c>
      <c r="J1735">
        <v>11.7</v>
      </c>
      <c r="K1735">
        <v>5.63</v>
      </c>
      <c r="L1735" t="s">
        <v>342</v>
      </c>
      <c r="M1735" t="s">
        <v>341</v>
      </c>
      <c r="N1735" s="5" t="s">
        <v>102</v>
      </c>
      <c r="O1735" t="s">
        <v>28</v>
      </c>
      <c r="P1735" t="s">
        <v>21</v>
      </c>
      <c r="Q1735" t="s">
        <v>26</v>
      </c>
      <c r="R1735">
        <v>0.4</v>
      </c>
      <c r="S1735" s="1">
        <v>39936</v>
      </c>
      <c r="T1735" t="str">
        <f t="shared" si="55"/>
        <v>03-May-2009</v>
      </c>
    </row>
    <row r="1736" spans="1:20" x14ac:dyDescent="0.3">
      <c r="A1736">
        <v>22407</v>
      </c>
      <c r="B1736" s="1">
        <v>40134</v>
      </c>
      <c r="C1736" t="s">
        <v>31</v>
      </c>
      <c r="D1736" t="str">
        <f t="shared" si="54"/>
        <v>17-Nov-2009</v>
      </c>
      <c r="E1736">
        <v>15</v>
      </c>
      <c r="F1736" s="13">
        <v>526.82000000000005</v>
      </c>
      <c r="G1736">
        <v>0.06</v>
      </c>
      <c r="H1736" t="s">
        <v>35</v>
      </c>
      <c r="I1736" s="13">
        <v>32.340000000000003</v>
      </c>
      <c r="J1736">
        <v>34.58</v>
      </c>
      <c r="K1736">
        <v>8.99</v>
      </c>
      <c r="L1736" t="s">
        <v>349</v>
      </c>
      <c r="M1736" t="s">
        <v>341</v>
      </c>
      <c r="N1736" s="5" t="s">
        <v>102</v>
      </c>
      <c r="O1736" t="s">
        <v>28</v>
      </c>
      <c r="P1736" t="s">
        <v>21</v>
      </c>
      <c r="Q1736" t="s">
        <v>50</v>
      </c>
      <c r="R1736">
        <v>0.56000000000000005</v>
      </c>
      <c r="S1736" s="1">
        <v>40136</v>
      </c>
      <c r="T1736" t="str">
        <f t="shared" si="55"/>
        <v>19-Nov-2009</v>
      </c>
    </row>
    <row r="1737" spans="1:20" x14ac:dyDescent="0.3">
      <c r="A1737">
        <v>56743</v>
      </c>
      <c r="B1737" s="1">
        <v>40716</v>
      </c>
      <c r="C1737" t="s">
        <v>38</v>
      </c>
      <c r="D1737" t="str">
        <f t="shared" si="54"/>
        <v>22-Jun-2011</v>
      </c>
      <c r="E1737">
        <v>23</v>
      </c>
      <c r="F1737" s="13">
        <v>524.25</v>
      </c>
      <c r="G1737">
        <v>0.06</v>
      </c>
      <c r="H1737" t="s">
        <v>35</v>
      </c>
      <c r="I1737" s="13">
        <v>152.31</v>
      </c>
      <c r="J1737">
        <v>22.23</v>
      </c>
      <c r="K1737">
        <v>8.99</v>
      </c>
      <c r="L1737" t="s">
        <v>369</v>
      </c>
      <c r="M1737" t="s">
        <v>341</v>
      </c>
      <c r="N1737" s="5" t="s">
        <v>102</v>
      </c>
      <c r="O1737" t="s">
        <v>28</v>
      </c>
      <c r="P1737" t="s">
        <v>32</v>
      </c>
      <c r="Q1737" t="s">
        <v>33</v>
      </c>
      <c r="R1737">
        <v>0.41</v>
      </c>
      <c r="S1737" s="1">
        <v>40719</v>
      </c>
      <c r="T1737" t="str">
        <f t="shared" si="55"/>
        <v>25-Jun-2011</v>
      </c>
    </row>
    <row r="1738" spans="1:20" x14ac:dyDescent="0.3">
      <c r="A1738">
        <v>9637</v>
      </c>
      <c r="B1738" s="1">
        <v>39816</v>
      </c>
      <c r="C1738" t="s">
        <v>18</v>
      </c>
      <c r="D1738" t="str">
        <f t="shared" si="54"/>
        <v>03-Jan-2009</v>
      </c>
      <c r="E1738">
        <v>12</v>
      </c>
      <c r="F1738" s="13">
        <v>522.49</v>
      </c>
      <c r="G1738">
        <v>0.08</v>
      </c>
      <c r="H1738" t="s">
        <v>19</v>
      </c>
      <c r="I1738" s="13">
        <v>-236.43</v>
      </c>
      <c r="J1738">
        <v>43.22</v>
      </c>
      <c r="K1738">
        <v>16.71</v>
      </c>
      <c r="L1738" t="s">
        <v>203</v>
      </c>
      <c r="M1738" t="s">
        <v>341</v>
      </c>
      <c r="N1738" s="5" t="s">
        <v>102</v>
      </c>
      <c r="O1738" t="s">
        <v>28</v>
      </c>
      <c r="P1738" t="s">
        <v>29</v>
      </c>
      <c r="Q1738" t="s">
        <v>41</v>
      </c>
      <c r="R1738">
        <v>0.66</v>
      </c>
      <c r="S1738" s="1">
        <v>39818</v>
      </c>
      <c r="T1738" t="str">
        <f t="shared" si="55"/>
        <v>05-Jan-2009</v>
      </c>
    </row>
    <row r="1739" spans="1:20" x14ac:dyDescent="0.3">
      <c r="A1739">
        <v>8803</v>
      </c>
      <c r="B1739" s="1">
        <v>41263</v>
      </c>
      <c r="C1739" t="s">
        <v>31</v>
      </c>
      <c r="D1739" t="str">
        <f t="shared" si="54"/>
        <v>20-Dec-2012</v>
      </c>
      <c r="E1739">
        <v>17</v>
      </c>
      <c r="F1739" s="13">
        <v>514.22</v>
      </c>
      <c r="G1739">
        <v>0.02</v>
      </c>
      <c r="H1739" t="s">
        <v>19</v>
      </c>
      <c r="I1739" s="13">
        <v>187.37</v>
      </c>
      <c r="J1739">
        <v>30.56</v>
      </c>
      <c r="K1739">
        <v>2.99</v>
      </c>
      <c r="L1739" t="s">
        <v>345</v>
      </c>
      <c r="M1739" t="s">
        <v>341</v>
      </c>
      <c r="N1739" s="5" t="s">
        <v>102</v>
      </c>
      <c r="O1739" t="s">
        <v>28</v>
      </c>
      <c r="P1739" t="s">
        <v>21</v>
      </c>
      <c r="Q1739" t="s">
        <v>26</v>
      </c>
      <c r="R1739">
        <v>0.35</v>
      </c>
      <c r="S1739" s="1">
        <v>41266</v>
      </c>
      <c r="T1739" t="str">
        <f t="shared" si="55"/>
        <v>23-Dec-2012</v>
      </c>
    </row>
    <row r="1740" spans="1:20" x14ac:dyDescent="0.3">
      <c r="A1740">
        <v>44290</v>
      </c>
      <c r="B1740" s="1">
        <v>40258</v>
      </c>
      <c r="C1740" t="s">
        <v>38</v>
      </c>
      <c r="D1740" t="str">
        <f t="shared" si="54"/>
        <v>21-Mar-2010</v>
      </c>
      <c r="E1740">
        <v>49</v>
      </c>
      <c r="F1740" s="13">
        <v>508.38</v>
      </c>
      <c r="G1740">
        <v>0.06</v>
      </c>
      <c r="H1740" t="s">
        <v>19</v>
      </c>
      <c r="I1740" s="13">
        <v>4.68</v>
      </c>
      <c r="J1740">
        <v>10.4</v>
      </c>
      <c r="K1740">
        <v>5.4</v>
      </c>
      <c r="L1740" t="s">
        <v>340</v>
      </c>
      <c r="M1740" t="s">
        <v>341</v>
      </c>
      <c r="N1740" s="5" t="s">
        <v>102</v>
      </c>
      <c r="O1740" t="s">
        <v>28</v>
      </c>
      <c r="P1740" t="s">
        <v>32</v>
      </c>
      <c r="Q1740" t="s">
        <v>33</v>
      </c>
      <c r="R1740">
        <v>0.51</v>
      </c>
      <c r="S1740" s="1">
        <v>40260</v>
      </c>
      <c r="T1740" t="str">
        <f t="shared" si="55"/>
        <v>23-Mar-2010</v>
      </c>
    </row>
    <row r="1741" spans="1:20" x14ac:dyDescent="0.3">
      <c r="A1741">
        <v>9473</v>
      </c>
      <c r="B1741" s="1">
        <v>41193</v>
      </c>
      <c r="C1741" t="s">
        <v>31</v>
      </c>
      <c r="D1741" t="str">
        <f t="shared" si="54"/>
        <v>11-Oct-2012</v>
      </c>
      <c r="E1741">
        <v>31</v>
      </c>
      <c r="F1741" s="13">
        <v>502.44</v>
      </c>
      <c r="G1741">
        <v>0.04</v>
      </c>
      <c r="H1741" t="s">
        <v>19</v>
      </c>
      <c r="I1741" s="13">
        <v>-363.44</v>
      </c>
      <c r="J1741">
        <v>15.51</v>
      </c>
      <c r="K1741">
        <v>17.78</v>
      </c>
      <c r="L1741" t="s">
        <v>356</v>
      </c>
      <c r="M1741" t="s">
        <v>341</v>
      </c>
      <c r="N1741" s="5" t="s">
        <v>102</v>
      </c>
      <c r="O1741" t="s">
        <v>28</v>
      </c>
      <c r="P1741" t="s">
        <v>21</v>
      </c>
      <c r="Q1741" t="s">
        <v>22</v>
      </c>
      <c r="R1741">
        <v>0.59</v>
      </c>
      <c r="S1741" s="1">
        <v>41195</v>
      </c>
      <c r="T1741" t="str">
        <f t="shared" si="55"/>
        <v>13-Oct-2012</v>
      </c>
    </row>
    <row r="1742" spans="1:20" x14ac:dyDescent="0.3">
      <c r="A1742">
        <v>6272</v>
      </c>
      <c r="B1742" s="1">
        <v>40236</v>
      </c>
      <c r="C1742" t="s">
        <v>23</v>
      </c>
      <c r="D1742" t="str">
        <f t="shared" si="54"/>
        <v>27-Feb-2010</v>
      </c>
      <c r="E1742">
        <v>33</v>
      </c>
      <c r="F1742" s="13">
        <v>497.4</v>
      </c>
      <c r="G1742">
        <v>0.05</v>
      </c>
      <c r="H1742" t="s">
        <v>19</v>
      </c>
      <c r="I1742" s="13">
        <v>37.9</v>
      </c>
      <c r="J1742">
        <v>14.98</v>
      </c>
      <c r="K1742">
        <v>8.99</v>
      </c>
      <c r="L1742" t="s">
        <v>368</v>
      </c>
      <c r="M1742" t="s">
        <v>341</v>
      </c>
      <c r="N1742" s="5" t="s">
        <v>102</v>
      </c>
      <c r="O1742" t="s">
        <v>28</v>
      </c>
      <c r="P1742" t="s">
        <v>32</v>
      </c>
      <c r="Q1742" t="s">
        <v>33</v>
      </c>
      <c r="R1742">
        <v>0.39</v>
      </c>
      <c r="S1742" s="1">
        <v>40238</v>
      </c>
      <c r="T1742" t="str">
        <f t="shared" si="55"/>
        <v>01-Mar-2010</v>
      </c>
    </row>
    <row r="1743" spans="1:20" x14ac:dyDescent="0.3">
      <c r="A1743">
        <v>27141</v>
      </c>
      <c r="B1743" s="1">
        <v>40213</v>
      </c>
      <c r="C1743" t="s">
        <v>31</v>
      </c>
      <c r="D1743" t="str">
        <f t="shared" si="54"/>
        <v>04-Feb-2010</v>
      </c>
      <c r="E1743">
        <v>25</v>
      </c>
      <c r="F1743" s="13">
        <v>495.8</v>
      </c>
      <c r="G1743">
        <v>0.03</v>
      </c>
      <c r="H1743" t="s">
        <v>19</v>
      </c>
      <c r="I1743" s="13">
        <v>107.82</v>
      </c>
      <c r="J1743">
        <v>19.04</v>
      </c>
      <c r="K1743">
        <v>6.38</v>
      </c>
      <c r="L1743" t="s">
        <v>327</v>
      </c>
      <c r="M1743" t="s">
        <v>341</v>
      </c>
      <c r="N1743" s="5" t="s">
        <v>102</v>
      </c>
      <c r="O1743" t="s">
        <v>28</v>
      </c>
      <c r="P1743" t="s">
        <v>32</v>
      </c>
      <c r="Q1743" t="s">
        <v>33</v>
      </c>
      <c r="R1743">
        <v>0.56000000000000005</v>
      </c>
      <c r="S1743" s="1">
        <v>40214</v>
      </c>
      <c r="T1743" t="str">
        <f t="shared" si="55"/>
        <v>05-Feb-2010</v>
      </c>
    </row>
    <row r="1744" spans="1:20" x14ac:dyDescent="0.3">
      <c r="A1744">
        <v>57287</v>
      </c>
      <c r="B1744" s="1">
        <v>40844</v>
      </c>
      <c r="C1744" t="s">
        <v>31</v>
      </c>
      <c r="D1744" t="str">
        <f t="shared" si="54"/>
        <v>28-Oct-2011</v>
      </c>
      <c r="E1744">
        <v>11</v>
      </c>
      <c r="F1744" s="13">
        <v>472.12</v>
      </c>
      <c r="G1744">
        <v>0.03</v>
      </c>
      <c r="H1744" t="s">
        <v>19</v>
      </c>
      <c r="I1744" s="13">
        <v>56.1</v>
      </c>
      <c r="J1744">
        <v>40.97</v>
      </c>
      <c r="K1744">
        <v>1.99</v>
      </c>
      <c r="L1744" t="s">
        <v>368</v>
      </c>
      <c r="M1744" t="s">
        <v>341</v>
      </c>
      <c r="N1744" s="5" t="s">
        <v>102</v>
      </c>
      <c r="O1744" t="s">
        <v>28</v>
      </c>
      <c r="P1744" t="s">
        <v>29</v>
      </c>
      <c r="Q1744" t="s">
        <v>41</v>
      </c>
      <c r="R1744">
        <v>0.42</v>
      </c>
      <c r="S1744" s="1">
        <v>40845</v>
      </c>
      <c r="T1744" t="str">
        <f t="shared" si="55"/>
        <v>29-Oct-2011</v>
      </c>
    </row>
    <row r="1745" spans="1:20" x14ac:dyDescent="0.3">
      <c r="A1745">
        <v>28256</v>
      </c>
      <c r="B1745" s="1">
        <v>39867</v>
      </c>
      <c r="C1745" t="s">
        <v>23</v>
      </c>
      <c r="D1745" t="str">
        <f t="shared" si="54"/>
        <v>23-Feb-2009</v>
      </c>
      <c r="E1745">
        <v>19</v>
      </c>
      <c r="F1745" s="13">
        <v>467.4</v>
      </c>
      <c r="G1745">
        <v>0.01</v>
      </c>
      <c r="H1745" t="s">
        <v>24</v>
      </c>
      <c r="I1745" s="13">
        <v>-851.09</v>
      </c>
      <c r="J1745">
        <v>20.98</v>
      </c>
      <c r="K1745">
        <v>53.03</v>
      </c>
      <c r="L1745" t="s">
        <v>103</v>
      </c>
      <c r="M1745" t="s">
        <v>341</v>
      </c>
      <c r="N1745" s="5" t="s">
        <v>102</v>
      </c>
      <c r="O1745" t="s">
        <v>28</v>
      </c>
      <c r="P1745" t="s">
        <v>21</v>
      </c>
      <c r="Q1745" t="s">
        <v>22</v>
      </c>
      <c r="R1745">
        <v>0.78</v>
      </c>
      <c r="S1745" s="1">
        <v>39867</v>
      </c>
      <c r="T1745" t="str">
        <f t="shared" si="55"/>
        <v>23-Feb-2009</v>
      </c>
    </row>
    <row r="1746" spans="1:20" x14ac:dyDescent="0.3">
      <c r="A1746">
        <v>130</v>
      </c>
      <c r="B1746" s="1">
        <v>41036</v>
      </c>
      <c r="C1746" t="s">
        <v>23</v>
      </c>
      <c r="D1746" t="str">
        <f t="shared" si="54"/>
        <v>07-May-2012</v>
      </c>
      <c r="E1746">
        <v>3</v>
      </c>
      <c r="F1746" s="13">
        <v>461.89</v>
      </c>
      <c r="G1746">
        <v>0.05</v>
      </c>
      <c r="H1746" t="s">
        <v>35</v>
      </c>
      <c r="I1746" s="13">
        <v>-309.82</v>
      </c>
      <c r="J1746">
        <v>150.97999999999999</v>
      </c>
      <c r="K1746">
        <v>13.99</v>
      </c>
      <c r="L1746" t="s">
        <v>365</v>
      </c>
      <c r="M1746" t="s">
        <v>341</v>
      </c>
      <c r="N1746" s="5" t="s">
        <v>102</v>
      </c>
      <c r="O1746" t="s">
        <v>28</v>
      </c>
      <c r="P1746" t="s">
        <v>29</v>
      </c>
      <c r="Q1746" t="s">
        <v>74</v>
      </c>
      <c r="R1746">
        <v>0.38</v>
      </c>
      <c r="S1746" s="1">
        <v>41038</v>
      </c>
      <c r="T1746" t="str">
        <f t="shared" si="55"/>
        <v>09-May-2012</v>
      </c>
    </row>
    <row r="1747" spans="1:20" x14ac:dyDescent="0.3">
      <c r="A1747">
        <v>36992</v>
      </c>
      <c r="B1747" s="1">
        <v>40154</v>
      </c>
      <c r="C1747" t="s">
        <v>38</v>
      </c>
      <c r="D1747" t="str">
        <f t="shared" si="54"/>
        <v>07-Dec-2009</v>
      </c>
      <c r="E1747">
        <v>34</v>
      </c>
      <c r="F1747" s="13">
        <v>459.08</v>
      </c>
      <c r="G1747">
        <v>0.04</v>
      </c>
      <c r="H1747" t="s">
        <v>35</v>
      </c>
      <c r="I1747" s="13">
        <v>61.57</v>
      </c>
      <c r="J1747">
        <v>12.98</v>
      </c>
      <c r="K1747">
        <v>3.14</v>
      </c>
      <c r="L1747" t="s">
        <v>353</v>
      </c>
      <c r="M1747" t="s">
        <v>341</v>
      </c>
      <c r="N1747" s="5" t="s">
        <v>102</v>
      </c>
      <c r="O1747" t="s">
        <v>28</v>
      </c>
      <c r="P1747" t="s">
        <v>21</v>
      </c>
      <c r="Q1747" t="s">
        <v>67</v>
      </c>
      <c r="R1747">
        <v>0.6</v>
      </c>
      <c r="S1747" s="1">
        <v>40156</v>
      </c>
      <c r="T1747" t="str">
        <f t="shared" si="55"/>
        <v>09-Dec-2009</v>
      </c>
    </row>
    <row r="1748" spans="1:20" x14ac:dyDescent="0.3">
      <c r="A1748">
        <v>50145</v>
      </c>
      <c r="B1748" s="1">
        <v>40600</v>
      </c>
      <c r="C1748" t="s">
        <v>23</v>
      </c>
      <c r="D1748" t="str">
        <f t="shared" si="54"/>
        <v>26-Feb-2011</v>
      </c>
      <c r="E1748">
        <v>9</v>
      </c>
      <c r="F1748" s="13">
        <v>458.8</v>
      </c>
      <c r="G1748">
        <v>0</v>
      </c>
      <c r="H1748" t="s">
        <v>19</v>
      </c>
      <c r="I1748" s="13">
        <v>305.87</v>
      </c>
      <c r="J1748">
        <v>46.94</v>
      </c>
      <c r="K1748">
        <v>6.77</v>
      </c>
      <c r="L1748" t="s">
        <v>362</v>
      </c>
      <c r="M1748" t="s">
        <v>341</v>
      </c>
      <c r="N1748" s="5" t="s">
        <v>102</v>
      </c>
      <c r="O1748" t="s">
        <v>28</v>
      </c>
      <c r="P1748" t="s">
        <v>32</v>
      </c>
      <c r="Q1748" t="s">
        <v>33</v>
      </c>
      <c r="R1748">
        <v>0.44</v>
      </c>
      <c r="S1748" s="1">
        <v>40600</v>
      </c>
      <c r="T1748" t="str">
        <f t="shared" si="55"/>
        <v>26-Feb-2011</v>
      </c>
    </row>
    <row r="1749" spans="1:20" x14ac:dyDescent="0.3">
      <c r="A1749">
        <v>59238</v>
      </c>
      <c r="B1749" s="1">
        <v>40075</v>
      </c>
      <c r="C1749" t="s">
        <v>23</v>
      </c>
      <c r="D1749" t="str">
        <f t="shared" si="54"/>
        <v>19-Sep-2009</v>
      </c>
      <c r="E1749">
        <v>11</v>
      </c>
      <c r="F1749" s="13">
        <v>455.88</v>
      </c>
      <c r="G1749">
        <v>0.03</v>
      </c>
      <c r="H1749" t="s">
        <v>35</v>
      </c>
      <c r="I1749" s="13">
        <v>9.15</v>
      </c>
      <c r="J1749">
        <v>40.97</v>
      </c>
      <c r="K1749">
        <v>8.99</v>
      </c>
      <c r="L1749" t="s">
        <v>180</v>
      </c>
      <c r="M1749" t="s">
        <v>341</v>
      </c>
      <c r="N1749" s="5" t="s">
        <v>102</v>
      </c>
      <c r="O1749" t="s">
        <v>28</v>
      </c>
      <c r="P1749" t="s">
        <v>21</v>
      </c>
      <c r="Q1749" t="s">
        <v>50</v>
      </c>
      <c r="R1749">
        <v>0.59</v>
      </c>
      <c r="S1749" s="1">
        <v>40076</v>
      </c>
      <c r="T1749" t="str">
        <f t="shared" si="55"/>
        <v>20-Sep-2009</v>
      </c>
    </row>
    <row r="1750" spans="1:20" x14ac:dyDescent="0.3">
      <c r="A1750">
        <v>20292</v>
      </c>
      <c r="B1750" s="1">
        <v>41221</v>
      </c>
      <c r="C1750" t="s">
        <v>38</v>
      </c>
      <c r="D1750" t="str">
        <f t="shared" si="54"/>
        <v>08-Nov-2012</v>
      </c>
      <c r="E1750">
        <v>26</v>
      </c>
      <c r="F1750" s="13">
        <v>452.39</v>
      </c>
      <c r="G1750">
        <v>0.08</v>
      </c>
      <c r="H1750" t="s">
        <v>19</v>
      </c>
      <c r="I1750" s="13">
        <v>-22.83</v>
      </c>
      <c r="J1750">
        <v>17.52</v>
      </c>
      <c r="K1750">
        <v>8.17</v>
      </c>
      <c r="L1750" t="s">
        <v>362</v>
      </c>
      <c r="M1750" t="s">
        <v>341</v>
      </c>
      <c r="N1750" s="5" t="s">
        <v>102</v>
      </c>
      <c r="O1750" t="s">
        <v>28</v>
      </c>
      <c r="P1750" t="s">
        <v>21</v>
      </c>
      <c r="Q1750" t="s">
        <v>25</v>
      </c>
      <c r="R1750">
        <v>0.5</v>
      </c>
      <c r="S1750" s="1">
        <v>41221</v>
      </c>
      <c r="T1750" t="str">
        <f t="shared" si="55"/>
        <v>08-Nov-2012</v>
      </c>
    </row>
    <row r="1751" spans="1:20" x14ac:dyDescent="0.3">
      <c r="A1751">
        <v>18307</v>
      </c>
      <c r="B1751" s="1">
        <v>40211</v>
      </c>
      <c r="C1751" t="s">
        <v>18</v>
      </c>
      <c r="D1751" t="str">
        <f t="shared" si="54"/>
        <v>02-Feb-2010</v>
      </c>
      <c r="E1751">
        <v>23</v>
      </c>
      <c r="F1751" s="13">
        <v>441.99</v>
      </c>
      <c r="G1751">
        <v>0.08</v>
      </c>
      <c r="H1751" t="s">
        <v>35</v>
      </c>
      <c r="I1751" s="13">
        <v>32.36</v>
      </c>
      <c r="J1751">
        <v>19.98</v>
      </c>
      <c r="K1751">
        <v>8.68</v>
      </c>
      <c r="L1751" t="s">
        <v>359</v>
      </c>
      <c r="M1751" t="s">
        <v>341</v>
      </c>
      <c r="N1751" s="5" t="s">
        <v>102</v>
      </c>
      <c r="O1751" t="s">
        <v>28</v>
      </c>
      <c r="P1751" t="s">
        <v>21</v>
      </c>
      <c r="Q1751" t="s">
        <v>37</v>
      </c>
      <c r="R1751">
        <v>0.37</v>
      </c>
      <c r="S1751" s="1">
        <v>40215</v>
      </c>
      <c r="T1751" t="str">
        <f t="shared" si="55"/>
        <v>06-Feb-2010</v>
      </c>
    </row>
    <row r="1752" spans="1:20" x14ac:dyDescent="0.3">
      <c r="A1752">
        <v>52068</v>
      </c>
      <c r="B1752" s="1">
        <v>40921</v>
      </c>
      <c r="C1752" t="s">
        <v>31</v>
      </c>
      <c r="D1752" t="str">
        <f t="shared" si="54"/>
        <v>13-Jan-2012</v>
      </c>
      <c r="E1752">
        <v>17</v>
      </c>
      <c r="F1752" s="13">
        <v>441.53</v>
      </c>
      <c r="G1752">
        <v>7.0000000000000007E-2</v>
      </c>
      <c r="H1752" t="s">
        <v>24</v>
      </c>
      <c r="I1752" s="13">
        <v>-119.55</v>
      </c>
      <c r="J1752">
        <v>25.98</v>
      </c>
      <c r="K1752">
        <v>14.36</v>
      </c>
      <c r="L1752" t="s">
        <v>340</v>
      </c>
      <c r="M1752" t="s">
        <v>341</v>
      </c>
      <c r="N1752" s="5" t="s">
        <v>102</v>
      </c>
      <c r="O1752" t="s">
        <v>28</v>
      </c>
      <c r="P1752" t="s">
        <v>32</v>
      </c>
      <c r="Q1752" t="s">
        <v>56</v>
      </c>
      <c r="R1752">
        <v>0.6</v>
      </c>
      <c r="S1752" s="1">
        <v>40923</v>
      </c>
      <c r="T1752" t="str">
        <f t="shared" si="55"/>
        <v>15-Jan-2012</v>
      </c>
    </row>
    <row r="1753" spans="1:20" x14ac:dyDescent="0.3">
      <c r="A1753">
        <v>47554</v>
      </c>
      <c r="B1753" s="1">
        <v>40250</v>
      </c>
      <c r="C1753" t="s">
        <v>18</v>
      </c>
      <c r="D1753" t="str">
        <f t="shared" si="54"/>
        <v>13-Mar-2010</v>
      </c>
      <c r="E1753">
        <v>9</v>
      </c>
      <c r="F1753" s="13">
        <v>436.3</v>
      </c>
      <c r="G1753">
        <v>0.08</v>
      </c>
      <c r="H1753" t="s">
        <v>24</v>
      </c>
      <c r="I1753" s="13">
        <v>-50.31</v>
      </c>
      <c r="J1753">
        <v>50.98</v>
      </c>
      <c r="K1753">
        <v>14.19</v>
      </c>
      <c r="L1753" t="s">
        <v>343</v>
      </c>
      <c r="M1753" t="s">
        <v>341</v>
      </c>
      <c r="N1753" s="5" t="s">
        <v>102</v>
      </c>
      <c r="O1753" t="s">
        <v>28</v>
      </c>
      <c r="P1753" t="s">
        <v>32</v>
      </c>
      <c r="Q1753" t="s">
        <v>56</v>
      </c>
      <c r="R1753">
        <v>0.56000000000000005</v>
      </c>
      <c r="S1753" s="1">
        <v>40250</v>
      </c>
      <c r="T1753" t="str">
        <f t="shared" si="55"/>
        <v>13-Mar-2010</v>
      </c>
    </row>
    <row r="1754" spans="1:20" x14ac:dyDescent="0.3">
      <c r="A1754">
        <v>55686</v>
      </c>
      <c r="B1754" s="1">
        <v>40627</v>
      </c>
      <c r="C1754" t="s">
        <v>43</v>
      </c>
      <c r="D1754" t="str">
        <f t="shared" si="54"/>
        <v>25-Mar-2011</v>
      </c>
      <c r="E1754">
        <v>26</v>
      </c>
      <c r="F1754" s="13">
        <v>423.14</v>
      </c>
      <c r="G1754">
        <v>0.03</v>
      </c>
      <c r="H1754" t="s">
        <v>19</v>
      </c>
      <c r="I1754" s="13">
        <v>85.51</v>
      </c>
      <c r="J1754">
        <v>15.98</v>
      </c>
      <c r="K1754">
        <v>4</v>
      </c>
      <c r="L1754" t="s">
        <v>351</v>
      </c>
      <c r="M1754" t="s">
        <v>341</v>
      </c>
      <c r="N1754" s="5" t="s">
        <v>102</v>
      </c>
      <c r="O1754" t="s">
        <v>28</v>
      </c>
      <c r="P1754" t="s">
        <v>29</v>
      </c>
      <c r="Q1754" t="s">
        <v>41</v>
      </c>
      <c r="R1754">
        <v>0.37</v>
      </c>
      <c r="S1754" s="1">
        <v>40629</v>
      </c>
      <c r="T1754" t="str">
        <f t="shared" si="55"/>
        <v>27-Mar-2011</v>
      </c>
    </row>
    <row r="1755" spans="1:20" x14ac:dyDescent="0.3">
      <c r="A1755">
        <v>43045</v>
      </c>
      <c r="B1755" s="1">
        <v>41074</v>
      </c>
      <c r="C1755" t="s">
        <v>38</v>
      </c>
      <c r="D1755" t="str">
        <f t="shared" si="54"/>
        <v>14-Jun-2012</v>
      </c>
      <c r="E1755">
        <v>12</v>
      </c>
      <c r="F1755" s="13">
        <v>418.44</v>
      </c>
      <c r="G1755">
        <v>0.05</v>
      </c>
      <c r="H1755" t="s">
        <v>24</v>
      </c>
      <c r="I1755" s="13">
        <v>-407.17</v>
      </c>
      <c r="J1755">
        <v>31.76</v>
      </c>
      <c r="K1755">
        <v>45.51</v>
      </c>
      <c r="L1755" t="s">
        <v>131</v>
      </c>
      <c r="M1755" t="s">
        <v>341</v>
      </c>
      <c r="N1755" s="5" t="s">
        <v>102</v>
      </c>
      <c r="O1755" t="s">
        <v>28</v>
      </c>
      <c r="P1755" t="s">
        <v>32</v>
      </c>
      <c r="Q1755" t="s">
        <v>46</v>
      </c>
      <c r="R1755">
        <v>0.65</v>
      </c>
      <c r="S1755" s="1">
        <v>41074</v>
      </c>
      <c r="T1755" t="str">
        <f t="shared" si="55"/>
        <v>14-Jun-2012</v>
      </c>
    </row>
    <row r="1756" spans="1:20" x14ac:dyDescent="0.3">
      <c r="A1756">
        <v>8133</v>
      </c>
      <c r="B1756" s="1">
        <v>40600</v>
      </c>
      <c r="C1756" t="s">
        <v>38</v>
      </c>
      <c r="D1756" t="str">
        <f t="shared" si="54"/>
        <v>26-Feb-2011</v>
      </c>
      <c r="E1756">
        <v>11</v>
      </c>
      <c r="F1756" s="13">
        <v>405.53</v>
      </c>
      <c r="G1756">
        <v>0.04</v>
      </c>
      <c r="H1756" t="s">
        <v>19</v>
      </c>
      <c r="I1756" s="13">
        <v>130.52000000000001</v>
      </c>
      <c r="J1756">
        <v>35.44</v>
      </c>
      <c r="K1756">
        <v>5.09</v>
      </c>
      <c r="L1756" t="s">
        <v>350</v>
      </c>
      <c r="M1756" t="s">
        <v>341</v>
      </c>
      <c r="N1756" s="5" t="s">
        <v>102</v>
      </c>
      <c r="O1756" t="s">
        <v>28</v>
      </c>
      <c r="P1756" t="s">
        <v>21</v>
      </c>
      <c r="Q1756" t="s">
        <v>37</v>
      </c>
      <c r="R1756">
        <v>0.38</v>
      </c>
      <c r="S1756" s="1">
        <v>40601</v>
      </c>
      <c r="T1756" t="str">
        <f t="shared" si="55"/>
        <v>27-Feb-2011</v>
      </c>
    </row>
    <row r="1757" spans="1:20" x14ac:dyDescent="0.3">
      <c r="A1757">
        <v>27265</v>
      </c>
      <c r="B1757" s="1">
        <v>41035</v>
      </c>
      <c r="C1757" t="s">
        <v>43</v>
      </c>
      <c r="D1757" t="str">
        <f t="shared" si="54"/>
        <v>06-May-2012</v>
      </c>
      <c r="E1757">
        <v>49</v>
      </c>
      <c r="F1757" s="13">
        <v>401.39</v>
      </c>
      <c r="G1757">
        <v>0.03</v>
      </c>
      <c r="H1757" t="s">
        <v>35</v>
      </c>
      <c r="I1757" s="13">
        <v>161.94999999999999</v>
      </c>
      <c r="J1757">
        <v>8.34</v>
      </c>
      <c r="K1757">
        <v>0.96</v>
      </c>
      <c r="L1757" t="s">
        <v>366</v>
      </c>
      <c r="M1757" t="s">
        <v>341</v>
      </c>
      <c r="N1757" s="5" t="s">
        <v>102</v>
      </c>
      <c r="O1757" t="s">
        <v>28</v>
      </c>
      <c r="P1757" t="s">
        <v>32</v>
      </c>
      <c r="Q1757" t="s">
        <v>33</v>
      </c>
      <c r="R1757">
        <v>0.43</v>
      </c>
      <c r="S1757" s="1">
        <v>41037</v>
      </c>
      <c r="T1757" t="str">
        <f t="shared" si="55"/>
        <v>08-May-2012</v>
      </c>
    </row>
    <row r="1758" spans="1:20" x14ac:dyDescent="0.3">
      <c r="A1758">
        <v>15751</v>
      </c>
      <c r="B1758" s="1">
        <v>40040</v>
      </c>
      <c r="C1758" t="s">
        <v>43</v>
      </c>
      <c r="D1758" t="str">
        <f t="shared" si="54"/>
        <v>15-Aug-2009</v>
      </c>
      <c r="E1758">
        <v>21</v>
      </c>
      <c r="F1758" s="13">
        <v>397.73200000000003</v>
      </c>
      <c r="G1758">
        <v>0.01</v>
      </c>
      <c r="H1758" t="s">
        <v>19</v>
      </c>
      <c r="I1758" s="13">
        <v>-26.05</v>
      </c>
      <c r="J1758">
        <v>20.99</v>
      </c>
      <c r="K1758">
        <v>0.99</v>
      </c>
      <c r="L1758" t="s">
        <v>144</v>
      </c>
      <c r="M1758" t="s">
        <v>341</v>
      </c>
      <c r="N1758" s="5" t="s">
        <v>102</v>
      </c>
      <c r="O1758" t="s">
        <v>28</v>
      </c>
      <c r="P1758" t="s">
        <v>29</v>
      </c>
      <c r="Q1758" t="s">
        <v>30</v>
      </c>
      <c r="R1758">
        <v>0.83</v>
      </c>
      <c r="S1758" s="1">
        <v>40041</v>
      </c>
      <c r="T1758" t="str">
        <f t="shared" si="55"/>
        <v>16-Aug-2009</v>
      </c>
    </row>
    <row r="1759" spans="1:20" x14ac:dyDescent="0.3">
      <c r="A1759">
        <v>52197</v>
      </c>
      <c r="B1759" s="1">
        <v>41125</v>
      </c>
      <c r="C1759" t="s">
        <v>43</v>
      </c>
      <c r="D1759" t="str">
        <f t="shared" si="54"/>
        <v>04-Aug-2012</v>
      </c>
      <c r="E1759">
        <v>6</v>
      </c>
      <c r="F1759" s="13">
        <v>377.03</v>
      </c>
      <c r="G1759">
        <v>0.06</v>
      </c>
      <c r="H1759" t="s">
        <v>19</v>
      </c>
      <c r="I1759" s="13">
        <v>-78.819999999999993</v>
      </c>
      <c r="J1759">
        <v>64.98</v>
      </c>
      <c r="K1759">
        <v>6.88</v>
      </c>
      <c r="L1759" t="s">
        <v>357</v>
      </c>
      <c r="M1759" t="s">
        <v>341</v>
      </c>
      <c r="N1759" s="5" t="s">
        <v>102</v>
      </c>
      <c r="O1759" t="s">
        <v>28</v>
      </c>
      <c r="P1759" t="s">
        <v>21</v>
      </c>
      <c r="Q1759" t="s">
        <v>22</v>
      </c>
      <c r="R1759">
        <v>0.73</v>
      </c>
      <c r="S1759" s="1">
        <v>41127</v>
      </c>
      <c r="T1759" t="str">
        <f t="shared" si="55"/>
        <v>06-Aug-2012</v>
      </c>
    </row>
    <row r="1760" spans="1:20" x14ac:dyDescent="0.3">
      <c r="A1760">
        <v>47554</v>
      </c>
      <c r="B1760" s="1">
        <v>40250</v>
      </c>
      <c r="C1760" t="s">
        <v>18</v>
      </c>
      <c r="D1760" t="str">
        <f t="shared" si="54"/>
        <v>13-Mar-2010</v>
      </c>
      <c r="E1760">
        <v>47</v>
      </c>
      <c r="F1760" s="13">
        <v>364.23</v>
      </c>
      <c r="G1760">
        <v>0.01</v>
      </c>
      <c r="H1760" t="s">
        <v>19</v>
      </c>
      <c r="I1760" s="13">
        <v>41.58</v>
      </c>
      <c r="J1760">
        <v>7.59</v>
      </c>
      <c r="K1760">
        <v>4</v>
      </c>
      <c r="L1760" t="s">
        <v>343</v>
      </c>
      <c r="M1760" t="s">
        <v>341</v>
      </c>
      <c r="N1760" s="5" t="s">
        <v>102</v>
      </c>
      <c r="O1760" t="s">
        <v>28</v>
      </c>
      <c r="P1760" t="s">
        <v>32</v>
      </c>
      <c r="Q1760" t="s">
        <v>33</v>
      </c>
      <c r="R1760">
        <v>0.42</v>
      </c>
      <c r="S1760" s="1">
        <v>40257</v>
      </c>
      <c r="T1760" t="str">
        <f t="shared" si="55"/>
        <v>20-Mar-2010</v>
      </c>
    </row>
    <row r="1761" spans="1:20" x14ac:dyDescent="0.3">
      <c r="A1761">
        <v>6272</v>
      </c>
      <c r="B1761" s="1">
        <v>40236</v>
      </c>
      <c r="C1761" t="s">
        <v>23</v>
      </c>
      <c r="D1761" t="str">
        <f t="shared" si="54"/>
        <v>27-Feb-2010</v>
      </c>
      <c r="E1761">
        <v>8</v>
      </c>
      <c r="F1761" s="13">
        <v>358.41950000000003</v>
      </c>
      <c r="G1761">
        <v>0.09</v>
      </c>
      <c r="H1761" t="s">
        <v>35</v>
      </c>
      <c r="I1761" s="13">
        <v>-275.06</v>
      </c>
      <c r="J1761">
        <v>55.99</v>
      </c>
      <c r="K1761">
        <v>2.5</v>
      </c>
      <c r="L1761" t="s">
        <v>368</v>
      </c>
      <c r="M1761" t="s">
        <v>341</v>
      </c>
      <c r="N1761" s="5" t="s">
        <v>102</v>
      </c>
      <c r="O1761" t="s">
        <v>28</v>
      </c>
      <c r="P1761" t="s">
        <v>29</v>
      </c>
      <c r="Q1761" t="s">
        <v>30</v>
      </c>
      <c r="R1761">
        <v>0.83</v>
      </c>
      <c r="S1761" s="1">
        <v>40238</v>
      </c>
      <c r="T1761" t="str">
        <f t="shared" si="55"/>
        <v>01-Mar-2010</v>
      </c>
    </row>
    <row r="1762" spans="1:20" x14ac:dyDescent="0.3">
      <c r="A1762">
        <v>8034</v>
      </c>
      <c r="B1762" s="1">
        <v>40927</v>
      </c>
      <c r="C1762" t="s">
        <v>23</v>
      </c>
      <c r="D1762" t="str">
        <f t="shared" si="54"/>
        <v>19-Jan-2012</v>
      </c>
      <c r="E1762">
        <v>31</v>
      </c>
      <c r="F1762" s="13">
        <v>354.45</v>
      </c>
      <c r="G1762">
        <v>0.01</v>
      </c>
      <c r="H1762" t="s">
        <v>19</v>
      </c>
      <c r="I1762" s="13">
        <v>11.38</v>
      </c>
      <c r="J1762">
        <v>10.98</v>
      </c>
      <c r="K1762">
        <v>3.99</v>
      </c>
      <c r="L1762" t="s">
        <v>359</v>
      </c>
      <c r="M1762" t="s">
        <v>341</v>
      </c>
      <c r="N1762" s="5" t="s">
        <v>102</v>
      </c>
      <c r="O1762" t="s">
        <v>28</v>
      </c>
      <c r="P1762" t="s">
        <v>21</v>
      </c>
      <c r="Q1762" t="s">
        <v>25</v>
      </c>
      <c r="R1762">
        <v>0.57999999999999996</v>
      </c>
      <c r="S1762" s="1">
        <v>40927</v>
      </c>
      <c r="T1762" t="str">
        <f t="shared" si="55"/>
        <v>19-Jan-2012</v>
      </c>
    </row>
    <row r="1763" spans="1:20" x14ac:dyDescent="0.3">
      <c r="A1763">
        <v>36676</v>
      </c>
      <c r="B1763" s="1">
        <v>40780</v>
      </c>
      <c r="C1763" t="s">
        <v>31</v>
      </c>
      <c r="D1763" t="str">
        <f t="shared" si="54"/>
        <v>25-Aug-2011</v>
      </c>
      <c r="E1763">
        <v>15</v>
      </c>
      <c r="F1763" s="13">
        <v>353.52</v>
      </c>
      <c r="G1763">
        <v>0.04</v>
      </c>
      <c r="H1763" t="s">
        <v>19</v>
      </c>
      <c r="I1763" s="13">
        <v>51.53</v>
      </c>
      <c r="J1763">
        <v>22.84</v>
      </c>
      <c r="K1763">
        <v>8.18</v>
      </c>
      <c r="L1763" t="s">
        <v>342</v>
      </c>
      <c r="M1763" t="s">
        <v>341</v>
      </c>
      <c r="N1763" s="5" t="s">
        <v>102</v>
      </c>
      <c r="O1763" t="s">
        <v>28</v>
      </c>
      <c r="P1763" t="s">
        <v>21</v>
      </c>
      <c r="Q1763" t="s">
        <v>37</v>
      </c>
      <c r="R1763">
        <v>0.39</v>
      </c>
      <c r="S1763" s="1">
        <v>40781</v>
      </c>
      <c r="T1763" t="str">
        <f t="shared" si="55"/>
        <v>26-Aug-2011</v>
      </c>
    </row>
    <row r="1764" spans="1:20" x14ac:dyDescent="0.3">
      <c r="A1764">
        <v>37926</v>
      </c>
      <c r="B1764" s="1">
        <v>40064</v>
      </c>
      <c r="C1764" t="s">
        <v>43</v>
      </c>
      <c r="D1764" t="str">
        <f t="shared" si="54"/>
        <v>08-Sep-2009</v>
      </c>
      <c r="E1764">
        <v>31</v>
      </c>
      <c r="F1764" s="13">
        <v>353.25</v>
      </c>
      <c r="G1764">
        <v>0.02</v>
      </c>
      <c r="H1764" t="s">
        <v>19</v>
      </c>
      <c r="I1764" s="13">
        <v>60.06</v>
      </c>
      <c r="J1764">
        <v>11.55</v>
      </c>
      <c r="K1764">
        <v>2.36</v>
      </c>
      <c r="L1764" t="s">
        <v>346</v>
      </c>
      <c r="M1764" t="s">
        <v>341</v>
      </c>
      <c r="N1764" s="5" t="s">
        <v>102</v>
      </c>
      <c r="O1764" t="s">
        <v>28</v>
      </c>
      <c r="P1764" t="s">
        <v>21</v>
      </c>
      <c r="Q1764" t="s">
        <v>50</v>
      </c>
      <c r="R1764">
        <v>0.55000000000000004</v>
      </c>
      <c r="S1764" s="1">
        <v>40066</v>
      </c>
      <c r="T1764" t="str">
        <f t="shared" si="55"/>
        <v>10-Sep-2009</v>
      </c>
    </row>
    <row r="1765" spans="1:20" x14ac:dyDescent="0.3">
      <c r="A1765">
        <v>27491</v>
      </c>
      <c r="B1765" s="1">
        <v>39912</v>
      </c>
      <c r="C1765" t="s">
        <v>31</v>
      </c>
      <c r="D1765" t="str">
        <f t="shared" si="54"/>
        <v>09-Apr-2009</v>
      </c>
      <c r="E1765">
        <v>36</v>
      </c>
      <c r="F1765" s="13">
        <v>350.71</v>
      </c>
      <c r="G1765">
        <v>0.02</v>
      </c>
      <c r="H1765" t="s">
        <v>19</v>
      </c>
      <c r="I1765" s="13">
        <v>-15.3</v>
      </c>
      <c r="J1765">
        <v>9.77</v>
      </c>
      <c r="K1765">
        <v>6.02</v>
      </c>
      <c r="L1765" t="s">
        <v>365</v>
      </c>
      <c r="M1765" t="s">
        <v>341</v>
      </c>
      <c r="N1765" s="5" t="s">
        <v>102</v>
      </c>
      <c r="O1765" t="s">
        <v>28</v>
      </c>
      <c r="P1765" t="s">
        <v>32</v>
      </c>
      <c r="Q1765" t="s">
        <v>33</v>
      </c>
      <c r="R1765">
        <v>0.48</v>
      </c>
      <c r="S1765" s="1">
        <v>39913</v>
      </c>
      <c r="T1765" t="str">
        <f t="shared" si="55"/>
        <v>10-Apr-2009</v>
      </c>
    </row>
    <row r="1766" spans="1:20" x14ac:dyDescent="0.3">
      <c r="A1766">
        <v>46884</v>
      </c>
      <c r="B1766" s="1">
        <v>39830</v>
      </c>
      <c r="C1766" t="s">
        <v>38</v>
      </c>
      <c r="D1766" t="str">
        <f t="shared" si="54"/>
        <v>17-Jan-2009</v>
      </c>
      <c r="E1766">
        <v>3</v>
      </c>
      <c r="F1766" s="13">
        <v>337.33949999999999</v>
      </c>
      <c r="G1766">
        <v>0</v>
      </c>
      <c r="H1766" t="s">
        <v>19</v>
      </c>
      <c r="I1766" s="13">
        <v>-509.94</v>
      </c>
      <c r="J1766">
        <v>125.99</v>
      </c>
      <c r="K1766">
        <v>2.5</v>
      </c>
      <c r="L1766" t="s">
        <v>180</v>
      </c>
      <c r="M1766" t="s">
        <v>341</v>
      </c>
      <c r="N1766" s="5" t="s">
        <v>102</v>
      </c>
      <c r="O1766" t="s">
        <v>28</v>
      </c>
      <c r="P1766" t="s">
        <v>29</v>
      </c>
      <c r="Q1766" t="s">
        <v>30</v>
      </c>
      <c r="R1766">
        <v>0.59</v>
      </c>
      <c r="S1766" s="1">
        <v>39832</v>
      </c>
      <c r="T1766" t="str">
        <f t="shared" si="55"/>
        <v>19-Jan-2009</v>
      </c>
    </row>
    <row r="1767" spans="1:20" x14ac:dyDescent="0.3">
      <c r="A1767">
        <v>25926</v>
      </c>
      <c r="B1767" s="1">
        <v>40137</v>
      </c>
      <c r="C1767" t="s">
        <v>23</v>
      </c>
      <c r="D1767" t="str">
        <f t="shared" si="54"/>
        <v>20-Nov-2009</v>
      </c>
      <c r="E1767">
        <v>23</v>
      </c>
      <c r="F1767" s="13">
        <v>331.54</v>
      </c>
      <c r="G1767">
        <v>0.05</v>
      </c>
      <c r="H1767" t="s">
        <v>19</v>
      </c>
      <c r="I1767" s="13">
        <v>9.41</v>
      </c>
      <c r="J1767">
        <v>14.27</v>
      </c>
      <c r="K1767">
        <v>7.27</v>
      </c>
      <c r="L1767" t="s">
        <v>348</v>
      </c>
      <c r="M1767" t="s">
        <v>341</v>
      </c>
      <c r="N1767" s="5" t="s">
        <v>102</v>
      </c>
      <c r="O1767" t="s">
        <v>28</v>
      </c>
      <c r="P1767" t="s">
        <v>21</v>
      </c>
      <c r="Q1767" t="s">
        <v>26</v>
      </c>
      <c r="R1767">
        <v>0.38</v>
      </c>
      <c r="S1767" s="1">
        <v>40139</v>
      </c>
      <c r="T1767" t="str">
        <f t="shared" si="55"/>
        <v>22-Nov-2009</v>
      </c>
    </row>
    <row r="1768" spans="1:20" x14ac:dyDescent="0.3">
      <c r="A1768">
        <v>50145</v>
      </c>
      <c r="B1768" s="1">
        <v>40600</v>
      </c>
      <c r="C1768" t="s">
        <v>23</v>
      </c>
      <c r="D1768" t="str">
        <f t="shared" si="54"/>
        <v>26-Feb-2011</v>
      </c>
      <c r="E1768">
        <v>18</v>
      </c>
      <c r="F1768" s="13">
        <v>325.58</v>
      </c>
      <c r="G1768">
        <v>0.06</v>
      </c>
      <c r="H1768" t="s">
        <v>19</v>
      </c>
      <c r="I1768" s="13">
        <v>152.28</v>
      </c>
      <c r="J1768">
        <v>18.84</v>
      </c>
      <c r="K1768">
        <v>3.62</v>
      </c>
      <c r="L1768" t="s">
        <v>362</v>
      </c>
      <c r="M1768" t="s">
        <v>341</v>
      </c>
      <c r="N1768" s="5" t="s">
        <v>102</v>
      </c>
      <c r="O1768" t="s">
        <v>28</v>
      </c>
      <c r="P1768" t="s">
        <v>32</v>
      </c>
      <c r="Q1768" t="s">
        <v>33</v>
      </c>
      <c r="R1768">
        <v>0.43</v>
      </c>
      <c r="S1768" s="1">
        <v>40601</v>
      </c>
      <c r="T1768" t="str">
        <f t="shared" si="55"/>
        <v>27-Feb-2011</v>
      </c>
    </row>
    <row r="1769" spans="1:20" x14ac:dyDescent="0.3">
      <c r="A1769">
        <v>28512</v>
      </c>
      <c r="B1769" s="1">
        <v>40295</v>
      </c>
      <c r="C1769" t="s">
        <v>38</v>
      </c>
      <c r="D1769" t="str">
        <f t="shared" si="54"/>
        <v>27-Apr-2010</v>
      </c>
      <c r="E1769">
        <v>11</v>
      </c>
      <c r="F1769" s="13">
        <v>323.91000000000003</v>
      </c>
      <c r="G1769">
        <v>0.09</v>
      </c>
      <c r="H1769" t="s">
        <v>19</v>
      </c>
      <c r="I1769" s="13">
        <v>-96.53</v>
      </c>
      <c r="J1769">
        <v>30.73</v>
      </c>
      <c r="K1769">
        <v>4</v>
      </c>
      <c r="L1769" t="s">
        <v>284</v>
      </c>
      <c r="M1769" t="s">
        <v>341</v>
      </c>
      <c r="N1769" s="5" t="s">
        <v>102</v>
      </c>
      <c r="O1769" t="s">
        <v>28</v>
      </c>
      <c r="P1769" t="s">
        <v>29</v>
      </c>
      <c r="Q1769" t="s">
        <v>41</v>
      </c>
      <c r="R1769">
        <v>0.75</v>
      </c>
      <c r="S1769" s="1">
        <v>40296</v>
      </c>
      <c r="T1769" t="str">
        <f t="shared" si="55"/>
        <v>28-Apr-2010</v>
      </c>
    </row>
    <row r="1770" spans="1:20" x14ac:dyDescent="0.3">
      <c r="A1770">
        <v>31170</v>
      </c>
      <c r="B1770" s="1">
        <v>40935</v>
      </c>
      <c r="C1770" t="s">
        <v>38</v>
      </c>
      <c r="D1770" t="str">
        <f t="shared" si="54"/>
        <v>27-Jan-2012</v>
      </c>
      <c r="E1770">
        <v>32</v>
      </c>
      <c r="F1770" s="13">
        <v>320.57</v>
      </c>
      <c r="G1770">
        <v>0.09</v>
      </c>
      <c r="H1770" t="s">
        <v>19</v>
      </c>
      <c r="I1770" s="13">
        <v>27.95</v>
      </c>
      <c r="J1770">
        <v>10.130000000000001</v>
      </c>
      <c r="K1770">
        <v>1.99</v>
      </c>
      <c r="L1770" t="s">
        <v>351</v>
      </c>
      <c r="M1770" t="s">
        <v>341</v>
      </c>
      <c r="N1770" s="5" t="s">
        <v>102</v>
      </c>
      <c r="O1770" t="s">
        <v>28</v>
      </c>
      <c r="P1770" t="s">
        <v>29</v>
      </c>
      <c r="Q1770" t="s">
        <v>41</v>
      </c>
      <c r="R1770">
        <v>0.55000000000000004</v>
      </c>
      <c r="S1770" s="1">
        <v>40937</v>
      </c>
      <c r="T1770" t="str">
        <f t="shared" si="55"/>
        <v>29-Jan-2012</v>
      </c>
    </row>
    <row r="1771" spans="1:20" x14ac:dyDescent="0.3">
      <c r="A1771">
        <v>55296</v>
      </c>
      <c r="B1771" s="1">
        <v>41200</v>
      </c>
      <c r="C1771" t="s">
        <v>18</v>
      </c>
      <c r="D1771" t="str">
        <f t="shared" si="54"/>
        <v>18-Oct-2012</v>
      </c>
      <c r="E1771">
        <v>32</v>
      </c>
      <c r="F1771" s="13">
        <v>317.06</v>
      </c>
      <c r="G1771">
        <v>0.05</v>
      </c>
      <c r="H1771" t="s">
        <v>19</v>
      </c>
      <c r="I1771" s="13">
        <v>105.47</v>
      </c>
      <c r="J1771">
        <v>10.06</v>
      </c>
      <c r="K1771">
        <v>2.06</v>
      </c>
      <c r="L1771" t="s">
        <v>185</v>
      </c>
      <c r="M1771" t="s">
        <v>341</v>
      </c>
      <c r="N1771" s="5" t="s">
        <v>102</v>
      </c>
      <c r="O1771" t="s">
        <v>28</v>
      </c>
      <c r="P1771" t="s">
        <v>21</v>
      </c>
      <c r="Q1771" t="s">
        <v>37</v>
      </c>
      <c r="R1771">
        <v>0.39</v>
      </c>
      <c r="S1771" s="1">
        <v>41204</v>
      </c>
      <c r="T1771" t="str">
        <f t="shared" si="55"/>
        <v>22-Oct-2012</v>
      </c>
    </row>
    <row r="1772" spans="1:20" x14ac:dyDescent="0.3">
      <c r="A1772">
        <v>4737</v>
      </c>
      <c r="B1772" s="1">
        <v>40247</v>
      </c>
      <c r="C1772" t="s">
        <v>31</v>
      </c>
      <c r="D1772" t="str">
        <f t="shared" si="54"/>
        <v>10-Mar-2010</v>
      </c>
      <c r="E1772">
        <v>49</v>
      </c>
      <c r="F1772" s="13">
        <v>314.20999999999998</v>
      </c>
      <c r="G1772">
        <v>0</v>
      </c>
      <c r="H1772" t="s">
        <v>19</v>
      </c>
      <c r="I1772" s="13">
        <v>49.77</v>
      </c>
      <c r="J1772">
        <v>5.88</v>
      </c>
      <c r="K1772">
        <v>3.04</v>
      </c>
      <c r="L1772" t="s">
        <v>365</v>
      </c>
      <c r="M1772" t="s">
        <v>341</v>
      </c>
      <c r="N1772" s="5" t="s">
        <v>102</v>
      </c>
      <c r="O1772" t="s">
        <v>28</v>
      </c>
      <c r="P1772" t="s">
        <v>21</v>
      </c>
      <c r="Q1772" t="s">
        <v>37</v>
      </c>
      <c r="R1772">
        <v>0.36</v>
      </c>
      <c r="S1772" s="1">
        <v>40248</v>
      </c>
      <c r="T1772" t="str">
        <f t="shared" si="55"/>
        <v>11-Mar-2010</v>
      </c>
    </row>
    <row r="1773" spans="1:20" x14ac:dyDescent="0.3">
      <c r="A1773">
        <v>51201</v>
      </c>
      <c r="B1773" s="1">
        <v>40893</v>
      </c>
      <c r="C1773" t="s">
        <v>23</v>
      </c>
      <c r="D1773" t="str">
        <f t="shared" si="54"/>
        <v>16-Dec-2011</v>
      </c>
      <c r="E1773">
        <v>42</v>
      </c>
      <c r="F1773" s="13">
        <v>312.05</v>
      </c>
      <c r="G1773">
        <v>0.04</v>
      </c>
      <c r="H1773" t="s">
        <v>19</v>
      </c>
      <c r="I1773" s="13">
        <v>-342.38</v>
      </c>
      <c r="J1773">
        <v>7.38</v>
      </c>
      <c r="K1773">
        <v>11.51</v>
      </c>
      <c r="L1773" t="s">
        <v>356</v>
      </c>
      <c r="M1773" t="s">
        <v>341</v>
      </c>
      <c r="N1773" s="5" t="s">
        <v>102</v>
      </c>
      <c r="O1773" t="s">
        <v>28</v>
      </c>
      <c r="P1773" t="s">
        <v>21</v>
      </c>
      <c r="Q1773" t="s">
        <v>26</v>
      </c>
      <c r="R1773">
        <v>0.36</v>
      </c>
      <c r="S1773" s="1">
        <v>40893</v>
      </c>
      <c r="T1773" t="str">
        <f t="shared" si="55"/>
        <v>16-Dec-2011</v>
      </c>
    </row>
    <row r="1774" spans="1:20" x14ac:dyDescent="0.3">
      <c r="A1774">
        <v>21382</v>
      </c>
      <c r="B1774" s="1">
        <v>40920</v>
      </c>
      <c r="C1774" t="s">
        <v>43</v>
      </c>
      <c r="D1774" t="str">
        <f t="shared" si="54"/>
        <v>12-Jan-2012</v>
      </c>
      <c r="E1774">
        <v>11</v>
      </c>
      <c r="F1774" s="13">
        <v>312.02999999999997</v>
      </c>
      <c r="G1774">
        <v>0.08</v>
      </c>
      <c r="H1774" t="s">
        <v>19</v>
      </c>
      <c r="I1774" s="13">
        <v>-66.66</v>
      </c>
      <c r="J1774">
        <v>29.99</v>
      </c>
      <c r="K1774">
        <v>5.5</v>
      </c>
      <c r="L1774" t="s">
        <v>203</v>
      </c>
      <c r="M1774" t="s">
        <v>341</v>
      </c>
      <c r="N1774" s="5" t="s">
        <v>102</v>
      </c>
      <c r="O1774" t="s">
        <v>28</v>
      </c>
      <c r="P1774" t="s">
        <v>29</v>
      </c>
      <c r="Q1774" t="s">
        <v>41</v>
      </c>
      <c r="R1774">
        <v>0.51</v>
      </c>
      <c r="S1774" s="1">
        <v>40922</v>
      </c>
      <c r="T1774" t="str">
        <f t="shared" si="55"/>
        <v>14-Jan-2012</v>
      </c>
    </row>
    <row r="1775" spans="1:20" x14ac:dyDescent="0.3">
      <c r="A1775">
        <v>6339</v>
      </c>
      <c r="B1775" s="1">
        <v>41254</v>
      </c>
      <c r="C1775" t="s">
        <v>43</v>
      </c>
      <c r="D1775" t="str">
        <f t="shared" si="54"/>
        <v>11-Dec-2012</v>
      </c>
      <c r="E1775">
        <v>20</v>
      </c>
      <c r="F1775" s="13">
        <v>303.69</v>
      </c>
      <c r="G1775">
        <v>0.05</v>
      </c>
      <c r="H1775" t="s">
        <v>19</v>
      </c>
      <c r="I1775" s="13">
        <v>-50.84</v>
      </c>
      <c r="J1775">
        <v>14.98</v>
      </c>
      <c r="K1775">
        <v>7.69</v>
      </c>
      <c r="L1775" t="s">
        <v>356</v>
      </c>
      <c r="M1775" t="s">
        <v>341</v>
      </c>
      <c r="N1775" s="5" t="s">
        <v>102</v>
      </c>
      <c r="O1775" t="s">
        <v>28</v>
      </c>
      <c r="P1775" t="s">
        <v>21</v>
      </c>
      <c r="Q1775" t="s">
        <v>22</v>
      </c>
      <c r="R1775">
        <v>0.56999999999999995</v>
      </c>
      <c r="S1775" s="1">
        <v>41255</v>
      </c>
      <c r="T1775" t="str">
        <f t="shared" si="55"/>
        <v>12-Dec-2012</v>
      </c>
    </row>
    <row r="1776" spans="1:20" x14ac:dyDescent="0.3">
      <c r="A1776">
        <v>57280</v>
      </c>
      <c r="B1776" s="1">
        <v>40939</v>
      </c>
      <c r="C1776" t="s">
        <v>38</v>
      </c>
      <c r="D1776" t="str">
        <f t="shared" si="54"/>
        <v>31-Jan-2012</v>
      </c>
      <c r="E1776">
        <v>44</v>
      </c>
      <c r="F1776" s="13">
        <v>299.85000000000002</v>
      </c>
      <c r="G1776">
        <v>0.03</v>
      </c>
      <c r="H1776" t="s">
        <v>35</v>
      </c>
      <c r="I1776" s="13">
        <v>-260.8</v>
      </c>
      <c r="J1776">
        <v>6.48</v>
      </c>
      <c r="K1776">
        <v>10.050000000000001</v>
      </c>
      <c r="L1776" t="s">
        <v>359</v>
      </c>
      <c r="M1776" t="s">
        <v>341</v>
      </c>
      <c r="N1776" s="5" t="s">
        <v>102</v>
      </c>
      <c r="O1776" t="s">
        <v>28</v>
      </c>
      <c r="P1776" t="s">
        <v>21</v>
      </c>
      <c r="Q1776" t="s">
        <v>37</v>
      </c>
      <c r="R1776">
        <v>0.37</v>
      </c>
      <c r="S1776" s="1">
        <v>40940</v>
      </c>
      <c r="T1776" t="str">
        <f t="shared" si="55"/>
        <v>01-Feb-2012</v>
      </c>
    </row>
    <row r="1777" spans="1:20" x14ac:dyDescent="0.3">
      <c r="A1777">
        <v>22727</v>
      </c>
      <c r="B1777" s="1">
        <v>40727</v>
      </c>
      <c r="C1777" t="s">
        <v>31</v>
      </c>
      <c r="D1777" t="str">
        <f t="shared" si="54"/>
        <v>03-Jul-2011</v>
      </c>
      <c r="E1777">
        <v>45</v>
      </c>
      <c r="F1777" s="13">
        <v>296.82</v>
      </c>
      <c r="G1777">
        <v>7.0000000000000007E-2</v>
      </c>
      <c r="H1777" t="s">
        <v>19</v>
      </c>
      <c r="I1777" s="13">
        <v>-120.37</v>
      </c>
      <c r="J1777">
        <v>6.48</v>
      </c>
      <c r="K1777">
        <v>6.65</v>
      </c>
      <c r="L1777" t="s">
        <v>163</v>
      </c>
      <c r="M1777" t="s">
        <v>341</v>
      </c>
      <c r="N1777" s="5" t="s">
        <v>102</v>
      </c>
      <c r="O1777" t="s">
        <v>28</v>
      </c>
      <c r="P1777" t="s">
        <v>21</v>
      </c>
      <c r="Q1777" t="s">
        <v>37</v>
      </c>
      <c r="R1777">
        <v>0.36</v>
      </c>
      <c r="S1777" s="1">
        <v>40727</v>
      </c>
      <c r="T1777" t="str">
        <f t="shared" si="55"/>
        <v>03-Jul-2011</v>
      </c>
    </row>
    <row r="1778" spans="1:20" x14ac:dyDescent="0.3">
      <c r="A1778">
        <v>40928</v>
      </c>
      <c r="B1778" s="1">
        <v>40068</v>
      </c>
      <c r="C1778" t="s">
        <v>18</v>
      </c>
      <c r="D1778" t="str">
        <f t="shared" si="54"/>
        <v>12-Sep-2009</v>
      </c>
      <c r="E1778">
        <v>4</v>
      </c>
      <c r="F1778" s="13">
        <v>292.34050000000002</v>
      </c>
      <c r="G1778">
        <v>0.01</v>
      </c>
      <c r="H1778" t="s">
        <v>19</v>
      </c>
      <c r="I1778" s="13">
        <v>-420.59</v>
      </c>
      <c r="J1778">
        <v>85.99</v>
      </c>
      <c r="K1778">
        <v>0.99</v>
      </c>
      <c r="L1778" t="s">
        <v>327</v>
      </c>
      <c r="M1778" t="s">
        <v>341</v>
      </c>
      <c r="N1778" s="5" t="s">
        <v>102</v>
      </c>
      <c r="O1778" t="s">
        <v>28</v>
      </c>
      <c r="P1778" t="s">
        <v>29</v>
      </c>
      <c r="Q1778" t="s">
        <v>30</v>
      </c>
      <c r="R1778">
        <v>0.85</v>
      </c>
      <c r="S1778" s="1">
        <v>40073</v>
      </c>
      <c r="T1778" t="str">
        <f t="shared" si="55"/>
        <v>17-Sep-2009</v>
      </c>
    </row>
    <row r="1779" spans="1:20" x14ac:dyDescent="0.3">
      <c r="A1779">
        <v>49319</v>
      </c>
      <c r="B1779" s="1">
        <v>40780</v>
      </c>
      <c r="C1779" t="s">
        <v>18</v>
      </c>
      <c r="D1779" t="str">
        <f t="shared" si="54"/>
        <v>25-Aug-2011</v>
      </c>
      <c r="E1779">
        <v>40</v>
      </c>
      <c r="F1779" s="13">
        <v>289.19</v>
      </c>
      <c r="G1779">
        <v>0.01</v>
      </c>
      <c r="H1779" t="s">
        <v>19</v>
      </c>
      <c r="I1779" s="13">
        <v>-69.03</v>
      </c>
      <c r="J1779">
        <v>6.68</v>
      </c>
      <c r="K1779">
        <v>6.15</v>
      </c>
      <c r="L1779" t="s">
        <v>354</v>
      </c>
      <c r="M1779" t="s">
        <v>341</v>
      </c>
      <c r="N1779" s="5" t="s">
        <v>102</v>
      </c>
      <c r="O1779" t="s">
        <v>28</v>
      </c>
      <c r="P1779" t="s">
        <v>21</v>
      </c>
      <c r="Q1779" t="s">
        <v>37</v>
      </c>
      <c r="R1779">
        <v>0.37</v>
      </c>
      <c r="S1779" s="1">
        <v>40782</v>
      </c>
      <c r="T1779" t="str">
        <f t="shared" si="55"/>
        <v>27-Aug-2011</v>
      </c>
    </row>
    <row r="1780" spans="1:20" x14ac:dyDescent="0.3">
      <c r="A1780">
        <v>3554</v>
      </c>
      <c r="B1780" s="1">
        <v>40710</v>
      </c>
      <c r="C1780" t="s">
        <v>18</v>
      </c>
      <c r="D1780" t="str">
        <f t="shared" si="54"/>
        <v>16-Jun-2011</v>
      </c>
      <c r="E1780">
        <v>25</v>
      </c>
      <c r="F1780" s="13">
        <v>288.91000000000003</v>
      </c>
      <c r="G1780">
        <v>0.08</v>
      </c>
      <c r="H1780" t="s">
        <v>19</v>
      </c>
      <c r="I1780" s="13">
        <v>-14.06</v>
      </c>
      <c r="J1780">
        <v>12.28</v>
      </c>
      <c r="K1780">
        <v>6.47</v>
      </c>
      <c r="L1780" t="s">
        <v>146</v>
      </c>
      <c r="M1780" t="s">
        <v>341</v>
      </c>
      <c r="N1780" s="5" t="s">
        <v>102</v>
      </c>
      <c r="O1780" t="s">
        <v>28</v>
      </c>
      <c r="P1780" t="s">
        <v>21</v>
      </c>
      <c r="Q1780" t="s">
        <v>37</v>
      </c>
      <c r="R1780">
        <v>0.38</v>
      </c>
      <c r="S1780" s="1">
        <v>40719</v>
      </c>
      <c r="T1780" t="str">
        <f t="shared" si="55"/>
        <v>25-Jun-2011</v>
      </c>
    </row>
    <row r="1781" spans="1:20" x14ac:dyDescent="0.3">
      <c r="A1781">
        <v>42631</v>
      </c>
      <c r="B1781" s="1">
        <v>39942</v>
      </c>
      <c r="C1781" t="s">
        <v>23</v>
      </c>
      <c r="D1781" t="str">
        <f t="shared" si="54"/>
        <v>09-May-2009</v>
      </c>
      <c r="E1781">
        <v>44</v>
      </c>
      <c r="F1781" s="13">
        <v>287.22000000000003</v>
      </c>
      <c r="G1781">
        <v>0.06</v>
      </c>
      <c r="H1781" t="s">
        <v>19</v>
      </c>
      <c r="I1781" s="13">
        <v>-72.930000000000007</v>
      </c>
      <c r="J1781">
        <v>6.68</v>
      </c>
      <c r="K1781">
        <v>5.41</v>
      </c>
      <c r="L1781" t="s">
        <v>81</v>
      </c>
      <c r="M1781" t="s">
        <v>341</v>
      </c>
      <c r="N1781" s="5" t="s">
        <v>102</v>
      </c>
      <c r="O1781" t="s">
        <v>28</v>
      </c>
      <c r="P1781" t="s">
        <v>21</v>
      </c>
      <c r="Q1781" t="s">
        <v>37</v>
      </c>
      <c r="R1781">
        <v>0.37</v>
      </c>
      <c r="S1781" s="1">
        <v>39943</v>
      </c>
      <c r="T1781" t="str">
        <f t="shared" si="55"/>
        <v>10-May-2009</v>
      </c>
    </row>
    <row r="1782" spans="1:20" x14ac:dyDescent="0.3">
      <c r="A1782">
        <v>59776</v>
      </c>
      <c r="B1782" s="1">
        <v>39881</v>
      </c>
      <c r="C1782" t="s">
        <v>18</v>
      </c>
      <c r="D1782" t="str">
        <f t="shared" si="54"/>
        <v>09-Mar-2009</v>
      </c>
      <c r="E1782">
        <v>35</v>
      </c>
      <c r="F1782" s="13">
        <v>285.01</v>
      </c>
      <c r="G1782">
        <v>0.01</v>
      </c>
      <c r="H1782" t="s">
        <v>35</v>
      </c>
      <c r="I1782" s="13">
        <v>124.82</v>
      </c>
      <c r="J1782">
        <v>7.64</v>
      </c>
      <c r="K1782">
        <v>1.39</v>
      </c>
      <c r="L1782" t="s">
        <v>357</v>
      </c>
      <c r="M1782" t="s">
        <v>341</v>
      </c>
      <c r="N1782" s="5" t="s">
        <v>102</v>
      </c>
      <c r="O1782" t="s">
        <v>28</v>
      </c>
      <c r="P1782" t="s">
        <v>21</v>
      </c>
      <c r="Q1782" t="s">
        <v>42</v>
      </c>
      <c r="R1782">
        <v>0.36</v>
      </c>
      <c r="S1782" s="1">
        <v>39885</v>
      </c>
      <c r="T1782" t="str">
        <f t="shared" si="55"/>
        <v>13-Mar-2009</v>
      </c>
    </row>
    <row r="1783" spans="1:20" x14ac:dyDescent="0.3">
      <c r="A1783">
        <v>44290</v>
      </c>
      <c r="B1783" s="1">
        <v>40258</v>
      </c>
      <c r="C1783" t="s">
        <v>38</v>
      </c>
      <c r="D1783" t="str">
        <f t="shared" si="54"/>
        <v>21-Mar-2010</v>
      </c>
      <c r="E1783">
        <v>28</v>
      </c>
      <c r="F1783" s="13">
        <v>281.08999999999997</v>
      </c>
      <c r="G1783">
        <v>0.01</v>
      </c>
      <c r="H1783" t="s">
        <v>19</v>
      </c>
      <c r="I1783" s="13">
        <v>-114.58</v>
      </c>
      <c r="J1783">
        <v>9.06</v>
      </c>
      <c r="K1783">
        <v>9.86</v>
      </c>
      <c r="L1783" t="s">
        <v>340</v>
      </c>
      <c r="M1783" t="s">
        <v>341</v>
      </c>
      <c r="N1783" s="5" t="s">
        <v>102</v>
      </c>
      <c r="O1783" t="s">
        <v>28</v>
      </c>
      <c r="P1783" t="s">
        <v>21</v>
      </c>
      <c r="Q1783" t="s">
        <v>37</v>
      </c>
      <c r="R1783">
        <v>0.4</v>
      </c>
      <c r="S1783" s="1">
        <v>40260</v>
      </c>
      <c r="T1783" t="str">
        <f t="shared" si="55"/>
        <v>23-Mar-2010</v>
      </c>
    </row>
    <row r="1784" spans="1:20" x14ac:dyDescent="0.3">
      <c r="A1784">
        <v>51266</v>
      </c>
      <c r="B1784" s="1">
        <v>39897</v>
      </c>
      <c r="C1784" t="s">
        <v>31</v>
      </c>
      <c r="D1784" t="str">
        <f t="shared" si="54"/>
        <v>25-Mar-2009</v>
      </c>
      <c r="E1784">
        <v>23</v>
      </c>
      <c r="F1784" s="13">
        <v>278.83</v>
      </c>
      <c r="G1784">
        <v>0.03</v>
      </c>
      <c r="H1784" t="s">
        <v>19</v>
      </c>
      <c r="I1784" s="13">
        <v>35.159999999999997</v>
      </c>
      <c r="J1784">
        <v>12.28</v>
      </c>
      <c r="K1784">
        <v>4.8600000000000003</v>
      </c>
      <c r="L1784" t="s">
        <v>362</v>
      </c>
      <c r="M1784" t="s">
        <v>341</v>
      </c>
      <c r="N1784" s="5" t="s">
        <v>102</v>
      </c>
      <c r="O1784" t="s">
        <v>28</v>
      </c>
      <c r="P1784" t="s">
        <v>21</v>
      </c>
      <c r="Q1784" t="s">
        <v>37</v>
      </c>
      <c r="R1784">
        <v>0.38</v>
      </c>
      <c r="S1784" s="1">
        <v>39898</v>
      </c>
      <c r="T1784" t="str">
        <f t="shared" si="55"/>
        <v>26-Mar-2009</v>
      </c>
    </row>
    <row r="1785" spans="1:20" x14ac:dyDescent="0.3">
      <c r="A1785">
        <v>58784</v>
      </c>
      <c r="B1785" s="1">
        <v>39831</v>
      </c>
      <c r="C1785" t="s">
        <v>38</v>
      </c>
      <c r="D1785" t="str">
        <f t="shared" si="54"/>
        <v>18-Jan-2009</v>
      </c>
      <c r="E1785">
        <v>17</v>
      </c>
      <c r="F1785" s="13">
        <v>278.76</v>
      </c>
      <c r="G1785">
        <v>0.02</v>
      </c>
      <c r="H1785" t="s">
        <v>19</v>
      </c>
      <c r="I1785" s="13">
        <v>-210.09</v>
      </c>
      <c r="J1785">
        <v>15.51</v>
      </c>
      <c r="K1785">
        <v>17.78</v>
      </c>
      <c r="L1785" t="s">
        <v>308</v>
      </c>
      <c r="M1785" t="s">
        <v>341</v>
      </c>
      <c r="N1785" s="5" t="s">
        <v>102</v>
      </c>
      <c r="O1785" t="s">
        <v>28</v>
      </c>
      <c r="P1785" t="s">
        <v>21</v>
      </c>
      <c r="Q1785" t="s">
        <v>22</v>
      </c>
      <c r="R1785">
        <v>0.59</v>
      </c>
      <c r="S1785" s="1">
        <v>39832</v>
      </c>
      <c r="T1785" t="str">
        <f t="shared" si="55"/>
        <v>19-Jan-2009</v>
      </c>
    </row>
    <row r="1786" spans="1:20" x14ac:dyDescent="0.3">
      <c r="A1786">
        <v>49346</v>
      </c>
      <c r="B1786" s="1">
        <v>40668</v>
      </c>
      <c r="C1786" t="s">
        <v>31</v>
      </c>
      <c r="D1786" t="str">
        <f t="shared" si="54"/>
        <v>05-May-2011</v>
      </c>
      <c r="E1786">
        <v>50</v>
      </c>
      <c r="F1786" s="13">
        <v>276.75</v>
      </c>
      <c r="G1786">
        <v>0.04</v>
      </c>
      <c r="H1786" t="s">
        <v>19</v>
      </c>
      <c r="I1786" s="13">
        <v>-117.91</v>
      </c>
      <c r="J1786">
        <v>5.28</v>
      </c>
      <c r="K1786">
        <v>5.57</v>
      </c>
      <c r="L1786" t="s">
        <v>346</v>
      </c>
      <c r="M1786" t="s">
        <v>341</v>
      </c>
      <c r="N1786" s="5" t="s">
        <v>102</v>
      </c>
      <c r="O1786" t="s">
        <v>28</v>
      </c>
      <c r="P1786" t="s">
        <v>21</v>
      </c>
      <c r="Q1786" t="s">
        <v>37</v>
      </c>
      <c r="R1786">
        <v>0.4</v>
      </c>
      <c r="S1786" s="1">
        <v>40669</v>
      </c>
      <c r="T1786" t="str">
        <f t="shared" si="55"/>
        <v>06-May-2011</v>
      </c>
    </row>
    <row r="1787" spans="1:20" x14ac:dyDescent="0.3">
      <c r="A1787">
        <v>44290</v>
      </c>
      <c r="B1787" s="1">
        <v>40258</v>
      </c>
      <c r="C1787" t="s">
        <v>38</v>
      </c>
      <c r="D1787" t="str">
        <f t="shared" si="54"/>
        <v>21-Mar-2010</v>
      </c>
      <c r="E1787">
        <v>41</v>
      </c>
      <c r="F1787" s="13">
        <v>276.64999999999998</v>
      </c>
      <c r="G1787">
        <v>0.02</v>
      </c>
      <c r="H1787" t="s">
        <v>19</v>
      </c>
      <c r="I1787" s="13">
        <v>-75.28</v>
      </c>
      <c r="J1787">
        <v>6.48</v>
      </c>
      <c r="K1787">
        <v>5.87</v>
      </c>
      <c r="L1787" t="s">
        <v>340</v>
      </c>
      <c r="M1787" t="s">
        <v>341</v>
      </c>
      <c r="N1787" s="5" t="s">
        <v>102</v>
      </c>
      <c r="O1787" t="s">
        <v>28</v>
      </c>
      <c r="P1787" t="s">
        <v>21</v>
      </c>
      <c r="Q1787" t="s">
        <v>37</v>
      </c>
      <c r="R1787">
        <v>0.37</v>
      </c>
      <c r="S1787" s="1">
        <v>40260</v>
      </c>
      <c r="T1787" t="str">
        <f t="shared" si="55"/>
        <v>23-Mar-2010</v>
      </c>
    </row>
    <row r="1788" spans="1:20" x14ac:dyDescent="0.3">
      <c r="A1788">
        <v>30657</v>
      </c>
      <c r="B1788" s="1">
        <v>40673</v>
      </c>
      <c r="C1788" t="s">
        <v>23</v>
      </c>
      <c r="D1788" t="str">
        <f t="shared" si="54"/>
        <v>10-May-2011</v>
      </c>
      <c r="E1788">
        <v>6</v>
      </c>
      <c r="F1788" s="13">
        <v>273.38</v>
      </c>
      <c r="G1788">
        <v>0.06</v>
      </c>
      <c r="H1788" t="s">
        <v>35</v>
      </c>
      <c r="I1788" s="13">
        <v>-170.91</v>
      </c>
      <c r="J1788">
        <v>43.22</v>
      </c>
      <c r="K1788">
        <v>16.71</v>
      </c>
      <c r="L1788" t="s">
        <v>361</v>
      </c>
      <c r="M1788" t="s">
        <v>341</v>
      </c>
      <c r="N1788" s="5" t="s">
        <v>102</v>
      </c>
      <c r="O1788" t="s">
        <v>28</v>
      </c>
      <c r="P1788" t="s">
        <v>29</v>
      </c>
      <c r="Q1788" t="s">
        <v>41</v>
      </c>
      <c r="R1788">
        <v>0.66</v>
      </c>
      <c r="S1788" s="1">
        <v>40674</v>
      </c>
      <c r="T1788" t="str">
        <f t="shared" si="55"/>
        <v>11-May-2011</v>
      </c>
    </row>
    <row r="1789" spans="1:20" x14ac:dyDescent="0.3">
      <c r="A1789">
        <v>45825</v>
      </c>
      <c r="B1789" s="1">
        <v>41189</v>
      </c>
      <c r="C1789" t="s">
        <v>38</v>
      </c>
      <c r="D1789" t="str">
        <f t="shared" si="54"/>
        <v>07-Oct-2012</v>
      </c>
      <c r="E1789">
        <v>43</v>
      </c>
      <c r="F1789" s="13">
        <v>272.63</v>
      </c>
      <c r="G1789">
        <v>0.04</v>
      </c>
      <c r="H1789" t="s">
        <v>19</v>
      </c>
      <c r="I1789" s="13">
        <v>-64.45</v>
      </c>
      <c r="J1789">
        <v>6.48</v>
      </c>
      <c r="K1789">
        <v>5.14</v>
      </c>
      <c r="L1789" t="s">
        <v>123</v>
      </c>
      <c r="M1789" t="s">
        <v>341</v>
      </c>
      <c r="N1789" s="5" t="s">
        <v>102</v>
      </c>
      <c r="O1789" t="s">
        <v>28</v>
      </c>
      <c r="P1789" t="s">
        <v>21</v>
      </c>
      <c r="Q1789" t="s">
        <v>37</v>
      </c>
      <c r="R1789">
        <v>0.37</v>
      </c>
      <c r="S1789" s="1">
        <v>41189</v>
      </c>
      <c r="T1789" t="str">
        <f t="shared" si="55"/>
        <v>07-Oct-2012</v>
      </c>
    </row>
    <row r="1790" spans="1:20" x14ac:dyDescent="0.3">
      <c r="A1790">
        <v>19974</v>
      </c>
      <c r="B1790" s="1">
        <v>40485</v>
      </c>
      <c r="C1790" t="s">
        <v>23</v>
      </c>
      <c r="D1790" t="str">
        <f t="shared" si="54"/>
        <v>03-Nov-2010</v>
      </c>
      <c r="E1790">
        <v>22</v>
      </c>
      <c r="F1790" s="13">
        <v>267.43</v>
      </c>
      <c r="G1790">
        <v>7.0000000000000007E-2</v>
      </c>
      <c r="H1790" t="s">
        <v>19</v>
      </c>
      <c r="I1790" s="13">
        <v>-45.98</v>
      </c>
      <c r="J1790">
        <v>12.28</v>
      </c>
      <c r="K1790">
        <v>6.13</v>
      </c>
      <c r="L1790" t="s">
        <v>173</v>
      </c>
      <c r="M1790" t="s">
        <v>341</v>
      </c>
      <c r="N1790" s="5" t="s">
        <v>102</v>
      </c>
      <c r="O1790" t="s">
        <v>28</v>
      </c>
      <c r="P1790" t="s">
        <v>21</v>
      </c>
      <c r="Q1790" t="s">
        <v>22</v>
      </c>
      <c r="R1790">
        <v>0.56999999999999995</v>
      </c>
      <c r="S1790" s="1">
        <v>40487</v>
      </c>
      <c r="T1790" t="str">
        <f t="shared" si="55"/>
        <v>05-Nov-2010</v>
      </c>
    </row>
    <row r="1791" spans="1:20" x14ac:dyDescent="0.3">
      <c r="A1791">
        <v>31106</v>
      </c>
      <c r="B1791" s="1">
        <v>40955</v>
      </c>
      <c r="C1791" t="s">
        <v>18</v>
      </c>
      <c r="D1791" t="str">
        <f t="shared" si="54"/>
        <v>16-Feb-2012</v>
      </c>
      <c r="E1791">
        <v>45</v>
      </c>
      <c r="F1791" s="13">
        <v>259.17</v>
      </c>
      <c r="G1791">
        <v>0.01</v>
      </c>
      <c r="H1791" t="s">
        <v>19</v>
      </c>
      <c r="I1791" s="13">
        <v>-57.33</v>
      </c>
      <c r="J1791">
        <v>5.68</v>
      </c>
      <c r="K1791">
        <v>3.6</v>
      </c>
      <c r="L1791" t="s">
        <v>352</v>
      </c>
      <c r="M1791" t="s">
        <v>341</v>
      </c>
      <c r="N1791" s="5" t="s">
        <v>102</v>
      </c>
      <c r="O1791" t="s">
        <v>28</v>
      </c>
      <c r="P1791" t="s">
        <v>21</v>
      </c>
      <c r="Q1791" t="s">
        <v>67</v>
      </c>
      <c r="R1791">
        <v>0.56000000000000005</v>
      </c>
      <c r="S1791" s="1">
        <v>40957</v>
      </c>
      <c r="T1791" t="str">
        <f t="shared" si="55"/>
        <v>18-Feb-2012</v>
      </c>
    </row>
    <row r="1792" spans="1:20" x14ac:dyDescent="0.3">
      <c r="A1792">
        <v>25953</v>
      </c>
      <c r="B1792" s="1">
        <v>40083</v>
      </c>
      <c r="C1792" t="s">
        <v>43</v>
      </c>
      <c r="D1792" t="str">
        <f t="shared" si="54"/>
        <v>27-Sep-2009</v>
      </c>
      <c r="E1792">
        <v>27</v>
      </c>
      <c r="F1792" s="13">
        <v>258.54000000000002</v>
      </c>
      <c r="G1792">
        <v>0.1</v>
      </c>
      <c r="H1792" t="s">
        <v>19</v>
      </c>
      <c r="I1792" s="13">
        <v>-16.3</v>
      </c>
      <c r="J1792">
        <v>9.85</v>
      </c>
      <c r="K1792">
        <v>4.82</v>
      </c>
      <c r="L1792" t="s">
        <v>358</v>
      </c>
      <c r="M1792" t="s">
        <v>341</v>
      </c>
      <c r="N1792" s="5" t="s">
        <v>102</v>
      </c>
      <c r="O1792" t="s">
        <v>28</v>
      </c>
      <c r="P1792" t="s">
        <v>21</v>
      </c>
      <c r="Q1792" t="s">
        <v>50</v>
      </c>
      <c r="R1792">
        <v>0.47</v>
      </c>
      <c r="S1792" s="1">
        <v>40084</v>
      </c>
      <c r="T1792" t="str">
        <f t="shared" si="55"/>
        <v>28-Sep-2009</v>
      </c>
    </row>
    <row r="1793" spans="1:20" x14ac:dyDescent="0.3">
      <c r="A1793">
        <v>42631</v>
      </c>
      <c r="B1793" s="1">
        <v>39942</v>
      </c>
      <c r="C1793" t="s">
        <v>23</v>
      </c>
      <c r="D1793" t="str">
        <f t="shared" si="54"/>
        <v>09-May-2009</v>
      </c>
      <c r="E1793">
        <v>41</v>
      </c>
      <c r="F1793" s="13">
        <v>257.66000000000003</v>
      </c>
      <c r="G1793">
        <v>0.05</v>
      </c>
      <c r="H1793" t="s">
        <v>19</v>
      </c>
      <c r="I1793" s="13">
        <v>-69.23</v>
      </c>
      <c r="J1793">
        <v>6.48</v>
      </c>
      <c r="K1793">
        <v>2.74</v>
      </c>
      <c r="L1793" t="s">
        <v>81</v>
      </c>
      <c r="M1793" t="s">
        <v>341</v>
      </c>
      <c r="N1793" s="5" t="s">
        <v>102</v>
      </c>
      <c r="O1793" t="s">
        <v>28</v>
      </c>
      <c r="P1793" t="s">
        <v>29</v>
      </c>
      <c r="Q1793" t="s">
        <v>41</v>
      </c>
      <c r="R1793">
        <v>0.71</v>
      </c>
      <c r="S1793" s="1">
        <v>39942</v>
      </c>
      <c r="T1793" t="str">
        <f t="shared" si="55"/>
        <v>09-May-2009</v>
      </c>
    </row>
    <row r="1794" spans="1:20" x14ac:dyDescent="0.3">
      <c r="A1794">
        <v>3783</v>
      </c>
      <c r="B1794" s="1">
        <v>40517</v>
      </c>
      <c r="C1794" t="s">
        <v>31</v>
      </c>
      <c r="D1794" t="str">
        <f t="shared" ref="D1794:D1857" si="56">TEXT(B1794, "dd-mmm-yyyy" )</f>
        <v>05-Dec-2010</v>
      </c>
      <c r="E1794">
        <v>40</v>
      </c>
      <c r="F1794" s="13">
        <v>257.43</v>
      </c>
      <c r="G1794">
        <v>0.05</v>
      </c>
      <c r="H1794" t="s">
        <v>19</v>
      </c>
      <c r="I1794" s="13">
        <v>-200.63</v>
      </c>
      <c r="J1794">
        <v>6.48</v>
      </c>
      <c r="K1794">
        <v>8.73</v>
      </c>
      <c r="L1794" t="s">
        <v>356</v>
      </c>
      <c r="M1794" t="s">
        <v>341</v>
      </c>
      <c r="N1794" s="5" t="s">
        <v>102</v>
      </c>
      <c r="O1794" t="s">
        <v>28</v>
      </c>
      <c r="P1794" t="s">
        <v>21</v>
      </c>
      <c r="Q1794" t="s">
        <v>37</v>
      </c>
      <c r="R1794">
        <v>0.37</v>
      </c>
      <c r="S1794" s="1">
        <v>40519</v>
      </c>
      <c r="T1794" t="str">
        <f t="shared" ref="T1794:T1857" si="57">TEXT(S1794, "dd-mmm-yyyy")</f>
        <v>07-Dec-2010</v>
      </c>
    </row>
    <row r="1795" spans="1:20" x14ac:dyDescent="0.3">
      <c r="A1795">
        <v>57095</v>
      </c>
      <c r="B1795" s="1">
        <v>40625</v>
      </c>
      <c r="C1795" t="s">
        <v>38</v>
      </c>
      <c r="D1795" t="str">
        <f t="shared" si="56"/>
        <v>23-Mar-2011</v>
      </c>
      <c r="E1795">
        <v>37</v>
      </c>
      <c r="F1795" s="13">
        <v>254.93</v>
      </c>
      <c r="G1795">
        <v>0.01</v>
      </c>
      <c r="H1795" t="s">
        <v>19</v>
      </c>
      <c r="I1795" s="13">
        <v>-62.88</v>
      </c>
      <c r="J1795">
        <v>6.81</v>
      </c>
      <c r="K1795">
        <v>5.48</v>
      </c>
      <c r="L1795" t="s">
        <v>180</v>
      </c>
      <c r="M1795" t="s">
        <v>341</v>
      </c>
      <c r="N1795" s="5" t="s">
        <v>102</v>
      </c>
      <c r="O1795" t="s">
        <v>28</v>
      </c>
      <c r="P1795" t="s">
        <v>21</v>
      </c>
      <c r="Q1795" t="s">
        <v>26</v>
      </c>
      <c r="R1795">
        <v>0.37</v>
      </c>
      <c r="S1795" s="1">
        <v>40628</v>
      </c>
      <c r="T1795" t="str">
        <f t="shared" si="57"/>
        <v>26-Mar-2011</v>
      </c>
    </row>
    <row r="1796" spans="1:20" x14ac:dyDescent="0.3">
      <c r="A1796">
        <v>48391</v>
      </c>
      <c r="B1796" s="1">
        <v>40480</v>
      </c>
      <c r="C1796" t="s">
        <v>31</v>
      </c>
      <c r="D1796" t="str">
        <f t="shared" si="56"/>
        <v>29-Oct-2010</v>
      </c>
      <c r="E1796">
        <v>45</v>
      </c>
      <c r="F1796" s="13">
        <v>254.92</v>
      </c>
      <c r="G1796">
        <v>0.1</v>
      </c>
      <c r="H1796" t="s">
        <v>19</v>
      </c>
      <c r="I1796" s="13">
        <v>-99.62</v>
      </c>
      <c r="J1796">
        <v>5.98</v>
      </c>
      <c r="K1796">
        <v>5.46</v>
      </c>
      <c r="L1796" t="s">
        <v>352</v>
      </c>
      <c r="M1796" t="s">
        <v>341</v>
      </c>
      <c r="N1796" s="5" t="s">
        <v>102</v>
      </c>
      <c r="O1796" t="s">
        <v>28</v>
      </c>
      <c r="P1796" t="s">
        <v>21</v>
      </c>
      <c r="Q1796" t="s">
        <v>37</v>
      </c>
      <c r="R1796">
        <v>0.36</v>
      </c>
      <c r="S1796" s="1">
        <v>40481</v>
      </c>
      <c r="T1796" t="str">
        <f t="shared" si="57"/>
        <v>30-Oct-2010</v>
      </c>
    </row>
    <row r="1797" spans="1:20" x14ac:dyDescent="0.3">
      <c r="A1797">
        <v>5575</v>
      </c>
      <c r="B1797" s="1">
        <v>40747</v>
      </c>
      <c r="C1797" t="s">
        <v>18</v>
      </c>
      <c r="D1797" t="str">
        <f t="shared" si="56"/>
        <v>23-Jul-2011</v>
      </c>
      <c r="E1797">
        <v>41</v>
      </c>
      <c r="F1797" s="13">
        <v>254.69</v>
      </c>
      <c r="G1797">
        <v>0.06</v>
      </c>
      <c r="H1797" t="s">
        <v>19</v>
      </c>
      <c r="I1797" s="13">
        <v>-269.37</v>
      </c>
      <c r="J1797">
        <v>5.98</v>
      </c>
      <c r="K1797">
        <v>10.39</v>
      </c>
      <c r="L1797" t="s">
        <v>346</v>
      </c>
      <c r="M1797" t="s">
        <v>341</v>
      </c>
      <c r="N1797" s="5" t="s">
        <v>102</v>
      </c>
      <c r="O1797" t="s">
        <v>28</v>
      </c>
      <c r="P1797" t="s">
        <v>21</v>
      </c>
      <c r="Q1797" t="s">
        <v>37</v>
      </c>
      <c r="R1797">
        <v>0.4</v>
      </c>
      <c r="S1797" s="1">
        <v>40747</v>
      </c>
      <c r="T1797" t="str">
        <f t="shared" si="57"/>
        <v>23-Jul-2011</v>
      </c>
    </row>
    <row r="1798" spans="1:20" x14ac:dyDescent="0.3">
      <c r="A1798">
        <v>47524</v>
      </c>
      <c r="B1798" s="1">
        <v>40283</v>
      </c>
      <c r="C1798" t="s">
        <v>38</v>
      </c>
      <c r="D1798" t="str">
        <f t="shared" si="56"/>
        <v>15-Apr-2010</v>
      </c>
      <c r="E1798">
        <v>40</v>
      </c>
      <c r="F1798" s="13">
        <v>245.82</v>
      </c>
      <c r="G1798">
        <v>0.08</v>
      </c>
      <c r="H1798" t="s">
        <v>19</v>
      </c>
      <c r="I1798" s="13">
        <v>86.44</v>
      </c>
      <c r="J1798">
        <v>6.45</v>
      </c>
      <c r="K1798">
        <v>1.34</v>
      </c>
      <c r="L1798" t="s">
        <v>81</v>
      </c>
      <c r="M1798" t="s">
        <v>341</v>
      </c>
      <c r="N1798" s="5" t="s">
        <v>102</v>
      </c>
      <c r="O1798" t="s">
        <v>28</v>
      </c>
      <c r="P1798" t="s">
        <v>21</v>
      </c>
      <c r="Q1798" t="s">
        <v>37</v>
      </c>
      <c r="R1798">
        <v>0.36</v>
      </c>
      <c r="S1798" s="1">
        <v>40283</v>
      </c>
      <c r="T1798" t="str">
        <f t="shared" si="57"/>
        <v>15-Apr-2010</v>
      </c>
    </row>
    <row r="1799" spans="1:20" x14ac:dyDescent="0.3">
      <c r="A1799">
        <v>18307</v>
      </c>
      <c r="B1799" s="1">
        <v>40211</v>
      </c>
      <c r="C1799" t="s">
        <v>18</v>
      </c>
      <c r="D1799" t="str">
        <f t="shared" si="56"/>
        <v>02-Feb-2010</v>
      </c>
      <c r="E1799">
        <v>34</v>
      </c>
      <c r="F1799" s="13">
        <v>245.19</v>
      </c>
      <c r="G1799">
        <v>0.03</v>
      </c>
      <c r="H1799" t="s">
        <v>19</v>
      </c>
      <c r="I1799" s="13">
        <v>37.99</v>
      </c>
      <c r="J1799">
        <v>7.08</v>
      </c>
      <c r="K1799">
        <v>2.35</v>
      </c>
      <c r="L1799" t="s">
        <v>359</v>
      </c>
      <c r="M1799" t="s">
        <v>341</v>
      </c>
      <c r="N1799" s="5" t="s">
        <v>102</v>
      </c>
      <c r="O1799" t="s">
        <v>28</v>
      </c>
      <c r="P1799" t="s">
        <v>21</v>
      </c>
      <c r="Q1799" t="s">
        <v>50</v>
      </c>
      <c r="R1799">
        <v>0.47</v>
      </c>
      <c r="S1799" s="1">
        <v>40211</v>
      </c>
      <c r="T1799" t="str">
        <f t="shared" si="57"/>
        <v>02-Feb-2010</v>
      </c>
    </row>
    <row r="1800" spans="1:20" x14ac:dyDescent="0.3">
      <c r="A1800">
        <v>23363</v>
      </c>
      <c r="B1800" s="1">
        <v>41058</v>
      </c>
      <c r="C1800" t="s">
        <v>18</v>
      </c>
      <c r="D1800" t="str">
        <f t="shared" si="56"/>
        <v>29-May-2012</v>
      </c>
      <c r="E1800">
        <v>46</v>
      </c>
      <c r="F1800" s="13">
        <v>241.81</v>
      </c>
      <c r="G1800">
        <v>0.02</v>
      </c>
      <c r="H1800" t="s">
        <v>19</v>
      </c>
      <c r="I1800" s="13">
        <v>-94.83</v>
      </c>
      <c r="J1800">
        <v>4.91</v>
      </c>
      <c r="K1800">
        <v>4.97</v>
      </c>
      <c r="L1800" t="s">
        <v>367</v>
      </c>
      <c r="M1800" t="s">
        <v>341</v>
      </c>
      <c r="N1800" s="5" t="s">
        <v>102</v>
      </c>
      <c r="O1800" t="s">
        <v>28</v>
      </c>
      <c r="P1800" t="s">
        <v>21</v>
      </c>
      <c r="Q1800" t="s">
        <v>26</v>
      </c>
      <c r="R1800">
        <v>0.38</v>
      </c>
      <c r="S1800" s="1">
        <v>41065</v>
      </c>
      <c r="T1800" t="str">
        <f t="shared" si="57"/>
        <v>05-Jun-2012</v>
      </c>
    </row>
    <row r="1801" spans="1:20" x14ac:dyDescent="0.3">
      <c r="A1801">
        <v>8034</v>
      </c>
      <c r="B1801" s="1">
        <v>40927</v>
      </c>
      <c r="C1801" t="s">
        <v>23</v>
      </c>
      <c r="D1801" t="str">
        <f t="shared" si="56"/>
        <v>19-Jan-2012</v>
      </c>
      <c r="E1801">
        <v>13</v>
      </c>
      <c r="F1801" s="13">
        <v>238.43</v>
      </c>
      <c r="G1801">
        <v>0.02</v>
      </c>
      <c r="H1801" t="s">
        <v>19</v>
      </c>
      <c r="I1801" s="13">
        <v>-36.11</v>
      </c>
      <c r="J1801">
        <v>16.989999999999998</v>
      </c>
      <c r="K1801">
        <v>8.99</v>
      </c>
      <c r="L1801" t="s">
        <v>359</v>
      </c>
      <c r="M1801" t="s">
        <v>341</v>
      </c>
      <c r="N1801" s="5" t="s">
        <v>102</v>
      </c>
      <c r="O1801" t="s">
        <v>28</v>
      </c>
      <c r="P1801" t="s">
        <v>21</v>
      </c>
      <c r="Q1801" t="s">
        <v>50</v>
      </c>
      <c r="R1801">
        <v>0.56000000000000005</v>
      </c>
      <c r="S1801" s="1">
        <v>40928</v>
      </c>
      <c r="T1801" t="str">
        <f t="shared" si="57"/>
        <v>20-Jan-2012</v>
      </c>
    </row>
    <row r="1802" spans="1:20" x14ac:dyDescent="0.3">
      <c r="A1802">
        <v>27302</v>
      </c>
      <c r="B1802" s="1">
        <v>41164</v>
      </c>
      <c r="C1802" t="s">
        <v>18</v>
      </c>
      <c r="D1802" t="str">
        <f t="shared" si="56"/>
        <v>12-Sep-2012</v>
      </c>
      <c r="E1802">
        <v>16</v>
      </c>
      <c r="F1802" s="13">
        <v>237.54</v>
      </c>
      <c r="G1802">
        <v>0.04</v>
      </c>
      <c r="H1802" t="s">
        <v>19</v>
      </c>
      <c r="I1802" s="13">
        <v>29.76</v>
      </c>
      <c r="J1802">
        <v>13.79</v>
      </c>
      <c r="K1802">
        <v>8.7799999999999994</v>
      </c>
      <c r="L1802" t="s">
        <v>144</v>
      </c>
      <c r="M1802" t="s">
        <v>341</v>
      </c>
      <c r="N1802" s="5" t="s">
        <v>102</v>
      </c>
      <c r="O1802" t="s">
        <v>28</v>
      </c>
      <c r="P1802" t="s">
        <v>32</v>
      </c>
      <c r="Q1802" t="s">
        <v>33</v>
      </c>
      <c r="R1802">
        <v>0.43</v>
      </c>
      <c r="S1802" s="1">
        <v>41164</v>
      </c>
      <c r="T1802" t="str">
        <f t="shared" si="57"/>
        <v>12-Sep-2012</v>
      </c>
    </row>
    <row r="1803" spans="1:20" x14ac:dyDescent="0.3">
      <c r="A1803">
        <v>25120</v>
      </c>
      <c r="B1803" s="1">
        <v>39848</v>
      </c>
      <c r="C1803" t="s">
        <v>38</v>
      </c>
      <c r="D1803" t="str">
        <f t="shared" si="56"/>
        <v>04-Feb-2009</v>
      </c>
      <c r="E1803">
        <v>46</v>
      </c>
      <c r="F1803" s="13">
        <v>237.15</v>
      </c>
      <c r="G1803">
        <v>0</v>
      </c>
      <c r="H1803" t="s">
        <v>19</v>
      </c>
      <c r="I1803" s="13">
        <v>123.02</v>
      </c>
      <c r="J1803">
        <v>4.91</v>
      </c>
      <c r="K1803">
        <v>0.5</v>
      </c>
      <c r="L1803" t="s">
        <v>362</v>
      </c>
      <c r="M1803" t="s">
        <v>341</v>
      </c>
      <c r="N1803" s="5" t="s">
        <v>102</v>
      </c>
      <c r="O1803" t="s">
        <v>28</v>
      </c>
      <c r="P1803" t="s">
        <v>21</v>
      </c>
      <c r="Q1803" t="s">
        <v>48</v>
      </c>
      <c r="R1803">
        <v>0.36</v>
      </c>
      <c r="S1803" s="1">
        <v>39850</v>
      </c>
      <c r="T1803" t="str">
        <f t="shared" si="57"/>
        <v>06-Feb-2009</v>
      </c>
    </row>
    <row r="1804" spans="1:20" x14ac:dyDescent="0.3">
      <c r="A1804">
        <v>6501</v>
      </c>
      <c r="B1804" s="1">
        <v>40921</v>
      </c>
      <c r="C1804" t="s">
        <v>23</v>
      </c>
      <c r="D1804" t="str">
        <f t="shared" si="56"/>
        <v>13-Jan-2012</v>
      </c>
      <c r="E1804">
        <v>35</v>
      </c>
      <c r="F1804" s="13">
        <v>236.99</v>
      </c>
      <c r="G1804">
        <v>0.06</v>
      </c>
      <c r="H1804" t="s">
        <v>19</v>
      </c>
      <c r="I1804" s="13">
        <v>-95.79</v>
      </c>
      <c r="J1804">
        <v>6.48</v>
      </c>
      <c r="K1804">
        <v>6.74</v>
      </c>
      <c r="L1804" t="s">
        <v>369</v>
      </c>
      <c r="M1804" t="s">
        <v>341</v>
      </c>
      <c r="N1804" s="5" t="s">
        <v>102</v>
      </c>
      <c r="O1804" t="s">
        <v>28</v>
      </c>
      <c r="P1804" t="s">
        <v>21</v>
      </c>
      <c r="Q1804" t="s">
        <v>37</v>
      </c>
      <c r="R1804">
        <v>0.37</v>
      </c>
      <c r="S1804" s="1">
        <v>40923</v>
      </c>
      <c r="T1804" t="str">
        <f t="shared" si="57"/>
        <v>15-Jan-2012</v>
      </c>
    </row>
    <row r="1805" spans="1:20" x14ac:dyDescent="0.3">
      <c r="A1805">
        <v>130</v>
      </c>
      <c r="B1805" s="1">
        <v>41036</v>
      </c>
      <c r="C1805" t="s">
        <v>23</v>
      </c>
      <c r="D1805" t="str">
        <f t="shared" si="56"/>
        <v>07-May-2012</v>
      </c>
      <c r="E1805">
        <v>23</v>
      </c>
      <c r="F1805" s="13">
        <v>236.46</v>
      </c>
      <c r="G1805">
        <v>0.05</v>
      </c>
      <c r="H1805" t="s">
        <v>19</v>
      </c>
      <c r="I1805" s="13">
        <v>-134.31</v>
      </c>
      <c r="J1805">
        <v>9.7100000000000009</v>
      </c>
      <c r="K1805">
        <v>9.4499999999999993</v>
      </c>
      <c r="L1805" t="s">
        <v>365</v>
      </c>
      <c r="M1805" t="s">
        <v>341</v>
      </c>
      <c r="N1805" s="5" t="s">
        <v>102</v>
      </c>
      <c r="O1805" t="s">
        <v>28</v>
      </c>
      <c r="P1805" t="s">
        <v>21</v>
      </c>
      <c r="Q1805" t="s">
        <v>22</v>
      </c>
      <c r="R1805">
        <v>0.6</v>
      </c>
      <c r="S1805" s="1">
        <v>41039</v>
      </c>
      <c r="T1805" t="str">
        <f t="shared" si="57"/>
        <v>10-May-2012</v>
      </c>
    </row>
    <row r="1806" spans="1:20" x14ac:dyDescent="0.3">
      <c r="A1806">
        <v>28929</v>
      </c>
      <c r="B1806" s="1">
        <v>41191</v>
      </c>
      <c r="C1806" t="s">
        <v>38</v>
      </c>
      <c r="D1806" t="str">
        <f t="shared" si="56"/>
        <v>09-Oct-2012</v>
      </c>
      <c r="E1806">
        <v>37</v>
      </c>
      <c r="F1806" s="13">
        <v>230.97</v>
      </c>
      <c r="G1806">
        <v>0.08</v>
      </c>
      <c r="H1806" t="s">
        <v>19</v>
      </c>
      <c r="I1806" s="13">
        <v>-173.73</v>
      </c>
      <c r="J1806">
        <v>6.48</v>
      </c>
      <c r="K1806">
        <v>8.19</v>
      </c>
      <c r="L1806" t="s">
        <v>363</v>
      </c>
      <c r="M1806" t="s">
        <v>341</v>
      </c>
      <c r="N1806" s="5" t="s">
        <v>102</v>
      </c>
      <c r="O1806" t="s">
        <v>28</v>
      </c>
      <c r="P1806" t="s">
        <v>21</v>
      </c>
      <c r="Q1806" t="s">
        <v>37</v>
      </c>
      <c r="R1806">
        <v>0.37</v>
      </c>
      <c r="S1806" s="1">
        <v>41192</v>
      </c>
      <c r="T1806" t="str">
        <f t="shared" si="57"/>
        <v>10-Oct-2012</v>
      </c>
    </row>
    <row r="1807" spans="1:20" x14ac:dyDescent="0.3">
      <c r="A1807">
        <v>26084</v>
      </c>
      <c r="B1807" s="1">
        <v>41198</v>
      </c>
      <c r="C1807" t="s">
        <v>18</v>
      </c>
      <c r="D1807" t="str">
        <f t="shared" si="56"/>
        <v>16-Oct-2012</v>
      </c>
      <c r="E1807">
        <v>33</v>
      </c>
      <c r="F1807" s="13">
        <v>228.82</v>
      </c>
      <c r="G1807">
        <v>0.03</v>
      </c>
      <c r="H1807" t="s">
        <v>35</v>
      </c>
      <c r="I1807" s="13">
        <v>-107</v>
      </c>
      <c r="J1807">
        <v>6.68</v>
      </c>
      <c r="K1807">
        <v>7.3</v>
      </c>
      <c r="L1807" t="s">
        <v>327</v>
      </c>
      <c r="M1807" t="s">
        <v>341</v>
      </c>
      <c r="N1807" s="5" t="s">
        <v>102</v>
      </c>
      <c r="O1807" t="s">
        <v>28</v>
      </c>
      <c r="P1807" t="s">
        <v>21</v>
      </c>
      <c r="Q1807" t="s">
        <v>37</v>
      </c>
      <c r="R1807">
        <v>0.37</v>
      </c>
      <c r="S1807" s="1">
        <v>41203</v>
      </c>
      <c r="T1807" t="str">
        <f t="shared" si="57"/>
        <v>21-Oct-2012</v>
      </c>
    </row>
    <row r="1808" spans="1:20" x14ac:dyDescent="0.3">
      <c r="A1808">
        <v>27776</v>
      </c>
      <c r="B1808" s="1">
        <v>40302</v>
      </c>
      <c r="C1808" t="s">
        <v>18</v>
      </c>
      <c r="D1808" t="str">
        <f t="shared" si="56"/>
        <v>04-May-2010</v>
      </c>
      <c r="E1808">
        <v>41</v>
      </c>
      <c r="F1808" s="13">
        <v>226.68</v>
      </c>
      <c r="G1808">
        <v>0.04</v>
      </c>
      <c r="H1808" t="s">
        <v>35</v>
      </c>
      <c r="I1808" s="13">
        <v>-159.35</v>
      </c>
      <c r="J1808">
        <v>4.9800000000000004</v>
      </c>
      <c r="K1808">
        <v>7.28</v>
      </c>
      <c r="L1808" t="s">
        <v>123</v>
      </c>
      <c r="M1808" t="s">
        <v>341</v>
      </c>
      <c r="N1808" s="5" t="s">
        <v>102</v>
      </c>
      <c r="O1808" t="s">
        <v>28</v>
      </c>
      <c r="P1808" t="s">
        <v>21</v>
      </c>
      <c r="Q1808" t="s">
        <v>37</v>
      </c>
      <c r="R1808">
        <v>0.38</v>
      </c>
      <c r="S1808" s="1">
        <v>40306</v>
      </c>
      <c r="T1808" t="str">
        <f t="shared" si="57"/>
        <v>08-May-2010</v>
      </c>
    </row>
    <row r="1809" spans="1:20" x14ac:dyDescent="0.3">
      <c r="A1809">
        <v>12355</v>
      </c>
      <c r="B1809" s="1">
        <v>40691</v>
      </c>
      <c r="C1809" t="s">
        <v>31</v>
      </c>
      <c r="D1809" t="str">
        <f t="shared" si="56"/>
        <v>28-May-2011</v>
      </c>
      <c r="E1809">
        <v>14</v>
      </c>
      <c r="F1809" s="13">
        <v>225.47</v>
      </c>
      <c r="G1809">
        <v>0</v>
      </c>
      <c r="H1809" t="s">
        <v>19</v>
      </c>
      <c r="I1809" s="13">
        <v>-29.07</v>
      </c>
      <c r="J1809">
        <v>14.97</v>
      </c>
      <c r="K1809">
        <v>7.51</v>
      </c>
      <c r="L1809" t="s">
        <v>146</v>
      </c>
      <c r="M1809" t="s">
        <v>341</v>
      </c>
      <c r="N1809" s="5" t="s">
        <v>102</v>
      </c>
      <c r="O1809" t="s">
        <v>28</v>
      </c>
      <c r="P1809" t="s">
        <v>21</v>
      </c>
      <c r="Q1809" t="s">
        <v>22</v>
      </c>
      <c r="R1809">
        <v>0.56999999999999995</v>
      </c>
      <c r="S1809" s="1">
        <v>40692</v>
      </c>
      <c r="T1809" t="str">
        <f t="shared" si="57"/>
        <v>29-May-2011</v>
      </c>
    </row>
    <row r="1810" spans="1:20" x14ac:dyDescent="0.3">
      <c r="A1810">
        <v>53029</v>
      </c>
      <c r="B1810" s="1">
        <v>40021</v>
      </c>
      <c r="C1810" t="s">
        <v>18</v>
      </c>
      <c r="D1810" t="str">
        <f t="shared" si="56"/>
        <v>27-Jul-2009</v>
      </c>
      <c r="E1810">
        <v>39</v>
      </c>
      <c r="F1810" s="13">
        <v>223.34</v>
      </c>
      <c r="G1810">
        <v>0.1</v>
      </c>
      <c r="H1810" t="s">
        <v>19</v>
      </c>
      <c r="I1810" s="13">
        <v>95.42</v>
      </c>
      <c r="J1810">
        <v>6.3</v>
      </c>
      <c r="K1810">
        <v>0.5</v>
      </c>
      <c r="L1810" t="s">
        <v>347</v>
      </c>
      <c r="M1810" t="s">
        <v>341</v>
      </c>
      <c r="N1810" s="5" t="s">
        <v>102</v>
      </c>
      <c r="O1810" t="s">
        <v>28</v>
      </c>
      <c r="P1810" t="s">
        <v>21</v>
      </c>
      <c r="Q1810" t="s">
        <v>48</v>
      </c>
      <c r="R1810">
        <v>0.39</v>
      </c>
      <c r="S1810" s="1">
        <v>40026</v>
      </c>
      <c r="T1810" t="str">
        <f t="shared" si="57"/>
        <v>01-Aug-2009</v>
      </c>
    </row>
    <row r="1811" spans="1:20" x14ac:dyDescent="0.3">
      <c r="A1811">
        <v>29539</v>
      </c>
      <c r="B1811" s="1">
        <v>40656</v>
      </c>
      <c r="C1811" t="s">
        <v>23</v>
      </c>
      <c r="D1811" t="str">
        <f t="shared" si="56"/>
        <v>23-Apr-2011</v>
      </c>
      <c r="E1811">
        <v>24</v>
      </c>
      <c r="F1811" s="13">
        <v>223.2</v>
      </c>
      <c r="G1811">
        <v>0.1</v>
      </c>
      <c r="H1811" t="s">
        <v>19</v>
      </c>
      <c r="I1811" s="13">
        <v>78.739999999999995</v>
      </c>
      <c r="J1811">
        <v>9.7799999999999994</v>
      </c>
      <c r="K1811">
        <v>1.39</v>
      </c>
      <c r="L1811" t="s">
        <v>350</v>
      </c>
      <c r="M1811" t="s">
        <v>341</v>
      </c>
      <c r="N1811" s="5" t="s">
        <v>102</v>
      </c>
      <c r="O1811" t="s">
        <v>28</v>
      </c>
      <c r="P1811" t="s">
        <v>21</v>
      </c>
      <c r="Q1811" t="s">
        <v>42</v>
      </c>
      <c r="R1811">
        <v>0.39</v>
      </c>
      <c r="S1811" s="1">
        <v>40657</v>
      </c>
      <c r="T1811" t="str">
        <f t="shared" si="57"/>
        <v>24-Apr-2011</v>
      </c>
    </row>
    <row r="1812" spans="1:20" x14ac:dyDescent="0.3">
      <c r="A1812">
        <v>48257</v>
      </c>
      <c r="B1812" s="1">
        <v>39925</v>
      </c>
      <c r="C1812" t="s">
        <v>18</v>
      </c>
      <c r="D1812" t="str">
        <f t="shared" si="56"/>
        <v>22-Apr-2009</v>
      </c>
      <c r="E1812">
        <v>45</v>
      </c>
      <c r="F1812" s="13">
        <v>221.06</v>
      </c>
      <c r="G1812">
        <v>0.02</v>
      </c>
      <c r="H1812" t="s">
        <v>19</v>
      </c>
      <c r="I1812" s="13">
        <v>-124.28</v>
      </c>
      <c r="J1812">
        <v>4.57</v>
      </c>
      <c r="K1812">
        <v>5.42</v>
      </c>
      <c r="L1812" t="s">
        <v>366</v>
      </c>
      <c r="M1812" t="s">
        <v>341</v>
      </c>
      <c r="N1812" s="5" t="s">
        <v>102</v>
      </c>
      <c r="O1812" t="s">
        <v>28</v>
      </c>
      <c r="P1812" t="s">
        <v>21</v>
      </c>
      <c r="Q1812" t="s">
        <v>26</v>
      </c>
      <c r="R1812">
        <v>0.37</v>
      </c>
      <c r="S1812" s="1">
        <v>39929</v>
      </c>
      <c r="T1812" t="str">
        <f t="shared" si="57"/>
        <v>26-Apr-2009</v>
      </c>
    </row>
    <row r="1813" spans="1:20" x14ac:dyDescent="0.3">
      <c r="A1813">
        <v>42631</v>
      </c>
      <c r="B1813" s="1">
        <v>39942</v>
      </c>
      <c r="C1813" t="s">
        <v>23</v>
      </c>
      <c r="D1813" t="str">
        <f t="shared" si="56"/>
        <v>09-May-2009</v>
      </c>
      <c r="E1813">
        <v>18</v>
      </c>
      <c r="F1813" s="13">
        <v>211.4</v>
      </c>
      <c r="G1813">
        <v>0.09</v>
      </c>
      <c r="H1813" t="s">
        <v>19</v>
      </c>
      <c r="I1813" s="13">
        <v>91.63</v>
      </c>
      <c r="J1813">
        <v>12.53</v>
      </c>
      <c r="K1813">
        <v>0.5</v>
      </c>
      <c r="L1813" t="s">
        <v>81</v>
      </c>
      <c r="M1813" t="s">
        <v>341</v>
      </c>
      <c r="N1813" s="5" t="s">
        <v>102</v>
      </c>
      <c r="O1813" t="s">
        <v>28</v>
      </c>
      <c r="P1813" t="s">
        <v>21</v>
      </c>
      <c r="Q1813" t="s">
        <v>48</v>
      </c>
      <c r="R1813">
        <v>0.38</v>
      </c>
      <c r="S1813" s="1">
        <v>39943</v>
      </c>
      <c r="T1813" t="str">
        <f t="shared" si="57"/>
        <v>10-May-2009</v>
      </c>
    </row>
    <row r="1814" spans="1:20" x14ac:dyDescent="0.3">
      <c r="A1814">
        <v>12355</v>
      </c>
      <c r="B1814" s="1">
        <v>40691</v>
      </c>
      <c r="C1814" t="s">
        <v>31</v>
      </c>
      <c r="D1814" t="str">
        <f t="shared" si="56"/>
        <v>28-May-2011</v>
      </c>
      <c r="E1814">
        <v>36</v>
      </c>
      <c r="F1814" s="13">
        <v>209.53</v>
      </c>
      <c r="G1814">
        <v>0.03</v>
      </c>
      <c r="H1814" t="s">
        <v>19</v>
      </c>
      <c r="I1814" s="13">
        <v>-81.06</v>
      </c>
      <c r="J1814">
        <v>5.78</v>
      </c>
      <c r="K1814">
        <v>5.67</v>
      </c>
      <c r="L1814" t="s">
        <v>146</v>
      </c>
      <c r="M1814" t="s">
        <v>341</v>
      </c>
      <c r="N1814" s="5" t="s">
        <v>102</v>
      </c>
      <c r="O1814" t="s">
        <v>28</v>
      </c>
      <c r="P1814" t="s">
        <v>21</v>
      </c>
      <c r="Q1814" t="s">
        <v>37</v>
      </c>
      <c r="R1814">
        <v>0.36</v>
      </c>
      <c r="S1814" s="1">
        <v>40692</v>
      </c>
      <c r="T1814" t="str">
        <f t="shared" si="57"/>
        <v>29-May-2011</v>
      </c>
    </row>
    <row r="1815" spans="1:20" x14ac:dyDescent="0.3">
      <c r="A1815">
        <v>42374</v>
      </c>
      <c r="B1815" s="1">
        <v>41107</v>
      </c>
      <c r="C1815" t="s">
        <v>43</v>
      </c>
      <c r="D1815" t="str">
        <f t="shared" si="56"/>
        <v>17-Jul-2012</v>
      </c>
      <c r="E1815">
        <v>21</v>
      </c>
      <c r="F1815" s="13">
        <v>205.32</v>
      </c>
      <c r="G1815">
        <v>0.08</v>
      </c>
      <c r="H1815" t="s">
        <v>35</v>
      </c>
      <c r="I1815" s="13">
        <v>37.299999999999997</v>
      </c>
      <c r="J1815">
        <v>10.01</v>
      </c>
      <c r="K1815">
        <v>1.99</v>
      </c>
      <c r="L1815" t="s">
        <v>359</v>
      </c>
      <c r="M1815" t="s">
        <v>341</v>
      </c>
      <c r="N1815" s="5" t="s">
        <v>102</v>
      </c>
      <c r="O1815" t="s">
        <v>28</v>
      </c>
      <c r="P1815" t="s">
        <v>29</v>
      </c>
      <c r="Q1815" t="s">
        <v>41</v>
      </c>
      <c r="R1815">
        <v>0.41</v>
      </c>
      <c r="S1815" s="1">
        <v>41107</v>
      </c>
      <c r="T1815" t="str">
        <f t="shared" si="57"/>
        <v>17-Jul-2012</v>
      </c>
    </row>
    <row r="1816" spans="1:20" x14ac:dyDescent="0.3">
      <c r="A1816">
        <v>57157</v>
      </c>
      <c r="B1816" s="1">
        <v>40965</v>
      </c>
      <c r="C1816" t="s">
        <v>43</v>
      </c>
      <c r="D1816" t="str">
        <f t="shared" si="56"/>
        <v>26-Feb-2012</v>
      </c>
      <c r="E1816">
        <v>18</v>
      </c>
      <c r="F1816" s="13">
        <v>203.57</v>
      </c>
      <c r="G1816">
        <v>0.01</v>
      </c>
      <c r="H1816" t="s">
        <v>19</v>
      </c>
      <c r="I1816" s="13">
        <v>-4.84</v>
      </c>
      <c r="J1816">
        <v>10.98</v>
      </c>
      <c r="K1816">
        <v>3.99</v>
      </c>
      <c r="L1816" t="s">
        <v>144</v>
      </c>
      <c r="M1816" t="s">
        <v>341</v>
      </c>
      <c r="N1816" s="5" t="s">
        <v>102</v>
      </c>
      <c r="O1816" t="s">
        <v>28</v>
      </c>
      <c r="P1816" t="s">
        <v>21</v>
      </c>
      <c r="Q1816" t="s">
        <v>25</v>
      </c>
      <c r="R1816">
        <v>0.57999999999999996</v>
      </c>
      <c r="S1816" s="1">
        <v>40968</v>
      </c>
      <c r="T1816" t="str">
        <f t="shared" si="57"/>
        <v>29-Feb-2012</v>
      </c>
    </row>
    <row r="1817" spans="1:20" x14ac:dyDescent="0.3">
      <c r="A1817">
        <v>28037</v>
      </c>
      <c r="B1817" s="1">
        <v>40159</v>
      </c>
      <c r="C1817" t="s">
        <v>23</v>
      </c>
      <c r="D1817" t="str">
        <f t="shared" si="56"/>
        <v>12-Dec-2009</v>
      </c>
      <c r="E1817">
        <v>31</v>
      </c>
      <c r="F1817" s="13">
        <v>203.53</v>
      </c>
      <c r="G1817">
        <v>0.06</v>
      </c>
      <c r="H1817" t="s">
        <v>19</v>
      </c>
      <c r="I1817" s="13">
        <v>-101.28</v>
      </c>
      <c r="J1817">
        <v>6.68</v>
      </c>
      <c r="K1817">
        <v>6.93</v>
      </c>
      <c r="L1817" t="s">
        <v>357</v>
      </c>
      <c r="M1817" t="s">
        <v>341</v>
      </c>
      <c r="N1817" s="5" t="s">
        <v>102</v>
      </c>
      <c r="O1817" t="s">
        <v>28</v>
      </c>
      <c r="P1817" t="s">
        <v>21</v>
      </c>
      <c r="Q1817" t="s">
        <v>37</v>
      </c>
      <c r="R1817">
        <v>0.37</v>
      </c>
      <c r="S1817" s="1">
        <v>40160</v>
      </c>
      <c r="T1817" t="str">
        <f t="shared" si="57"/>
        <v>13-Dec-2009</v>
      </c>
    </row>
    <row r="1818" spans="1:20" x14ac:dyDescent="0.3">
      <c r="A1818">
        <v>48577</v>
      </c>
      <c r="B1818" s="1">
        <v>41098</v>
      </c>
      <c r="C1818" t="s">
        <v>38</v>
      </c>
      <c r="D1818" t="str">
        <f t="shared" si="56"/>
        <v>08-Jul-2012</v>
      </c>
      <c r="E1818">
        <v>6</v>
      </c>
      <c r="F1818" s="13">
        <v>201.83</v>
      </c>
      <c r="G1818">
        <v>0.02</v>
      </c>
      <c r="H1818" t="s">
        <v>19</v>
      </c>
      <c r="I1818" s="13">
        <v>34.979999999999997</v>
      </c>
      <c r="J1818">
        <v>30.98</v>
      </c>
      <c r="K1818">
        <v>5.09</v>
      </c>
      <c r="L1818" t="s">
        <v>365</v>
      </c>
      <c r="M1818" t="s">
        <v>341</v>
      </c>
      <c r="N1818" s="5" t="s">
        <v>102</v>
      </c>
      <c r="O1818" t="s">
        <v>28</v>
      </c>
      <c r="P1818" t="s">
        <v>21</v>
      </c>
      <c r="Q1818" t="s">
        <v>37</v>
      </c>
      <c r="R1818">
        <v>0.4</v>
      </c>
      <c r="S1818" s="1">
        <v>41100</v>
      </c>
      <c r="T1818" t="str">
        <f t="shared" si="57"/>
        <v>10-Jul-2012</v>
      </c>
    </row>
    <row r="1819" spans="1:20" x14ac:dyDescent="0.3">
      <c r="A1819">
        <v>45959</v>
      </c>
      <c r="B1819" s="1">
        <v>40153</v>
      </c>
      <c r="C1819" t="s">
        <v>38</v>
      </c>
      <c r="D1819" t="str">
        <f t="shared" si="56"/>
        <v>06-Dec-2009</v>
      </c>
      <c r="E1819">
        <v>15</v>
      </c>
      <c r="F1819" s="13">
        <v>201.74</v>
      </c>
      <c r="G1819">
        <v>0.08</v>
      </c>
      <c r="H1819" t="s">
        <v>35</v>
      </c>
      <c r="I1819" s="13">
        <v>-2.63</v>
      </c>
      <c r="J1819">
        <v>12.53</v>
      </c>
      <c r="K1819">
        <v>7.17</v>
      </c>
      <c r="L1819" t="s">
        <v>365</v>
      </c>
      <c r="M1819" t="s">
        <v>341</v>
      </c>
      <c r="N1819" s="5" t="s">
        <v>102</v>
      </c>
      <c r="O1819" t="s">
        <v>28</v>
      </c>
      <c r="P1819" t="s">
        <v>21</v>
      </c>
      <c r="Q1819" t="s">
        <v>26</v>
      </c>
      <c r="R1819">
        <v>0.38</v>
      </c>
      <c r="S1819" s="1">
        <v>40155</v>
      </c>
      <c r="T1819" t="str">
        <f t="shared" si="57"/>
        <v>08-Dec-2009</v>
      </c>
    </row>
    <row r="1820" spans="1:20" x14ac:dyDescent="0.3">
      <c r="A1820">
        <v>37923</v>
      </c>
      <c r="B1820" s="1">
        <v>40264</v>
      </c>
      <c r="C1820" t="s">
        <v>31</v>
      </c>
      <c r="D1820" t="str">
        <f t="shared" si="56"/>
        <v>27-Mar-2010</v>
      </c>
      <c r="E1820">
        <v>29</v>
      </c>
      <c r="F1820" s="13">
        <v>198.43</v>
      </c>
      <c r="G1820">
        <v>0.01</v>
      </c>
      <c r="H1820" t="s">
        <v>19</v>
      </c>
      <c r="I1820" s="13">
        <v>-79.67</v>
      </c>
      <c r="J1820">
        <v>6.48</v>
      </c>
      <c r="K1820">
        <v>6.81</v>
      </c>
      <c r="L1820" t="s">
        <v>361</v>
      </c>
      <c r="M1820" t="s">
        <v>341</v>
      </c>
      <c r="N1820" s="5" t="s">
        <v>102</v>
      </c>
      <c r="O1820" t="s">
        <v>28</v>
      </c>
      <c r="P1820" t="s">
        <v>21</v>
      </c>
      <c r="Q1820" t="s">
        <v>37</v>
      </c>
      <c r="R1820">
        <v>0.36</v>
      </c>
      <c r="S1820" s="1">
        <v>40265</v>
      </c>
      <c r="T1820" t="str">
        <f t="shared" si="57"/>
        <v>28-Mar-2010</v>
      </c>
    </row>
    <row r="1821" spans="1:20" x14ac:dyDescent="0.3">
      <c r="A1821">
        <v>18208</v>
      </c>
      <c r="B1821" s="1">
        <v>41000</v>
      </c>
      <c r="C1821" t="s">
        <v>31</v>
      </c>
      <c r="D1821" t="str">
        <f t="shared" si="56"/>
        <v>01-Apr-2012</v>
      </c>
      <c r="E1821">
        <v>34</v>
      </c>
      <c r="F1821" s="13">
        <v>197.45</v>
      </c>
      <c r="G1821">
        <v>0.06</v>
      </c>
      <c r="H1821" t="s">
        <v>19</v>
      </c>
      <c r="I1821" s="13">
        <v>65.44</v>
      </c>
      <c r="J1821">
        <v>5.68</v>
      </c>
      <c r="K1821">
        <v>1.39</v>
      </c>
      <c r="L1821" t="s">
        <v>365</v>
      </c>
      <c r="M1821" t="s">
        <v>341</v>
      </c>
      <c r="N1821" s="5" t="s">
        <v>102</v>
      </c>
      <c r="O1821" t="s">
        <v>28</v>
      </c>
      <c r="P1821" t="s">
        <v>21</v>
      </c>
      <c r="Q1821" t="s">
        <v>42</v>
      </c>
      <c r="R1821">
        <v>0.38</v>
      </c>
      <c r="S1821" s="1">
        <v>41002</v>
      </c>
      <c r="T1821" t="str">
        <f t="shared" si="57"/>
        <v>03-Apr-2012</v>
      </c>
    </row>
    <row r="1822" spans="1:20" x14ac:dyDescent="0.3">
      <c r="A1822">
        <v>14978</v>
      </c>
      <c r="B1822" s="1">
        <v>40325</v>
      </c>
      <c r="C1822" t="s">
        <v>43</v>
      </c>
      <c r="D1822" t="str">
        <f t="shared" si="56"/>
        <v>27-May-2010</v>
      </c>
      <c r="E1822">
        <v>14</v>
      </c>
      <c r="F1822" s="13">
        <v>195.12</v>
      </c>
      <c r="G1822">
        <v>0</v>
      </c>
      <c r="H1822" t="s">
        <v>19</v>
      </c>
      <c r="I1822" s="13">
        <v>-6.32</v>
      </c>
      <c r="J1822">
        <v>13.48</v>
      </c>
      <c r="K1822">
        <v>4.51</v>
      </c>
      <c r="L1822" t="s">
        <v>344</v>
      </c>
      <c r="M1822" t="s">
        <v>341</v>
      </c>
      <c r="N1822" s="5" t="s">
        <v>102</v>
      </c>
      <c r="O1822" t="s">
        <v>28</v>
      </c>
      <c r="P1822" t="s">
        <v>21</v>
      </c>
      <c r="Q1822" t="s">
        <v>22</v>
      </c>
      <c r="R1822">
        <v>0.59</v>
      </c>
      <c r="S1822" s="1">
        <v>40326</v>
      </c>
      <c r="T1822" t="str">
        <f t="shared" si="57"/>
        <v>28-May-2010</v>
      </c>
    </row>
    <row r="1823" spans="1:20" x14ac:dyDescent="0.3">
      <c r="A1823">
        <v>38596</v>
      </c>
      <c r="B1823" s="1">
        <v>40270</v>
      </c>
      <c r="C1823" t="s">
        <v>38</v>
      </c>
      <c r="D1823" t="str">
        <f t="shared" si="56"/>
        <v>02-Apr-2010</v>
      </c>
      <c r="E1823">
        <v>20</v>
      </c>
      <c r="F1823" s="13">
        <v>193.7</v>
      </c>
      <c r="G1823">
        <v>0.06</v>
      </c>
      <c r="H1823" t="s">
        <v>19</v>
      </c>
      <c r="I1823" s="13">
        <v>-14.99</v>
      </c>
      <c r="J1823">
        <v>9.85</v>
      </c>
      <c r="K1823">
        <v>4.82</v>
      </c>
      <c r="L1823" t="s">
        <v>353</v>
      </c>
      <c r="M1823" t="s">
        <v>341</v>
      </c>
      <c r="N1823" s="5" t="s">
        <v>102</v>
      </c>
      <c r="O1823" t="s">
        <v>28</v>
      </c>
      <c r="P1823" t="s">
        <v>21</v>
      </c>
      <c r="Q1823" t="s">
        <v>50</v>
      </c>
      <c r="R1823">
        <v>0.47</v>
      </c>
      <c r="S1823" s="1">
        <v>40271</v>
      </c>
      <c r="T1823" t="str">
        <f t="shared" si="57"/>
        <v>03-Apr-2010</v>
      </c>
    </row>
    <row r="1824" spans="1:20" x14ac:dyDescent="0.3">
      <c r="A1824">
        <v>15751</v>
      </c>
      <c r="B1824" s="1">
        <v>40040</v>
      </c>
      <c r="C1824" t="s">
        <v>43</v>
      </c>
      <c r="D1824" t="str">
        <f t="shared" si="56"/>
        <v>15-Aug-2009</v>
      </c>
      <c r="E1824">
        <v>37</v>
      </c>
      <c r="F1824" s="13">
        <v>189.6</v>
      </c>
      <c r="G1824">
        <v>0.02</v>
      </c>
      <c r="H1824" t="s">
        <v>19</v>
      </c>
      <c r="I1824" s="13">
        <v>89.65</v>
      </c>
      <c r="J1824">
        <v>4.9800000000000004</v>
      </c>
      <c r="K1824">
        <v>0.49</v>
      </c>
      <c r="L1824" t="s">
        <v>144</v>
      </c>
      <c r="M1824" t="s">
        <v>341</v>
      </c>
      <c r="N1824" s="5" t="s">
        <v>102</v>
      </c>
      <c r="O1824" t="s">
        <v>28</v>
      </c>
      <c r="P1824" t="s">
        <v>21</v>
      </c>
      <c r="Q1824" t="s">
        <v>48</v>
      </c>
      <c r="R1824">
        <v>0.39</v>
      </c>
      <c r="S1824" s="1">
        <v>40041</v>
      </c>
      <c r="T1824" t="str">
        <f t="shared" si="57"/>
        <v>16-Aug-2009</v>
      </c>
    </row>
    <row r="1825" spans="1:20" x14ac:dyDescent="0.3">
      <c r="A1825">
        <v>35399</v>
      </c>
      <c r="B1825" s="1">
        <v>40564</v>
      </c>
      <c r="C1825" t="s">
        <v>18</v>
      </c>
      <c r="D1825" t="str">
        <f t="shared" si="56"/>
        <v>21-Jan-2011</v>
      </c>
      <c r="E1825">
        <v>38</v>
      </c>
      <c r="F1825" s="13">
        <v>188.38</v>
      </c>
      <c r="G1825">
        <v>0.04</v>
      </c>
      <c r="H1825" t="s">
        <v>19</v>
      </c>
      <c r="I1825" s="13">
        <v>-120.12</v>
      </c>
      <c r="J1825">
        <v>4.91</v>
      </c>
      <c r="K1825">
        <v>5.68</v>
      </c>
      <c r="L1825" t="s">
        <v>354</v>
      </c>
      <c r="M1825" t="s">
        <v>341</v>
      </c>
      <c r="N1825" s="5" t="s">
        <v>102</v>
      </c>
      <c r="O1825" t="s">
        <v>28</v>
      </c>
      <c r="P1825" t="s">
        <v>21</v>
      </c>
      <c r="Q1825" t="s">
        <v>26</v>
      </c>
      <c r="R1825">
        <v>0.36</v>
      </c>
      <c r="S1825" s="1">
        <v>40566</v>
      </c>
      <c r="T1825" t="str">
        <f t="shared" si="57"/>
        <v>23-Jan-2011</v>
      </c>
    </row>
    <row r="1826" spans="1:20" x14ac:dyDescent="0.3">
      <c r="A1826">
        <v>31106</v>
      </c>
      <c r="B1826" s="1">
        <v>40955</v>
      </c>
      <c r="C1826" t="s">
        <v>18</v>
      </c>
      <c r="D1826" t="str">
        <f t="shared" si="56"/>
        <v>16-Feb-2012</v>
      </c>
      <c r="E1826">
        <v>7</v>
      </c>
      <c r="F1826" s="13">
        <v>187.33</v>
      </c>
      <c r="G1826">
        <v>0.03</v>
      </c>
      <c r="H1826" t="s">
        <v>19</v>
      </c>
      <c r="I1826" s="13">
        <v>66.47</v>
      </c>
      <c r="J1826">
        <v>25.13</v>
      </c>
      <c r="K1826">
        <v>9.8699999999999992</v>
      </c>
      <c r="L1826" t="s">
        <v>352</v>
      </c>
      <c r="M1826" t="s">
        <v>341</v>
      </c>
      <c r="N1826" s="5" t="s">
        <v>102</v>
      </c>
      <c r="O1826" t="s">
        <v>28</v>
      </c>
      <c r="P1826" t="s">
        <v>32</v>
      </c>
      <c r="Q1826" t="s">
        <v>33</v>
      </c>
      <c r="R1826">
        <v>0.57999999999999996</v>
      </c>
      <c r="S1826" s="1">
        <v>40960</v>
      </c>
      <c r="T1826" t="str">
        <f t="shared" si="57"/>
        <v>21-Feb-2012</v>
      </c>
    </row>
    <row r="1827" spans="1:20" x14ac:dyDescent="0.3">
      <c r="A1827">
        <v>28512</v>
      </c>
      <c r="B1827" s="1">
        <v>40295</v>
      </c>
      <c r="C1827" t="s">
        <v>38</v>
      </c>
      <c r="D1827" t="str">
        <f t="shared" si="56"/>
        <v>27-Apr-2010</v>
      </c>
      <c r="E1827">
        <v>10</v>
      </c>
      <c r="F1827" s="13">
        <v>185.59</v>
      </c>
      <c r="G1827">
        <v>0.1</v>
      </c>
      <c r="H1827" t="s">
        <v>19</v>
      </c>
      <c r="I1827" s="13">
        <v>12.01</v>
      </c>
      <c r="J1827">
        <v>19.98</v>
      </c>
      <c r="K1827">
        <v>5.77</v>
      </c>
      <c r="L1827" t="s">
        <v>284</v>
      </c>
      <c r="M1827" t="s">
        <v>341</v>
      </c>
      <c r="N1827" s="5" t="s">
        <v>102</v>
      </c>
      <c r="O1827" t="s">
        <v>28</v>
      </c>
      <c r="P1827" t="s">
        <v>21</v>
      </c>
      <c r="Q1827" t="s">
        <v>37</v>
      </c>
      <c r="R1827">
        <v>0.38</v>
      </c>
      <c r="S1827" s="1">
        <v>40297</v>
      </c>
      <c r="T1827" t="str">
        <f t="shared" si="57"/>
        <v>29-Apr-2010</v>
      </c>
    </row>
    <row r="1828" spans="1:20" x14ac:dyDescent="0.3">
      <c r="A1828">
        <v>30657</v>
      </c>
      <c r="B1828" s="1">
        <v>40673</v>
      </c>
      <c r="C1828" t="s">
        <v>23</v>
      </c>
      <c r="D1828" t="str">
        <f t="shared" si="56"/>
        <v>10-May-2011</v>
      </c>
      <c r="E1828">
        <v>8</v>
      </c>
      <c r="F1828" s="13">
        <v>179.66</v>
      </c>
      <c r="G1828">
        <v>0.01</v>
      </c>
      <c r="H1828" t="s">
        <v>19</v>
      </c>
      <c r="I1828" s="13">
        <v>-1.73</v>
      </c>
      <c r="J1828">
        <v>22.24</v>
      </c>
      <c r="K1828">
        <v>1.99</v>
      </c>
      <c r="L1828" t="s">
        <v>361</v>
      </c>
      <c r="M1828" t="s">
        <v>341</v>
      </c>
      <c r="N1828" s="5" t="s">
        <v>102</v>
      </c>
      <c r="O1828" t="s">
        <v>28</v>
      </c>
      <c r="P1828" t="s">
        <v>29</v>
      </c>
      <c r="Q1828" t="s">
        <v>41</v>
      </c>
      <c r="R1828">
        <v>0.43</v>
      </c>
      <c r="S1828" s="1">
        <v>40675</v>
      </c>
      <c r="T1828" t="str">
        <f t="shared" si="57"/>
        <v>12-May-2011</v>
      </c>
    </row>
    <row r="1829" spans="1:20" x14ac:dyDescent="0.3">
      <c r="A1829">
        <v>25120</v>
      </c>
      <c r="B1829" s="1">
        <v>39848</v>
      </c>
      <c r="C1829" t="s">
        <v>38</v>
      </c>
      <c r="D1829" t="str">
        <f t="shared" si="56"/>
        <v>04-Feb-2009</v>
      </c>
      <c r="E1829">
        <v>22</v>
      </c>
      <c r="F1829" s="13">
        <v>179.22</v>
      </c>
      <c r="G1829">
        <v>0.01</v>
      </c>
      <c r="H1829" t="s">
        <v>19</v>
      </c>
      <c r="I1829" s="13">
        <v>-139.9</v>
      </c>
      <c r="J1829">
        <v>7.28</v>
      </c>
      <c r="K1829">
        <v>11.15</v>
      </c>
      <c r="L1829" t="s">
        <v>362</v>
      </c>
      <c r="M1829" t="s">
        <v>341</v>
      </c>
      <c r="N1829" s="5" t="s">
        <v>102</v>
      </c>
      <c r="O1829" t="s">
        <v>28</v>
      </c>
      <c r="P1829" t="s">
        <v>21</v>
      </c>
      <c r="Q1829" t="s">
        <v>37</v>
      </c>
      <c r="R1829">
        <v>0.37</v>
      </c>
      <c r="S1829" s="1">
        <v>39849</v>
      </c>
      <c r="T1829" t="str">
        <f t="shared" si="57"/>
        <v>05-Feb-2009</v>
      </c>
    </row>
    <row r="1830" spans="1:20" x14ac:dyDescent="0.3">
      <c r="A1830">
        <v>37127</v>
      </c>
      <c r="B1830" s="1">
        <v>40453</v>
      </c>
      <c r="C1830" t="s">
        <v>23</v>
      </c>
      <c r="D1830" t="str">
        <f t="shared" si="56"/>
        <v>02-Oct-2010</v>
      </c>
      <c r="E1830">
        <v>19</v>
      </c>
      <c r="F1830" s="13">
        <v>178.44</v>
      </c>
      <c r="G1830">
        <v>0.03</v>
      </c>
      <c r="H1830" t="s">
        <v>19</v>
      </c>
      <c r="I1830" s="13">
        <v>50.13</v>
      </c>
      <c r="J1830">
        <v>9.11</v>
      </c>
      <c r="K1830">
        <v>2.15</v>
      </c>
      <c r="L1830" t="s">
        <v>343</v>
      </c>
      <c r="M1830" t="s">
        <v>341</v>
      </c>
      <c r="N1830" s="5" t="s">
        <v>102</v>
      </c>
      <c r="O1830" t="s">
        <v>28</v>
      </c>
      <c r="P1830" t="s">
        <v>21</v>
      </c>
      <c r="Q1830" t="s">
        <v>37</v>
      </c>
      <c r="R1830">
        <v>0.4</v>
      </c>
      <c r="S1830" s="1">
        <v>40454</v>
      </c>
      <c r="T1830" t="str">
        <f t="shared" si="57"/>
        <v>03-Oct-2010</v>
      </c>
    </row>
    <row r="1831" spans="1:20" x14ac:dyDescent="0.3">
      <c r="A1831">
        <v>46881</v>
      </c>
      <c r="B1831" s="1">
        <v>40092</v>
      </c>
      <c r="C1831" t="s">
        <v>43</v>
      </c>
      <c r="D1831" t="str">
        <f t="shared" si="56"/>
        <v>06-Oct-2009</v>
      </c>
      <c r="E1831">
        <v>31</v>
      </c>
      <c r="F1831" s="13">
        <v>176.28</v>
      </c>
      <c r="G1831">
        <v>7.0000000000000007E-2</v>
      </c>
      <c r="H1831" t="s">
        <v>35</v>
      </c>
      <c r="I1831" s="13">
        <v>-80.3</v>
      </c>
      <c r="J1831">
        <v>5.18</v>
      </c>
      <c r="K1831">
        <v>5.74</v>
      </c>
      <c r="L1831" t="s">
        <v>352</v>
      </c>
      <c r="M1831" t="s">
        <v>341</v>
      </c>
      <c r="N1831" s="5" t="s">
        <v>102</v>
      </c>
      <c r="O1831" t="s">
        <v>28</v>
      </c>
      <c r="P1831" t="s">
        <v>21</v>
      </c>
      <c r="Q1831" t="s">
        <v>26</v>
      </c>
      <c r="R1831">
        <v>0.36</v>
      </c>
      <c r="S1831" s="1">
        <v>40094</v>
      </c>
      <c r="T1831" t="str">
        <f t="shared" si="57"/>
        <v>08-Oct-2009</v>
      </c>
    </row>
    <row r="1832" spans="1:20" x14ac:dyDescent="0.3">
      <c r="A1832">
        <v>32804</v>
      </c>
      <c r="B1832" s="1">
        <v>41161</v>
      </c>
      <c r="C1832" t="s">
        <v>38</v>
      </c>
      <c r="D1832" t="str">
        <f t="shared" si="56"/>
        <v>09-Sep-2012</v>
      </c>
      <c r="E1832">
        <v>49</v>
      </c>
      <c r="F1832" s="13">
        <v>174.81</v>
      </c>
      <c r="G1832">
        <v>7.0000000000000007E-2</v>
      </c>
      <c r="H1832" t="s">
        <v>19</v>
      </c>
      <c r="I1832" s="13">
        <v>74.819999999999993</v>
      </c>
      <c r="J1832">
        <v>3.75</v>
      </c>
      <c r="K1832">
        <v>0.5</v>
      </c>
      <c r="L1832" t="s">
        <v>163</v>
      </c>
      <c r="M1832" t="s">
        <v>341</v>
      </c>
      <c r="N1832" s="5" t="s">
        <v>102</v>
      </c>
      <c r="O1832" t="s">
        <v>28</v>
      </c>
      <c r="P1832" t="s">
        <v>21</v>
      </c>
      <c r="Q1832" t="s">
        <v>48</v>
      </c>
      <c r="R1832">
        <v>0.37</v>
      </c>
      <c r="S1832" s="1">
        <v>41162</v>
      </c>
      <c r="T1832" t="str">
        <f t="shared" si="57"/>
        <v>10-Sep-2012</v>
      </c>
    </row>
    <row r="1833" spans="1:20" x14ac:dyDescent="0.3">
      <c r="A1833">
        <v>19105</v>
      </c>
      <c r="B1833" s="1">
        <v>40114</v>
      </c>
      <c r="C1833" t="s">
        <v>23</v>
      </c>
      <c r="D1833" t="str">
        <f t="shared" si="56"/>
        <v>28-Oct-2009</v>
      </c>
      <c r="E1833">
        <v>29</v>
      </c>
      <c r="F1833" s="13">
        <v>172.98</v>
      </c>
      <c r="G1833">
        <v>0.08</v>
      </c>
      <c r="H1833" t="s">
        <v>19</v>
      </c>
      <c r="I1833" s="13">
        <v>-59.75</v>
      </c>
      <c r="J1833">
        <v>5.98</v>
      </c>
      <c r="K1833">
        <v>5.46</v>
      </c>
      <c r="L1833" t="s">
        <v>347</v>
      </c>
      <c r="M1833" t="s">
        <v>341</v>
      </c>
      <c r="N1833" s="5" t="s">
        <v>102</v>
      </c>
      <c r="O1833" t="s">
        <v>28</v>
      </c>
      <c r="P1833" t="s">
        <v>21</v>
      </c>
      <c r="Q1833" t="s">
        <v>37</v>
      </c>
      <c r="R1833">
        <v>0.36</v>
      </c>
      <c r="S1833" s="1">
        <v>40114</v>
      </c>
      <c r="T1833" t="str">
        <f t="shared" si="57"/>
        <v>28-Oct-2009</v>
      </c>
    </row>
    <row r="1834" spans="1:20" x14ac:dyDescent="0.3">
      <c r="A1834">
        <v>56423</v>
      </c>
      <c r="B1834" s="1">
        <v>40902</v>
      </c>
      <c r="C1834" t="s">
        <v>31</v>
      </c>
      <c r="D1834" t="str">
        <f t="shared" si="56"/>
        <v>25-Dec-2011</v>
      </c>
      <c r="E1834">
        <v>41</v>
      </c>
      <c r="F1834" s="13">
        <v>170.82</v>
      </c>
      <c r="G1834">
        <v>0</v>
      </c>
      <c r="H1834" t="s">
        <v>35</v>
      </c>
      <c r="I1834" s="13">
        <v>85.45</v>
      </c>
      <c r="J1834">
        <v>3.69</v>
      </c>
      <c r="K1834">
        <v>0.5</v>
      </c>
      <c r="L1834" t="s">
        <v>359</v>
      </c>
      <c r="M1834" t="s">
        <v>341</v>
      </c>
      <c r="N1834" s="5" t="s">
        <v>102</v>
      </c>
      <c r="O1834" t="s">
        <v>28</v>
      </c>
      <c r="P1834" t="s">
        <v>21</v>
      </c>
      <c r="Q1834" t="s">
        <v>48</v>
      </c>
      <c r="R1834">
        <v>0.38</v>
      </c>
      <c r="S1834" s="1">
        <v>40903</v>
      </c>
      <c r="T1834" t="str">
        <f t="shared" si="57"/>
        <v>26-Dec-2011</v>
      </c>
    </row>
    <row r="1835" spans="1:20" x14ac:dyDescent="0.3">
      <c r="A1835">
        <v>26439</v>
      </c>
      <c r="B1835" s="1">
        <v>40801</v>
      </c>
      <c r="C1835" t="s">
        <v>38</v>
      </c>
      <c r="D1835" t="str">
        <f t="shared" si="56"/>
        <v>15-Sep-2011</v>
      </c>
      <c r="E1835">
        <v>37</v>
      </c>
      <c r="F1835" s="13">
        <v>169.93</v>
      </c>
      <c r="G1835">
        <v>0.04</v>
      </c>
      <c r="H1835" t="s">
        <v>19</v>
      </c>
      <c r="I1835" s="13">
        <v>-114.35</v>
      </c>
      <c r="J1835">
        <v>4.28</v>
      </c>
      <c r="K1835">
        <v>5.74</v>
      </c>
      <c r="L1835" t="s">
        <v>319</v>
      </c>
      <c r="M1835" t="s">
        <v>341</v>
      </c>
      <c r="N1835" s="5" t="s">
        <v>102</v>
      </c>
      <c r="O1835" t="s">
        <v>28</v>
      </c>
      <c r="P1835" t="s">
        <v>21</v>
      </c>
      <c r="Q1835" t="s">
        <v>37</v>
      </c>
      <c r="R1835">
        <v>0.4</v>
      </c>
      <c r="S1835" s="1">
        <v>40801</v>
      </c>
      <c r="T1835" t="str">
        <f t="shared" si="57"/>
        <v>15-Sep-2011</v>
      </c>
    </row>
    <row r="1836" spans="1:20" x14ac:dyDescent="0.3">
      <c r="A1836">
        <v>6560</v>
      </c>
      <c r="B1836" s="1">
        <v>40547</v>
      </c>
      <c r="C1836" t="s">
        <v>18</v>
      </c>
      <c r="D1836" t="str">
        <f t="shared" si="56"/>
        <v>04-Jan-2011</v>
      </c>
      <c r="E1836">
        <v>20</v>
      </c>
      <c r="F1836" s="13">
        <v>169.18</v>
      </c>
      <c r="G1836">
        <v>0.09</v>
      </c>
      <c r="H1836" t="s">
        <v>19</v>
      </c>
      <c r="I1836" s="13">
        <v>-18.73</v>
      </c>
      <c r="J1836">
        <v>8.67</v>
      </c>
      <c r="K1836">
        <v>3.5</v>
      </c>
      <c r="L1836" t="s">
        <v>347</v>
      </c>
      <c r="M1836" t="s">
        <v>341</v>
      </c>
      <c r="N1836" s="5" t="s">
        <v>102</v>
      </c>
      <c r="O1836" t="s">
        <v>28</v>
      </c>
      <c r="P1836" t="s">
        <v>21</v>
      </c>
      <c r="Q1836" t="s">
        <v>25</v>
      </c>
      <c r="R1836">
        <v>0.57999999999999996</v>
      </c>
      <c r="S1836" s="1">
        <v>40551</v>
      </c>
      <c r="T1836" t="str">
        <f t="shared" si="57"/>
        <v>08-Jan-2011</v>
      </c>
    </row>
    <row r="1837" spans="1:20" x14ac:dyDescent="0.3">
      <c r="A1837">
        <v>52068</v>
      </c>
      <c r="B1837" s="1">
        <v>40921</v>
      </c>
      <c r="C1837" t="s">
        <v>31</v>
      </c>
      <c r="D1837" t="str">
        <f t="shared" si="56"/>
        <v>13-Jan-2012</v>
      </c>
      <c r="E1837">
        <v>31</v>
      </c>
      <c r="F1837" s="13">
        <v>163.27000000000001</v>
      </c>
      <c r="G1837">
        <v>0.04</v>
      </c>
      <c r="H1837" t="s">
        <v>19</v>
      </c>
      <c r="I1837" s="13">
        <v>-0.62</v>
      </c>
      <c r="J1837">
        <v>5.28</v>
      </c>
      <c r="K1837">
        <v>2.99</v>
      </c>
      <c r="L1837" t="s">
        <v>340</v>
      </c>
      <c r="M1837" t="s">
        <v>341</v>
      </c>
      <c r="N1837" s="5" t="s">
        <v>102</v>
      </c>
      <c r="O1837" t="s">
        <v>28</v>
      </c>
      <c r="P1837" t="s">
        <v>21</v>
      </c>
      <c r="Q1837" t="s">
        <v>26</v>
      </c>
      <c r="R1837">
        <v>0.37</v>
      </c>
      <c r="S1837" s="1">
        <v>40921</v>
      </c>
      <c r="T1837" t="str">
        <f t="shared" si="57"/>
        <v>13-Jan-2012</v>
      </c>
    </row>
    <row r="1838" spans="1:20" x14ac:dyDescent="0.3">
      <c r="A1838">
        <v>42886</v>
      </c>
      <c r="B1838" s="1">
        <v>40916</v>
      </c>
      <c r="C1838" t="s">
        <v>38</v>
      </c>
      <c r="D1838" t="str">
        <f t="shared" si="56"/>
        <v>08-Jan-2012</v>
      </c>
      <c r="E1838">
        <v>42</v>
      </c>
      <c r="F1838" s="13">
        <v>162.57</v>
      </c>
      <c r="G1838">
        <v>0.02</v>
      </c>
      <c r="H1838" t="s">
        <v>19</v>
      </c>
      <c r="I1838" s="13">
        <v>75.8</v>
      </c>
      <c r="J1838">
        <v>3.75</v>
      </c>
      <c r="K1838">
        <v>0.5</v>
      </c>
      <c r="L1838" t="s">
        <v>308</v>
      </c>
      <c r="M1838" t="s">
        <v>341</v>
      </c>
      <c r="N1838" s="5" t="s">
        <v>102</v>
      </c>
      <c r="O1838" t="s">
        <v>28</v>
      </c>
      <c r="P1838" t="s">
        <v>21</v>
      </c>
      <c r="Q1838" t="s">
        <v>48</v>
      </c>
      <c r="R1838">
        <v>0.37</v>
      </c>
      <c r="S1838" s="1">
        <v>40918</v>
      </c>
      <c r="T1838" t="str">
        <f t="shared" si="57"/>
        <v>10-Jan-2012</v>
      </c>
    </row>
    <row r="1839" spans="1:20" x14ac:dyDescent="0.3">
      <c r="A1839">
        <v>55686</v>
      </c>
      <c r="B1839" s="1">
        <v>40627</v>
      </c>
      <c r="C1839" t="s">
        <v>43</v>
      </c>
      <c r="D1839" t="str">
        <f t="shared" si="56"/>
        <v>25-Mar-2011</v>
      </c>
      <c r="E1839">
        <v>2</v>
      </c>
      <c r="F1839" s="13">
        <v>162.49</v>
      </c>
      <c r="G1839">
        <v>0.03</v>
      </c>
      <c r="H1839" t="s">
        <v>19</v>
      </c>
      <c r="I1839" s="13">
        <v>-94.83</v>
      </c>
      <c r="J1839">
        <v>81.319999999999993</v>
      </c>
      <c r="K1839">
        <v>0.99</v>
      </c>
      <c r="L1839" t="s">
        <v>351</v>
      </c>
      <c r="M1839" t="s">
        <v>341</v>
      </c>
      <c r="N1839" s="5" t="s">
        <v>102</v>
      </c>
      <c r="O1839" t="s">
        <v>28</v>
      </c>
      <c r="P1839" t="s">
        <v>21</v>
      </c>
      <c r="Q1839" t="s">
        <v>25</v>
      </c>
      <c r="R1839">
        <v>0.56999999999999995</v>
      </c>
      <c r="S1839" s="1">
        <v>40630</v>
      </c>
      <c r="T1839" t="str">
        <f t="shared" si="57"/>
        <v>28-Mar-2011</v>
      </c>
    </row>
    <row r="1840" spans="1:20" x14ac:dyDescent="0.3">
      <c r="A1840">
        <v>35910</v>
      </c>
      <c r="B1840" s="1">
        <v>40506</v>
      </c>
      <c r="C1840" t="s">
        <v>23</v>
      </c>
      <c r="D1840" t="str">
        <f t="shared" si="56"/>
        <v>24-Nov-2010</v>
      </c>
      <c r="E1840">
        <v>25</v>
      </c>
      <c r="F1840" s="13">
        <v>161.72</v>
      </c>
      <c r="G1840">
        <v>0.09</v>
      </c>
      <c r="H1840" t="s">
        <v>19</v>
      </c>
      <c r="I1840" s="13">
        <v>-121.18</v>
      </c>
      <c r="J1840">
        <v>6.48</v>
      </c>
      <c r="K1840">
        <v>8.4</v>
      </c>
      <c r="L1840" t="s">
        <v>308</v>
      </c>
      <c r="M1840" t="s">
        <v>341</v>
      </c>
      <c r="N1840" s="5" t="s">
        <v>102</v>
      </c>
      <c r="O1840" t="s">
        <v>28</v>
      </c>
      <c r="P1840" t="s">
        <v>21</v>
      </c>
      <c r="Q1840" t="s">
        <v>37</v>
      </c>
      <c r="R1840">
        <v>0.37</v>
      </c>
      <c r="S1840" s="1">
        <v>40508</v>
      </c>
      <c r="T1840" t="str">
        <f t="shared" si="57"/>
        <v>26-Nov-2010</v>
      </c>
    </row>
    <row r="1841" spans="1:20" x14ac:dyDescent="0.3">
      <c r="A1841">
        <v>58883</v>
      </c>
      <c r="B1841" s="1">
        <v>41133</v>
      </c>
      <c r="C1841" t="s">
        <v>18</v>
      </c>
      <c r="D1841" t="str">
        <f t="shared" si="56"/>
        <v>12-Aug-2012</v>
      </c>
      <c r="E1841">
        <v>36</v>
      </c>
      <c r="F1841" s="13">
        <v>161.56</v>
      </c>
      <c r="G1841">
        <v>0</v>
      </c>
      <c r="H1841" t="s">
        <v>19</v>
      </c>
      <c r="I1841" s="13">
        <v>59.67</v>
      </c>
      <c r="J1841">
        <v>4.13</v>
      </c>
      <c r="K1841">
        <v>0.99</v>
      </c>
      <c r="L1841" t="s">
        <v>144</v>
      </c>
      <c r="M1841" t="s">
        <v>341</v>
      </c>
      <c r="N1841" s="5" t="s">
        <v>102</v>
      </c>
      <c r="O1841" t="s">
        <v>28</v>
      </c>
      <c r="P1841" t="s">
        <v>21</v>
      </c>
      <c r="Q1841" t="s">
        <v>48</v>
      </c>
      <c r="R1841">
        <v>0.39</v>
      </c>
      <c r="S1841" s="1">
        <v>41138</v>
      </c>
      <c r="T1841" t="str">
        <f t="shared" si="57"/>
        <v>17-Aug-2012</v>
      </c>
    </row>
    <row r="1842" spans="1:20" x14ac:dyDescent="0.3">
      <c r="A1842">
        <v>3331</v>
      </c>
      <c r="B1842" s="1">
        <v>40318</v>
      </c>
      <c r="C1842" t="s">
        <v>23</v>
      </c>
      <c r="D1842" t="str">
        <f t="shared" si="56"/>
        <v>20-May-2010</v>
      </c>
      <c r="E1842">
        <v>31</v>
      </c>
      <c r="F1842" s="13">
        <v>153.28</v>
      </c>
      <c r="G1842">
        <v>0.05</v>
      </c>
      <c r="H1842" t="s">
        <v>19</v>
      </c>
      <c r="I1842" s="13">
        <v>73.16</v>
      </c>
      <c r="J1842">
        <v>4.91</v>
      </c>
      <c r="K1842">
        <v>0.5</v>
      </c>
      <c r="L1842" t="s">
        <v>131</v>
      </c>
      <c r="M1842" t="s">
        <v>341</v>
      </c>
      <c r="N1842" s="5" t="s">
        <v>102</v>
      </c>
      <c r="O1842" t="s">
        <v>28</v>
      </c>
      <c r="P1842" t="s">
        <v>21</v>
      </c>
      <c r="Q1842" t="s">
        <v>48</v>
      </c>
      <c r="R1842">
        <v>0.36</v>
      </c>
      <c r="S1842" s="1">
        <v>40319</v>
      </c>
      <c r="T1842" t="str">
        <f t="shared" si="57"/>
        <v>21-May-2010</v>
      </c>
    </row>
    <row r="1843" spans="1:20" x14ac:dyDescent="0.3">
      <c r="A1843">
        <v>43493</v>
      </c>
      <c r="B1843" s="1">
        <v>41039</v>
      </c>
      <c r="C1843" t="s">
        <v>23</v>
      </c>
      <c r="D1843" t="str">
        <f t="shared" si="56"/>
        <v>10-May-2012</v>
      </c>
      <c r="E1843">
        <v>22</v>
      </c>
      <c r="F1843" s="13">
        <v>152.52000000000001</v>
      </c>
      <c r="G1843">
        <v>0.03</v>
      </c>
      <c r="H1843" t="s">
        <v>19</v>
      </c>
      <c r="I1843" s="13">
        <v>-43.87</v>
      </c>
      <c r="J1843">
        <v>6.48</v>
      </c>
      <c r="K1843">
        <v>5.94</v>
      </c>
      <c r="L1843" t="s">
        <v>352</v>
      </c>
      <c r="M1843" t="s">
        <v>341</v>
      </c>
      <c r="N1843" s="5" t="s">
        <v>102</v>
      </c>
      <c r="O1843" t="s">
        <v>28</v>
      </c>
      <c r="P1843" t="s">
        <v>21</v>
      </c>
      <c r="Q1843" t="s">
        <v>37</v>
      </c>
      <c r="R1843">
        <v>0.37</v>
      </c>
      <c r="S1843" s="1">
        <v>41040</v>
      </c>
      <c r="T1843" t="str">
        <f t="shared" si="57"/>
        <v>11-May-2012</v>
      </c>
    </row>
    <row r="1844" spans="1:20" x14ac:dyDescent="0.3">
      <c r="A1844">
        <v>8642</v>
      </c>
      <c r="B1844" s="1">
        <v>40194</v>
      </c>
      <c r="C1844" t="s">
        <v>23</v>
      </c>
      <c r="D1844" t="str">
        <f t="shared" si="56"/>
        <v>16-Jan-2010</v>
      </c>
      <c r="E1844">
        <v>26</v>
      </c>
      <c r="F1844" s="13">
        <v>151.05000000000001</v>
      </c>
      <c r="G1844">
        <v>0.09</v>
      </c>
      <c r="H1844" t="s">
        <v>19</v>
      </c>
      <c r="I1844" s="13">
        <v>-76.14</v>
      </c>
      <c r="J1844">
        <v>5.8</v>
      </c>
      <c r="K1844">
        <v>5.59</v>
      </c>
      <c r="L1844" t="s">
        <v>327</v>
      </c>
      <c r="M1844" t="s">
        <v>341</v>
      </c>
      <c r="N1844" s="5" t="s">
        <v>102</v>
      </c>
      <c r="O1844" t="s">
        <v>28</v>
      </c>
      <c r="P1844" t="s">
        <v>21</v>
      </c>
      <c r="Q1844" t="s">
        <v>26</v>
      </c>
      <c r="R1844">
        <v>0.4</v>
      </c>
      <c r="S1844" s="1">
        <v>40195</v>
      </c>
      <c r="T1844" t="str">
        <f t="shared" si="57"/>
        <v>17-Jan-2010</v>
      </c>
    </row>
    <row r="1845" spans="1:20" x14ac:dyDescent="0.3">
      <c r="A1845">
        <v>18374</v>
      </c>
      <c r="B1845" s="1">
        <v>41182</v>
      </c>
      <c r="C1845" t="s">
        <v>18</v>
      </c>
      <c r="D1845" t="str">
        <f t="shared" si="56"/>
        <v>30-Sep-2012</v>
      </c>
      <c r="E1845">
        <v>21</v>
      </c>
      <c r="F1845" s="13">
        <v>150.16</v>
      </c>
      <c r="G1845">
        <v>0.09</v>
      </c>
      <c r="H1845" t="s">
        <v>19</v>
      </c>
      <c r="I1845" s="13">
        <v>-32.78</v>
      </c>
      <c r="J1845">
        <v>7.28</v>
      </c>
      <c r="K1845">
        <v>5.47</v>
      </c>
      <c r="L1845" t="s">
        <v>352</v>
      </c>
      <c r="M1845" t="s">
        <v>341</v>
      </c>
      <c r="N1845" s="5" t="s">
        <v>102</v>
      </c>
      <c r="O1845" t="s">
        <v>28</v>
      </c>
      <c r="P1845" t="s">
        <v>21</v>
      </c>
      <c r="Q1845" t="s">
        <v>37</v>
      </c>
      <c r="R1845">
        <v>0.35</v>
      </c>
      <c r="S1845" s="1">
        <v>41184</v>
      </c>
      <c r="T1845" t="str">
        <f t="shared" si="57"/>
        <v>02-Oct-2012</v>
      </c>
    </row>
    <row r="1846" spans="1:20" x14ac:dyDescent="0.3">
      <c r="A1846">
        <v>27302</v>
      </c>
      <c r="B1846" s="1">
        <v>41164</v>
      </c>
      <c r="C1846" t="s">
        <v>18</v>
      </c>
      <c r="D1846" t="str">
        <f t="shared" si="56"/>
        <v>12-Sep-2012</v>
      </c>
      <c r="E1846">
        <v>3</v>
      </c>
      <c r="F1846" s="13">
        <v>143.5</v>
      </c>
      <c r="G1846">
        <v>0.08</v>
      </c>
      <c r="H1846" t="s">
        <v>19</v>
      </c>
      <c r="I1846" s="13">
        <v>-27.51</v>
      </c>
      <c r="J1846">
        <v>48.91</v>
      </c>
      <c r="K1846">
        <v>5.81</v>
      </c>
      <c r="L1846" t="s">
        <v>144</v>
      </c>
      <c r="M1846" t="s">
        <v>341</v>
      </c>
      <c r="N1846" s="5" t="s">
        <v>102</v>
      </c>
      <c r="O1846" t="s">
        <v>28</v>
      </c>
      <c r="P1846" t="s">
        <v>21</v>
      </c>
      <c r="Q1846" t="s">
        <v>37</v>
      </c>
      <c r="R1846">
        <v>0.38</v>
      </c>
      <c r="S1846" s="1">
        <v>41164</v>
      </c>
      <c r="T1846" t="str">
        <f t="shared" si="57"/>
        <v>12-Sep-2012</v>
      </c>
    </row>
    <row r="1847" spans="1:20" x14ac:dyDescent="0.3">
      <c r="A1847">
        <v>58784</v>
      </c>
      <c r="B1847" s="1">
        <v>39831</v>
      </c>
      <c r="C1847" t="s">
        <v>38</v>
      </c>
      <c r="D1847" t="str">
        <f t="shared" si="56"/>
        <v>18-Jan-2009</v>
      </c>
      <c r="E1847">
        <v>12</v>
      </c>
      <c r="F1847" s="13">
        <v>141.9</v>
      </c>
      <c r="G1847">
        <v>0.02</v>
      </c>
      <c r="H1847" t="s">
        <v>19</v>
      </c>
      <c r="I1847" s="13">
        <v>1.46</v>
      </c>
      <c r="J1847">
        <v>11.58</v>
      </c>
      <c r="K1847">
        <v>5.72</v>
      </c>
      <c r="L1847" t="s">
        <v>308</v>
      </c>
      <c r="M1847" t="s">
        <v>341</v>
      </c>
      <c r="N1847" s="5" t="s">
        <v>102</v>
      </c>
      <c r="O1847" t="s">
        <v>28</v>
      </c>
      <c r="P1847" t="s">
        <v>21</v>
      </c>
      <c r="Q1847" t="s">
        <v>42</v>
      </c>
      <c r="R1847">
        <v>0.35</v>
      </c>
      <c r="S1847" s="1">
        <v>39832</v>
      </c>
      <c r="T1847" t="str">
        <f t="shared" si="57"/>
        <v>19-Jan-2009</v>
      </c>
    </row>
    <row r="1848" spans="1:20" x14ac:dyDescent="0.3">
      <c r="A1848">
        <v>32</v>
      </c>
      <c r="B1848" s="1">
        <v>40739</v>
      </c>
      <c r="C1848" t="s">
        <v>23</v>
      </c>
      <c r="D1848" t="str">
        <f t="shared" si="56"/>
        <v>15-Jul-2011</v>
      </c>
      <c r="E1848">
        <v>15</v>
      </c>
      <c r="F1848" s="13">
        <v>140.56</v>
      </c>
      <c r="G1848">
        <v>0.04</v>
      </c>
      <c r="H1848" t="s">
        <v>19</v>
      </c>
      <c r="I1848" s="13">
        <v>-128.38</v>
      </c>
      <c r="J1848">
        <v>8.4600000000000009</v>
      </c>
      <c r="K1848">
        <v>8.99</v>
      </c>
      <c r="L1848" t="s">
        <v>355</v>
      </c>
      <c r="M1848" t="s">
        <v>341</v>
      </c>
      <c r="N1848" s="5" t="s">
        <v>102</v>
      </c>
      <c r="O1848" t="s">
        <v>28</v>
      </c>
      <c r="P1848" t="s">
        <v>29</v>
      </c>
      <c r="Q1848" t="s">
        <v>41</v>
      </c>
      <c r="R1848">
        <v>0.79</v>
      </c>
      <c r="S1848" s="1">
        <v>40740</v>
      </c>
      <c r="T1848" t="str">
        <f t="shared" si="57"/>
        <v>16-Jul-2011</v>
      </c>
    </row>
    <row r="1849" spans="1:20" x14ac:dyDescent="0.3">
      <c r="A1849">
        <v>33731</v>
      </c>
      <c r="B1849" s="1">
        <v>41190</v>
      </c>
      <c r="C1849" t="s">
        <v>23</v>
      </c>
      <c r="D1849" t="str">
        <f t="shared" si="56"/>
        <v>08-Oct-2012</v>
      </c>
      <c r="E1849">
        <v>12</v>
      </c>
      <c r="F1849" s="13">
        <v>138.88</v>
      </c>
      <c r="G1849">
        <v>0.05</v>
      </c>
      <c r="H1849" t="s">
        <v>19</v>
      </c>
      <c r="I1849" s="13">
        <v>-23.99</v>
      </c>
      <c r="J1849">
        <v>11.29</v>
      </c>
      <c r="K1849">
        <v>5.03</v>
      </c>
      <c r="L1849" t="s">
        <v>356</v>
      </c>
      <c r="M1849" t="s">
        <v>341</v>
      </c>
      <c r="N1849" s="5" t="s">
        <v>102</v>
      </c>
      <c r="O1849" t="s">
        <v>28</v>
      </c>
      <c r="P1849" t="s">
        <v>21</v>
      </c>
      <c r="Q1849" t="s">
        <v>22</v>
      </c>
      <c r="R1849">
        <v>0.59</v>
      </c>
      <c r="S1849" s="1">
        <v>41192</v>
      </c>
      <c r="T1849" t="str">
        <f t="shared" si="57"/>
        <v>10-Oct-2012</v>
      </c>
    </row>
    <row r="1850" spans="1:20" x14ac:dyDescent="0.3">
      <c r="A1850">
        <v>4166</v>
      </c>
      <c r="B1850" s="1">
        <v>40236</v>
      </c>
      <c r="C1850" t="s">
        <v>18</v>
      </c>
      <c r="D1850" t="str">
        <f t="shared" si="56"/>
        <v>27-Feb-2010</v>
      </c>
      <c r="E1850">
        <v>19</v>
      </c>
      <c r="F1850" s="13">
        <v>138.85</v>
      </c>
      <c r="G1850">
        <v>0.08</v>
      </c>
      <c r="H1850" t="s">
        <v>19</v>
      </c>
      <c r="I1850" s="13">
        <v>-49.35</v>
      </c>
      <c r="J1850">
        <v>7.1</v>
      </c>
      <c r="K1850">
        <v>6.05</v>
      </c>
      <c r="L1850" t="s">
        <v>327</v>
      </c>
      <c r="M1850" t="s">
        <v>341</v>
      </c>
      <c r="N1850" s="5" t="s">
        <v>102</v>
      </c>
      <c r="O1850" t="s">
        <v>28</v>
      </c>
      <c r="P1850" t="s">
        <v>21</v>
      </c>
      <c r="Q1850" t="s">
        <v>26</v>
      </c>
      <c r="R1850">
        <v>0.39</v>
      </c>
      <c r="S1850" s="1">
        <v>40236</v>
      </c>
      <c r="T1850" t="str">
        <f t="shared" si="57"/>
        <v>27-Feb-2010</v>
      </c>
    </row>
    <row r="1851" spans="1:20" x14ac:dyDescent="0.3">
      <c r="A1851">
        <v>20032</v>
      </c>
      <c r="B1851" s="1">
        <v>41218</v>
      </c>
      <c r="C1851" t="s">
        <v>38</v>
      </c>
      <c r="D1851" t="str">
        <f t="shared" si="56"/>
        <v>05-Nov-2012</v>
      </c>
      <c r="E1851">
        <v>8</v>
      </c>
      <c r="F1851" s="13">
        <v>137.38</v>
      </c>
      <c r="G1851">
        <v>0.06</v>
      </c>
      <c r="H1851" t="s">
        <v>19</v>
      </c>
      <c r="I1851" s="13">
        <v>-11.39</v>
      </c>
      <c r="J1851">
        <v>17.48</v>
      </c>
      <c r="K1851">
        <v>1.99</v>
      </c>
      <c r="L1851" t="s">
        <v>358</v>
      </c>
      <c r="M1851" t="s">
        <v>341</v>
      </c>
      <c r="N1851" s="5" t="s">
        <v>102</v>
      </c>
      <c r="O1851" t="s">
        <v>28</v>
      </c>
      <c r="P1851" t="s">
        <v>29</v>
      </c>
      <c r="Q1851" t="s">
        <v>41</v>
      </c>
      <c r="R1851">
        <v>0.45</v>
      </c>
      <c r="S1851" s="1">
        <v>41220</v>
      </c>
      <c r="T1851" t="str">
        <f t="shared" si="57"/>
        <v>07-Nov-2012</v>
      </c>
    </row>
    <row r="1852" spans="1:20" x14ac:dyDescent="0.3">
      <c r="A1852">
        <v>25799</v>
      </c>
      <c r="B1852" s="1">
        <v>40598</v>
      </c>
      <c r="C1852" t="s">
        <v>18</v>
      </c>
      <c r="D1852" t="str">
        <f t="shared" si="56"/>
        <v>24-Feb-2011</v>
      </c>
      <c r="E1852">
        <v>38</v>
      </c>
      <c r="F1852" s="13">
        <v>136.5</v>
      </c>
      <c r="G1852">
        <v>0.05</v>
      </c>
      <c r="H1852" t="s">
        <v>19</v>
      </c>
      <c r="I1852" s="13">
        <v>-216.66</v>
      </c>
      <c r="J1852">
        <v>3.34</v>
      </c>
      <c r="K1852">
        <v>7.49</v>
      </c>
      <c r="L1852" t="s">
        <v>363</v>
      </c>
      <c r="M1852" t="s">
        <v>341</v>
      </c>
      <c r="N1852" s="5" t="s">
        <v>102</v>
      </c>
      <c r="O1852" t="s">
        <v>28</v>
      </c>
      <c r="P1852" t="s">
        <v>21</v>
      </c>
      <c r="Q1852" t="s">
        <v>50</v>
      </c>
      <c r="R1852">
        <v>0.54</v>
      </c>
      <c r="S1852" s="1">
        <v>40601</v>
      </c>
      <c r="T1852" t="str">
        <f t="shared" si="57"/>
        <v>27-Feb-2011</v>
      </c>
    </row>
    <row r="1853" spans="1:20" x14ac:dyDescent="0.3">
      <c r="A1853">
        <v>8642</v>
      </c>
      <c r="B1853" s="1">
        <v>40194</v>
      </c>
      <c r="C1853" t="s">
        <v>23</v>
      </c>
      <c r="D1853" t="str">
        <f t="shared" si="56"/>
        <v>16-Jan-2010</v>
      </c>
      <c r="E1853">
        <v>13</v>
      </c>
      <c r="F1853" s="13">
        <v>133.04</v>
      </c>
      <c r="G1853">
        <v>0.04</v>
      </c>
      <c r="H1853" t="s">
        <v>19</v>
      </c>
      <c r="I1853" s="13">
        <v>49.69</v>
      </c>
      <c r="J1853">
        <v>10.35</v>
      </c>
      <c r="K1853">
        <v>0.99</v>
      </c>
      <c r="L1853" t="s">
        <v>327</v>
      </c>
      <c r="M1853" t="s">
        <v>341</v>
      </c>
      <c r="N1853" s="5" t="s">
        <v>102</v>
      </c>
      <c r="O1853" t="s">
        <v>28</v>
      </c>
      <c r="P1853" t="s">
        <v>21</v>
      </c>
      <c r="Q1853" t="s">
        <v>48</v>
      </c>
      <c r="R1853">
        <v>0.37</v>
      </c>
      <c r="S1853" s="1">
        <v>40195</v>
      </c>
      <c r="T1853" t="str">
        <f t="shared" si="57"/>
        <v>17-Jan-2010</v>
      </c>
    </row>
    <row r="1854" spans="1:20" x14ac:dyDescent="0.3">
      <c r="A1854">
        <v>46884</v>
      </c>
      <c r="B1854" s="1">
        <v>39830</v>
      </c>
      <c r="C1854" t="s">
        <v>38</v>
      </c>
      <c r="D1854" t="str">
        <f t="shared" si="56"/>
        <v>17-Jan-2009</v>
      </c>
      <c r="E1854">
        <v>18</v>
      </c>
      <c r="F1854" s="13">
        <v>130.11000000000001</v>
      </c>
      <c r="G1854">
        <v>0.1</v>
      </c>
      <c r="H1854" t="s">
        <v>19</v>
      </c>
      <c r="I1854" s="13">
        <v>40.299999999999997</v>
      </c>
      <c r="J1854">
        <v>7.64</v>
      </c>
      <c r="K1854">
        <v>1.39</v>
      </c>
      <c r="L1854" t="s">
        <v>180</v>
      </c>
      <c r="M1854" t="s">
        <v>341</v>
      </c>
      <c r="N1854" s="5" t="s">
        <v>102</v>
      </c>
      <c r="O1854" t="s">
        <v>28</v>
      </c>
      <c r="P1854" t="s">
        <v>21</v>
      </c>
      <c r="Q1854" t="s">
        <v>42</v>
      </c>
      <c r="R1854">
        <v>0.36</v>
      </c>
      <c r="S1854" s="1">
        <v>39832</v>
      </c>
      <c r="T1854" t="str">
        <f t="shared" si="57"/>
        <v>19-Jan-2009</v>
      </c>
    </row>
    <row r="1855" spans="1:20" x14ac:dyDescent="0.3">
      <c r="A1855">
        <v>47203</v>
      </c>
      <c r="B1855" s="1">
        <v>40165</v>
      </c>
      <c r="C1855" t="s">
        <v>43</v>
      </c>
      <c r="D1855" t="str">
        <f t="shared" si="56"/>
        <v>18-Dec-2009</v>
      </c>
      <c r="E1855">
        <v>8</v>
      </c>
      <c r="F1855" s="13">
        <v>129.18</v>
      </c>
      <c r="G1855">
        <v>0.04</v>
      </c>
      <c r="H1855" t="s">
        <v>19</v>
      </c>
      <c r="I1855" s="13">
        <v>-30.02</v>
      </c>
      <c r="J1855">
        <v>15.98</v>
      </c>
      <c r="K1855">
        <v>4</v>
      </c>
      <c r="L1855" t="s">
        <v>133</v>
      </c>
      <c r="M1855" t="s">
        <v>341</v>
      </c>
      <c r="N1855" s="5" t="s">
        <v>102</v>
      </c>
      <c r="O1855" t="s">
        <v>28</v>
      </c>
      <c r="P1855" t="s">
        <v>29</v>
      </c>
      <c r="Q1855" t="s">
        <v>41</v>
      </c>
      <c r="R1855">
        <v>0.37</v>
      </c>
      <c r="S1855" s="1">
        <v>40166</v>
      </c>
      <c r="T1855" t="str">
        <f t="shared" si="57"/>
        <v>19-Dec-2009</v>
      </c>
    </row>
    <row r="1856" spans="1:20" x14ac:dyDescent="0.3">
      <c r="A1856">
        <v>22407</v>
      </c>
      <c r="B1856" s="1">
        <v>40134</v>
      </c>
      <c r="C1856" t="s">
        <v>31</v>
      </c>
      <c r="D1856" t="str">
        <f t="shared" si="56"/>
        <v>17-Nov-2009</v>
      </c>
      <c r="E1856">
        <v>10</v>
      </c>
      <c r="F1856" s="13">
        <v>128.02000000000001</v>
      </c>
      <c r="G1856">
        <v>0.02</v>
      </c>
      <c r="H1856" t="s">
        <v>19</v>
      </c>
      <c r="I1856" s="13">
        <v>-7.9</v>
      </c>
      <c r="J1856">
        <v>12.28</v>
      </c>
      <c r="K1856">
        <v>6.47</v>
      </c>
      <c r="L1856" t="s">
        <v>349</v>
      </c>
      <c r="M1856" t="s">
        <v>341</v>
      </c>
      <c r="N1856" s="5" t="s">
        <v>102</v>
      </c>
      <c r="O1856" t="s">
        <v>28</v>
      </c>
      <c r="P1856" t="s">
        <v>21</v>
      </c>
      <c r="Q1856" t="s">
        <v>37</v>
      </c>
      <c r="R1856">
        <v>0.38</v>
      </c>
      <c r="S1856" s="1">
        <v>40134</v>
      </c>
      <c r="T1856" t="str">
        <f t="shared" si="57"/>
        <v>17-Nov-2009</v>
      </c>
    </row>
    <row r="1857" spans="1:20" x14ac:dyDescent="0.3">
      <c r="A1857">
        <v>19748</v>
      </c>
      <c r="B1857" s="1">
        <v>40394</v>
      </c>
      <c r="C1857" t="s">
        <v>31</v>
      </c>
      <c r="D1857" t="str">
        <f t="shared" si="56"/>
        <v>04-Aug-2010</v>
      </c>
      <c r="E1857">
        <v>6</v>
      </c>
      <c r="F1857" s="13">
        <v>124.65</v>
      </c>
      <c r="G1857">
        <v>0.01</v>
      </c>
      <c r="H1857" t="s">
        <v>19</v>
      </c>
      <c r="I1857" s="13">
        <v>13.34</v>
      </c>
      <c r="J1857">
        <v>18.97</v>
      </c>
      <c r="K1857">
        <v>5.21</v>
      </c>
      <c r="L1857" t="s">
        <v>357</v>
      </c>
      <c r="M1857" t="s">
        <v>341</v>
      </c>
      <c r="N1857" s="5" t="s">
        <v>102</v>
      </c>
      <c r="O1857" t="s">
        <v>28</v>
      </c>
      <c r="P1857" t="s">
        <v>21</v>
      </c>
      <c r="Q1857" t="s">
        <v>37</v>
      </c>
      <c r="R1857">
        <v>0.37</v>
      </c>
      <c r="S1857" s="1">
        <v>40395</v>
      </c>
      <c r="T1857" t="str">
        <f t="shared" si="57"/>
        <v>05-Aug-2010</v>
      </c>
    </row>
    <row r="1858" spans="1:20" x14ac:dyDescent="0.3">
      <c r="A1858">
        <v>9637</v>
      </c>
      <c r="B1858" s="1">
        <v>39816</v>
      </c>
      <c r="C1858" t="s">
        <v>18</v>
      </c>
      <c r="D1858" t="str">
        <f t="shared" ref="D1858:D1921" si="58">TEXT(B1858, "dd-mmm-yyyy" )</f>
        <v>03-Jan-2009</v>
      </c>
      <c r="E1858">
        <v>12</v>
      </c>
      <c r="F1858" s="13">
        <v>123.76</v>
      </c>
      <c r="G1858">
        <v>0.04</v>
      </c>
      <c r="H1858" t="s">
        <v>19</v>
      </c>
      <c r="I1858" s="13">
        <v>32.44</v>
      </c>
      <c r="J1858">
        <v>10.14</v>
      </c>
      <c r="K1858">
        <v>2.27</v>
      </c>
      <c r="L1858" t="s">
        <v>203</v>
      </c>
      <c r="M1858" t="s">
        <v>341</v>
      </c>
      <c r="N1858" s="5" t="s">
        <v>102</v>
      </c>
      <c r="O1858" t="s">
        <v>28</v>
      </c>
      <c r="P1858" t="s">
        <v>21</v>
      </c>
      <c r="Q1858" t="s">
        <v>37</v>
      </c>
      <c r="R1858">
        <v>0.36</v>
      </c>
      <c r="S1858" s="1">
        <v>39820</v>
      </c>
      <c r="T1858" t="str">
        <f t="shared" ref="T1858:T1921" si="59">TEXT(S1858, "dd-mmm-yyyy")</f>
        <v>07-Jan-2009</v>
      </c>
    </row>
    <row r="1859" spans="1:20" x14ac:dyDescent="0.3">
      <c r="A1859">
        <v>31687</v>
      </c>
      <c r="B1859" s="1">
        <v>40682</v>
      </c>
      <c r="C1859" t="s">
        <v>23</v>
      </c>
      <c r="D1859" t="str">
        <f t="shared" si="58"/>
        <v>19-May-2011</v>
      </c>
      <c r="E1859">
        <v>44</v>
      </c>
      <c r="F1859" s="13">
        <v>123.06</v>
      </c>
      <c r="G1859">
        <v>7.0000000000000007E-2</v>
      </c>
      <c r="H1859" t="s">
        <v>19</v>
      </c>
      <c r="I1859" s="13">
        <v>3.5</v>
      </c>
      <c r="J1859">
        <v>2.78</v>
      </c>
      <c r="K1859">
        <v>1.34</v>
      </c>
      <c r="L1859" t="s">
        <v>369</v>
      </c>
      <c r="M1859" t="s">
        <v>341</v>
      </c>
      <c r="N1859" s="5" t="s">
        <v>102</v>
      </c>
      <c r="O1859" t="s">
        <v>28</v>
      </c>
      <c r="P1859" t="s">
        <v>21</v>
      </c>
      <c r="Q1859" t="s">
        <v>50</v>
      </c>
      <c r="R1859">
        <v>0.45</v>
      </c>
      <c r="S1859" s="1">
        <v>40682</v>
      </c>
      <c r="T1859" t="str">
        <f t="shared" si="59"/>
        <v>19-May-2011</v>
      </c>
    </row>
    <row r="1860" spans="1:20" x14ac:dyDescent="0.3">
      <c r="A1860">
        <v>56099</v>
      </c>
      <c r="B1860" s="1">
        <v>40456</v>
      </c>
      <c r="C1860" t="s">
        <v>18</v>
      </c>
      <c r="D1860" t="str">
        <f t="shared" si="58"/>
        <v>05-Oct-2010</v>
      </c>
      <c r="E1860">
        <v>11</v>
      </c>
      <c r="F1860" s="13">
        <v>122.35</v>
      </c>
      <c r="G1860">
        <v>0.02</v>
      </c>
      <c r="H1860" t="s">
        <v>19</v>
      </c>
      <c r="I1860" s="13">
        <v>-13.55</v>
      </c>
      <c r="J1860">
        <v>10.98</v>
      </c>
      <c r="K1860">
        <v>3.99</v>
      </c>
      <c r="L1860" t="s">
        <v>348</v>
      </c>
      <c r="M1860" t="s">
        <v>341</v>
      </c>
      <c r="N1860" s="5" t="s">
        <v>102</v>
      </c>
      <c r="O1860" t="s">
        <v>28</v>
      </c>
      <c r="P1860" t="s">
        <v>21</v>
      </c>
      <c r="Q1860" t="s">
        <v>25</v>
      </c>
      <c r="R1860">
        <v>0.57999999999999996</v>
      </c>
      <c r="S1860" s="1">
        <v>40463</v>
      </c>
      <c r="T1860" t="str">
        <f t="shared" si="59"/>
        <v>12-Oct-2010</v>
      </c>
    </row>
    <row r="1861" spans="1:20" x14ac:dyDescent="0.3">
      <c r="A1861">
        <v>3012</v>
      </c>
      <c r="B1861" s="1">
        <v>40302</v>
      </c>
      <c r="C1861" t="s">
        <v>43</v>
      </c>
      <c r="D1861" t="str">
        <f t="shared" si="58"/>
        <v>04-May-2010</v>
      </c>
      <c r="E1861">
        <v>41</v>
      </c>
      <c r="F1861" s="13">
        <v>120.03</v>
      </c>
      <c r="G1861">
        <v>0</v>
      </c>
      <c r="H1861" t="s">
        <v>19</v>
      </c>
      <c r="I1861" s="13">
        <v>10.5</v>
      </c>
      <c r="J1861">
        <v>2.78</v>
      </c>
      <c r="K1861">
        <v>1.49</v>
      </c>
      <c r="L1861" t="s">
        <v>357</v>
      </c>
      <c r="M1861" t="s">
        <v>341</v>
      </c>
      <c r="N1861" s="5" t="s">
        <v>102</v>
      </c>
      <c r="O1861" t="s">
        <v>28</v>
      </c>
      <c r="P1861" t="s">
        <v>21</v>
      </c>
      <c r="Q1861" t="s">
        <v>26</v>
      </c>
      <c r="R1861">
        <v>0.36</v>
      </c>
      <c r="S1861" s="1">
        <v>40304</v>
      </c>
      <c r="T1861" t="str">
        <f t="shared" si="59"/>
        <v>06-May-2010</v>
      </c>
    </row>
    <row r="1862" spans="1:20" x14ac:dyDescent="0.3">
      <c r="A1862">
        <v>16935</v>
      </c>
      <c r="B1862" s="1">
        <v>41258</v>
      </c>
      <c r="C1862" t="s">
        <v>31</v>
      </c>
      <c r="D1862" t="str">
        <f t="shared" si="58"/>
        <v>15-Dec-2012</v>
      </c>
      <c r="E1862">
        <v>43</v>
      </c>
      <c r="F1862" s="13">
        <v>117.68</v>
      </c>
      <c r="G1862">
        <v>0.09</v>
      </c>
      <c r="H1862" t="s">
        <v>35</v>
      </c>
      <c r="I1862" s="13">
        <v>12.47</v>
      </c>
      <c r="J1862">
        <v>2.88</v>
      </c>
      <c r="K1862">
        <v>0.7</v>
      </c>
      <c r="L1862" t="s">
        <v>362</v>
      </c>
      <c r="M1862" t="s">
        <v>341</v>
      </c>
      <c r="N1862" s="5" t="s">
        <v>102</v>
      </c>
      <c r="O1862" t="s">
        <v>28</v>
      </c>
      <c r="P1862" t="s">
        <v>21</v>
      </c>
      <c r="Q1862" t="s">
        <v>50</v>
      </c>
      <c r="R1862">
        <v>0.56000000000000005</v>
      </c>
      <c r="S1862" s="1">
        <v>41260</v>
      </c>
      <c r="T1862" t="str">
        <f t="shared" si="59"/>
        <v>17-Dec-2012</v>
      </c>
    </row>
    <row r="1863" spans="1:20" x14ac:dyDescent="0.3">
      <c r="A1863">
        <v>20292</v>
      </c>
      <c r="B1863" s="1">
        <v>41221</v>
      </c>
      <c r="C1863" t="s">
        <v>38</v>
      </c>
      <c r="D1863" t="str">
        <f t="shared" si="58"/>
        <v>08-Nov-2012</v>
      </c>
      <c r="E1863">
        <v>5</v>
      </c>
      <c r="F1863" s="13">
        <v>117.13</v>
      </c>
      <c r="G1863">
        <v>0</v>
      </c>
      <c r="H1863" t="s">
        <v>19</v>
      </c>
      <c r="I1863" s="13">
        <v>-70.47</v>
      </c>
      <c r="J1863">
        <v>20.95</v>
      </c>
      <c r="K1863">
        <v>4</v>
      </c>
      <c r="L1863" t="s">
        <v>362</v>
      </c>
      <c r="M1863" t="s">
        <v>341</v>
      </c>
      <c r="N1863" s="5" t="s">
        <v>102</v>
      </c>
      <c r="O1863" t="s">
        <v>28</v>
      </c>
      <c r="P1863" t="s">
        <v>29</v>
      </c>
      <c r="Q1863" t="s">
        <v>41</v>
      </c>
      <c r="R1863">
        <v>0.6</v>
      </c>
      <c r="S1863" s="1">
        <v>41222</v>
      </c>
      <c r="T1863" t="str">
        <f t="shared" si="59"/>
        <v>09-Nov-2012</v>
      </c>
    </row>
    <row r="1864" spans="1:20" x14ac:dyDescent="0.3">
      <c r="A1864">
        <v>25155</v>
      </c>
      <c r="B1864" s="1">
        <v>40198</v>
      </c>
      <c r="C1864" t="s">
        <v>18</v>
      </c>
      <c r="D1864" t="str">
        <f t="shared" si="58"/>
        <v>20-Jan-2010</v>
      </c>
      <c r="E1864">
        <v>17</v>
      </c>
      <c r="F1864" s="13">
        <v>114.01</v>
      </c>
      <c r="G1864">
        <v>0.08</v>
      </c>
      <c r="H1864" t="s">
        <v>19</v>
      </c>
      <c r="I1864" s="13">
        <v>6.99</v>
      </c>
      <c r="J1864">
        <v>6.69</v>
      </c>
      <c r="K1864">
        <v>3.1</v>
      </c>
      <c r="L1864" t="s">
        <v>343</v>
      </c>
      <c r="M1864" t="s">
        <v>341</v>
      </c>
      <c r="N1864" s="5" t="s">
        <v>102</v>
      </c>
      <c r="O1864" t="s">
        <v>28</v>
      </c>
      <c r="P1864" t="s">
        <v>21</v>
      </c>
      <c r="Q1864" t="s">
        <v>37</v>
      </c>
      <c r="R1864">
        <v>0.36</v>
      </c>
      <c r="S1864" s="1">
        <v>40205</v>
      </c>
      <c r="T1864" t="str">
        <f t="shared" si="59"/>
        <v>27-Jan-2010</v>
      </c>
    </row>
    <row r="1865" spans="1:20" x14ac:dyDescent="0.3">
      <c r="A1865">
        <v>52678</v>
      </c>
      <c r="B1865" s="1">
        <v>41119</v>
      </c>
      <c r="C1865" t="s">
        <v>23</v>
      </c>
      <c r="D1865" t="str">
        <f t="shared" si="58"/>
        <v>29-Jul-2012</v>
      </c>
      <c r="E1865">
        <v>3</v>
      </c>
      <c r="F1865" s="13">
        <v>112.79</v>
      </c>
      <c r="G1865">
        <v>0.06</v>
      </c>
      <c r="H1865" t="s">
        <v>24</v>
      </c>
      <c r="I1865" s="13">
        <v>-95.39</v>
      </c>
      <c r="J1865">
        <v>20.98</v>
      </c>
      <c r="K1865">
        <v>53.03</v>
      </c>
      <c r="L1865" t="s">
        <v>356</v>
      </c>
      <c r="M1865" t="s">
        <v>341</v>
      </c>
      <c r="N1865" s="5" t="s">
        <v>102</v>
      </c>
      <c r="O1865" t="s">
        <v>28</v>
      </c>
      <c r="P1865" t="s">
        <v>21</v>
      </c>
      <c r="Q1865" t="s">
        <v>22</v>
      </c>
      <c r="R1865">
        <v>0.78</v>
      </c>
      <c r="S1865" s="1">
        <v>41121</v>
      </c>
      <c r="T1865" t="str">
        <f t="shared" si="59"/>
        <v>31-Jul-2012</v>
      </c>
    </row>
    <row r="1866" spans="1:20" x14ac:dyDescent="0.3">
      <c r="A1866">
        <v>26310</v>
      </c>
      <c r="B1866" s="1">
        <v>41119</v>
      </c>
      <c r="C1866" t="s">
        <v>31</v>
      </c>
      <c r="D1866" t="str">
        <f t="shared" si="58"/>
        <v>29-Jul-2012</v>
      </c>
      <c r="E1866">
        <v>19</v>
      </c>
      <c r="F1866" s="13">
        <v>112.67</v>
      </c>
      <c r="G1866">
        <v>0.09</v>
      </c>
      <c r="H1866" t="s">
        <v>19</v>
      </c>
      <c r="I1866" s="13">
        <v>-37.85</v>
      </c>
      <c r="J1866">
        <v>5.98</v>
      </c>
      <c r="K1866">
        <v>5.14</v>
      </c>
      <c r="L1866" t="s">
        <v>350</v>
      </c>
      <c r="M1866" t="s">
        <v>341</v>
      </c>
      <c r="N1866" s="5" t="s">
        <v>102</v>
      </c>
      <c r="O1866" t="s">
        <v>28</v>
      </c>
      <c r="P1866" t="s">
        <v>21</v>
      </c>
      <c r="Q1866" t="s">
        <v>37</v>
      </c>
      <c r="R1866">
        <v>0.36</v>
      </c>
      <c r="S1866" s="1">
        <v>41120</v>
      </c>
      <c r="T1866" t="str">
        <f t="shared" si="59"/>
        <v>30-Jul-2012</v>
      </c>
    </row>
    <row r="1867" spans="1:20" x14ac:dyDescent="0.3">
      <c r="A1867">
        <v>49351</v>
      </c>
      <c r="B1867" s="1">
        <v>40998</v>
      </c>
      <c r="C1867" t="s">
        <v>18</v>
      </c>
      <c r="D1867" t="str">
        <f t="shared" si="58"/>
        <v>30-Mar-2012</v>
      </c>
      <c r="E1867">
        <v>27</v>
      </c>
      <c r="F1867" s="13">
        <v>109.92</v>
      </c>
      <c r="G1867">
        <v>0.06</v>
      </c>
      <c r="H1867" t="s">
        <v>19</v>
      </c>
      <c r="I1867" s="13">
        <v>24.75</v>
      </c>
      <c r="J1867">
        <v>3.98</v>
      </c>
      <c r="K1867">
        <v>0.83</v>
      </c>
      <c r="L1867" t="s">
        <v>348</v>
      </c>
      <c r="M1867" t="s">
        <v>341</v>
      </c>
      <c r="N1867" s="5" t="s">
        <v>102</v>
      </c>
      <c r="O1867" t="s">
        <v>28</v>
      </c>
      <c r="P1867" t="s">
        <v>21</v>
      </c>
      <c r="Q1867" t="s">
        <v>50</v>
      </c>
      <c r="R1867">
        <v>0.51</v>
      </c>
      <c r="S1867" s="1">
        <v>41002</v>
      </c>
      <c r="T1867" t="str">
        <f t="shared" si="59"/>
        <v>03-Apr-2012</v>
      </c>
    </row>
    <row r="1868" spans="1:20" x14ac:dyDescent="0.3">
      <c r="A1868">
        <v>33731</v>
      </c>
      <c r="B1868" s="1">
        <v>41190</v>
      </c>
      <c r="C1868" t="s">
        <v>23</v>
      </c>
      <c r="D1868" t="str">
        <f t="shared" si="58"/>
        <v>08-Oct-2012</v>
      </c>
      <c r="E1868">
        <v>32</v>
      </c>
      <c r="F1868" s="13">
        <v>109.01</v>
      </c>
      <c r="G1868">
        <v>0.09</v>
      </c>
      <c r="H1868" t="s">
        <v>19</v>
      </c>
      <c r="I1868" s="13">
        <v>8.4499999999999993</v>
      </c>
      <c r="J1868">
        <v>3.58</v>
      </c>
      <c r="K1868">
        <v>1.63</v>
      </c>
      <c r="L1868" t="s">
        <v>356</v>
      </c>
      <c r="M1868" t="s">
        <v>341</v>
      </c>
      <c r="N1868" s="5" t="s">
        <v>102</v>
      </c>
      <c r="O1868" t="s">
        <v>28</v>
      </c>
      <c r="P1868" t="s">
        <v>21</v>
      </c>
      <c r="Q1868" t="s">
        <v>39</v>
      </c>
      <c r="R1868">
        <v>0.36</v>
      </c>
      <c r="S1868" s="1">
        <v>41190</v>
      </c>
      <c r="T1868" t="str">
        <f t="shared" si="59"/>
        <v>08-Oct-2012</v>
      </c>
    </row>
    <row r="1869" spans="1:20" x14ac:dyDescent="0.3">
      <c r="A1869">
        <v>15815</v>
      </c>
      <c r="B1869" s="1">
        <v>39934</v>
      </c>
      <c r="C1869" t="s">
        <v>43</v>
      </c>
      <c r="D1869" t="str">
        <f t="shared" si="58"/>
        <v>01-May-2009</v>
      </c>
      <c r="E1869">
        <v>24</v>
      </c>
      <c r="F1869" s="13">
        <v>107.41</v>
      </c>
      <c r="G1869">
        <v>0.03</v>
      </c>
      <c r="H1869" t="s">
        <v>19</v>
      </c>
      <c r="I1869" s="13">
        <v>20.68</v>
      </c>
      <c r="J1869">
        <v>4.55</v>
      </c>
      <c r="K1869">
        <v>1.49</v>
      </c>
      <c r="L1869" t="s">
        <v>342</v>
      </c>
      <c r="M1869" t="s">
        <v>341</v>
      </c>
      <c r="N1869" s="5" t="s">
        <v>102</v>
      </c>
      <c r="O1869" t="s">
        <v>28</v>
      </c>
      <c r="P1869" t="s">
        <v>21</v>
      </c>
      <c r="Q1869" t="s">
        <v>26</v>
      </c>
      <c r="R1869">
        <v>0.35</v>
      </c>
      <c r="S1869" s="1">
        <v>39934</v>
      </c>
      <c r="T1869" t="str">
        <f t="shared" si="59"/>
        <v>01-May-2009</v>
      </c>
    </row>
    <row r="1870" spans="1:20" x14ac:dyDescent="0.3">
      <c r="A1870">
        <v>31106</v>
      </c>
      <c r="B1870" s="1">
        <v>40955</v>
      </c>
      <c r="C1870" t="s">
        <v>18</v>
      </c>
      <c r="D1870" t="str">
        <f t="shared" si="58"/>
        <v>16-Feb-2012</v>
      </c>
      <c r="E1870">
        <v>37</v>
      </c>
      <c r="F1870" s="13">
        <v>101.9</v>
      </c>
      <c r="G1870">
        <v>0</v>
      </c>
      <c r="H1870" t="s">
        <v>19</v>
      </c>
      <c r="I1870" s="13">
        <v>40.520000000000003</v>
      </c>
      <c r="J1870">
        <v>2.61</v>
      </c>
      <c r="K1870">
        <v>0.5</v>
      </c>
      <c r="L1870" t="s">
        <v>352</v>
      </c>
      <c r="M1870" t="s">
        <v>341</v>
      </c>
      <c r="N1870" s="5" t="s">
        <v>102</v>
      </c>
      <c r="O1870" t="s">
        <v>28</v>
      </c>
      <c r="P1870" t="s">
        <v>21</v>
      </c>
      <c r="Q1870" t="s">
        <v>48</v>
      </c>
      <c r="R1870">
        <v>0.39</v>
      </c>
      <c r="S1870" s="1">
        <v>40955</v>
      </c>
      <c r="T1870" t="str">
        <f t="shared" si="59"/>
        <v>16-Feb-2012</v>
      </c>
    </row>
    <row r="1871" spans="1:20" x14ac:dyDescent="0.3">
      <c r="A1871">
        <v>17381</v>
      </c>
      <c r="B1871" s="1">
        <v>40404</v>
      </c>
      <c r="C1871" t="s">
        <v>23</v>
      </c>
      <c r="D1871" t="str">
        <f t="shared" si="58"/>
        <v>14-Aug-2010</v>
      </c>
      <c r="E1871">
        <v>28</v>
      </c>
      <c r="F1871" s="13">
        <v>101.25</v>
      </c>
      <c r="G1871">
        <v>0.05</v>
      </c>
      <c r="H1871" t="s">
        <v>19</v>
      </c>
      <c r="I1871" s="13">
        <v>40.9</v>
      </c>
      <c r="J1871">
        <v>3.75</v>
      </c>
      <c r="K1871">
        <v>0.5</v>
      </c>
      <c r="L1871" t="s">
        <v>173</v>
      </c>
      <c r="M1871" t="s">
        <v>341</v>
      </c>
      <c r="N1871" s="5" t="s">
        <v>102</v>
      </c>
      <c r="O1871" t="s">
        <v>28</v>
      </c>
      <c r="P1871" t="s">
        <v>21</v>
      </c>
      <c r="Q1871" t="s">
        <v>48</v>
      </c>
      <c r="R1871">
        <v>0.37</v>
      </c>
      <c r="S1871" s="1">
        <v>40405</v>
      </c>
      <c r="T1871" t="str">
        <f t="shared" si="59"/>
        <v>15-Aug-2010</v>
      </c>
    </row>
    <row r="1872" spans="1:20" x14ac:dyDescent="0.3">
      <c r="A1872">
        <v>49319</v>
      </c>
      <c r="B1872" s="1">
        <v>40780</v>
      </c>
      <c r="C1872" t="s">
        <v>18</v>
      </c>
      <c r="D1872" t="str">
        <f t="shared" si="58"/>
        <v>25-Aug-2011</v>
      </c>
      <c r="E1872">
        <v>13</v>
      </c>
      <c r="F1872" s="13">
        <v>98.82</v>
      </c>
      <c r="G1872">
        <v>0.09</v>
      </c>
      <c r="H1872" t="s">
        <v>19</v>
      </c>
      <c r="I1872" s="13">
        <v>-68.66</v>
      </c>
      <c r="J1872">
        <v>7.37</v>
      </c>
      <c r="K1872">
        <v>5.53</v>
      </c>
      <c r="L1872" t="s">
        <v>354</v>
      </c>
      <c r="M1872" t="s">
        <v>341</v>
      </c>
      <c r="N1872" s="5" t="s">
        <v>102</v>
      </c>
      <c r="O1872" t="s">
        <v>28</v>
      </c>
      <c r="P1872" t="s">
        <v>29</v>
      </c>
      <c r="Q1872" t="s">
        <v>41</v>
      </c>
      <c r="R1872">
        <v>0.69</v>
      </c>
      <c r="S1872" s="1">
        <v>40782</v>
      </c>
      <c r="T1872" t="str">
        <f t="shared" si="59"/>
        <v>27-Aug-2011</v>
      </c>
    </row>
    <row r="1873" spans="1:20" x14ac:dyDescent="0.3">
      <c r="A1873">
        <v>56099</v>
      </c>
      <c r="B1873" s="1">
        <v>40456</v>
      </c>
      <c r="C1873" t="s">
        <v>18</v>
      </c>
      <c r="D1873" t="str">
        <f t="shared" si="58"/>
        <v>05-Oct-2010</v>
      </c>
      <c r="E1873">
        <v>6</v>
      </c>
      <c r="F1873" s="13">
        <v>96.03</v>
      </c>
      <c r="G1873">
        <v>0.1</v>
      </c>
      <c r="H1873" t="s">
        <v>19</v>
      </c>
      <c r="I1873" s="13">
        <v>-59.39</v>
      </c>
      <c r="J1873">
        <v>15.7</v>
      </c>
      <c r="K1873">
        <v>11.25</v>
      </c>
      <c r="L1873" t="s">
        <v>348</v>
      </c>
      <c r="M1873" t="s">
        <v>341</v>
      </c>
      <c r="N1873" s="5" t="s">
        <v>102</v>
      </c>
      <c r="O1873" t="s">
        <v>28</v>
      </c>
      <c r="P1873" t="s">
        <v>21</v>
      </c>
      <c r="Q1873" t="s">
        <v>22</v>
      </c>
      <c r="R1873">
        <v>0.6</v>
      </c>
      <c r="S1873" s="1">
        <v>40463</v>
      </c>
      <c r="T1873" t="str">
        <f t="shared" si="59"/>
        <v>12-Oct-2010</v>
      </c>
    </row>
    <row r="1874" spans="1:20" x14ac:dyDescent="0.3">
      <c r="A1874">
        <v>49346</v>
      </c>
      <c r="B1874" s="1">
        <v>40668</v>
      </c>
      <c r="C1874" t="s">
        <v>31</v>
      </c>
      <c r="D1874" t="str">
        <f t="shared" si="58"/>
        <v>05-May-2011</v>
      </c>
      <c r="E1874">
        <v>8</v>
      </c>
      <c r="F1874" s="13">
        <v>94.35</v>
      </c>
      <c r="G1874">
        <v>0.1</v>
      </c>
      <c r="H1874" t="s">
        <v>19</v>
      </c>
      <c r="I1874" s="13">
        <v>42.22</v>
      </c>
      <c r="J1874">
        <v>12.22</v>
      </c>
      <c r="K1874">
        <v>2.85</v>
      </c>
      <c r="L1874" t="s">
        <v>346</v>
      </c>
      <c r="M1874" t="s">
        <v>341</v>
      </c>
      <c r="N1874" s="5" t="s">
        <v>102</v>
      </c>
      <c r="O1874" t="s">
        <v>28</v>
      </c>
      <c r="P1874" t="s">
        <v>32</v>
      </c>
      <c r="Q1874" t="s">
        <v>33</v>
      </c>
      <c r="R1874">
        <v>0.55000000000000004</v>
      </c>
      <c r="S1874" s="1">
        <v>40671</v>
      </c>
      <c r="T1874" t="str">
        <f t="shared" si="59"/>
        <v>08-May-2011</v>
      </c>
    </row>
    <row r="1875" spans="1:20" x14ac:dyDescent="0.3">
      <c r="A1875">
        <v>3783</v>
      </c>
      <c r="B1875" s="1">
        <v>40517</v>
      </c>
      <c r="C1875" t="s">
        <v>31</v>
      </c>
      <c r="D1875" t="str">
        <f t="shared" si="58"/>
        <v>05-Dec-2010</v>
      </c>
      <c r="E1875">
        <v>11</v>
      </c>
      <c r="F1875" s="13">
        <v>92.14</v>
      </c>
      <c r="G1875">
        <v>0.01</v>
      </c>
      <c r="H1875" t="s">
        <v>19</v>
      </c>
      <c r="I1875" s="13">
        <v>-40.25</v>
      </c>
      <c r="J1875">
        <v>8.1199999999999992</v>
      </c>
      <c r="K1875">
        <v>2.83</v>
      </c>
      <c r="L1875" t="s">
        <v>356</v>
      </c>
      <c r="M1875" t="s">
        <v>341</v>
      </c>
      <c r="N1875" s="5" t="s">
        <v>102</v>
      </c>
      <c r="O1875" t="s">
        <v>28</v>
      </c>
      <c r="P1875" t="s">
        <v>29</v>
      </c>
      <c r="Q1875" t="s">
        <v>41</v>
      </c>
      <c r="R1875">
        <v>0.77</v>
      </c>
      <c r="S1875" s="1">
        <v>40517</v>
      </c>
      <c r="T1875" t="str">
        <f t="shared" si="59"/>
        <v>05-Dec-2010</v>
      </c>
    </row>
    <row r="1876" spans="1:20" x14ac:dyDescent="0.3">
      <c r="A1876">
        <v>52197</v>
      </c>
      <c r="B1876" s="1">
        <v>41125</v>
      </c>
      <c r="C1876" t="s">
        <v>43</v>
      </c>
      <c r="D1876" t="str">
        <f t="shared" si="58"/>
        <v>04-Aug-2012</v>
      </c>
      <c r="E1876">
        <v>23</v>
      </c>
      <c r="F1876" s="13">
        <v>91.94</v>
      </c>
      <c r="G1876">
        <v>0.01</v>
      </c>
      <c r="H1876" t="s">
        <v>19</v>
      </c>
      <c r="I1876" s="13">
        <v>-10.11</v>
      </c>
      <c r="J1876">
        <v>3.95</v>
      </c>
      <c r="K1876">
        <v>2</v>
      </c>
      <c r="L1876" t="s">
        <v>357</v>
      </c>
      <c r="M1876" t="s">
        <v>341</v>
      </c>
      <c r="N1876" s="5" t="s">
        <v>102</v>
      </c>
      <c r="O1876" t="s">
        <v>28</v>
      </c>
      <c r="P1876" t="s">
        <v>21</v>
      </c>
      <c r="Q1876" t="s">
        <v>39</v>
      </c>
      <c r="R1876">
        <v>0.53</v>
      </c>
      <c r="S1876" s="1">
        <v>41126</v>
      </c>
      <c r="T1876" t="str">
        <f t="shared" si="59"/>
        <v>05-Aug-2012</v>
      </c>
    </row>
    <row r="1877" spans="1:20" x14ac:dyDescent="0.3">
      <c r="A1877">
        <v>7559</v>
      </c>
      <c r="B1877" s="1">
        <v>40463</v>
      </c>
      <c r="C1877" t="s">
        <v>43</v>
      </c>
      <c r="D1877" t="str">
        <f t="shared" si="58"/>
        <v>12-Oct-2010</v>
      </c>
      <c r="E1877">
        <v>9</v>
      </c>
      <c r="F1877" s="13">
        <v>90.37</v>
      </c>
      <c r="G1877">
        <v>0.05</v>
      </c>
      <c r="H1877" t="s">
        <v>19</v>
      </c>
      <c r="I1877" s="13">
        <v>-374.82</v>
      </c>
      <c r="J1877">
        <v>4.4800000000000004</v>
      </c>
      <c r="K1877">
        <v>49</v>
      </c>
      <c r="L1877" t="s">
        <v>327</v>
      </c>
      <c r="M1877" t="s">
        <v>341</v>
      </c>
      <c r="N1877" s="5" t="s">
        <v>102</v>
      </c>
      <c r="O1877" t="s">
        <v>28</v>
      </c>
      <c r="P1877" t="s">
        <v>21</v>
      </c>
      <c r="Q1877" t="s">
        <v>25</v>
      </c>
      <c r="R1877">
        <v>0.6</v>
      </c>
      <c r="S1877" s="1">
        <v>40465</v>
      </c>
      <c r="T1877" t="str">
        <f t="shared" si="59"/>
        <v>14-Oct-2010</v>
      </c>
    </row>
    <row r="1878" spans="1:20" x14ac:dyDescent="0.3">
      <c r="A1878">
        <v>32804</v>
      </c>
      <c r="B1878" s="1">
        <v>41161</v>
      </c>
      <c r="C1878" t="s">
        <v>38</v>
      </c>
      <c r="D1878" t="str">
        <f t="shared" si="58"/>
        <v>09-Sep-2012</v>
      </c>
      <c r="E1878">
        <v>20</v>
      </c>
      <c r="F1878" s="13">
        <v>89.51</v>
      </c>
      <c r="G1878">
        <v>0.02</v>
      </c>
      <c r="H1878" t="s">
        <v>19</v>
      </c>
      <c r="I1878" s="13">
        <v>-61.99</v>
      </c>
      <c r="J1878">
        <v>3.98</v>
      </c>
      <c r="K1878">
        <v>5.26</v>
      </c>
      <c r="L1878" t="s">
        <v>163</v>
      </c>
      <c r="M1878" t="s">
        <v>341</v>
      </c>
      <c r="N1878" s="5" t="s">
        <v>102</v>
      </c>
      <c r="O1878" t="s">
        <v>28</v>
      </c>
      <c r="P1878" t="s">
        <v>21</v>
      </c>
      <c r="Q1878" t="s">
        <v>26</v>
      </c>
      <c r="R1878">
        <v>0.38</v>
      </c>
      <c r="S1878" s="1">
        <v>41163</v>
      </c>
      <c r="T1878" t="str">
        <f t="shared" si="59"/>
        <v>11-Sep-2012</v>
      </c>
    </row>
    <row r="1879" spans="1:20" x14ac:dyDescent="0.3">
      <c r="A1879">
        <v>43650</v>
      </c>
      <c r="B1879" s="1">
        <v>39895</v>
      </c>
      <c r="C1879" t="s">
        <v>31</v>
      </c>
      <c r="D1879" t="str">
        <f t="shared" si="58"/>
        <v>23-Mar-2009</v>
      </c>
      <c r="E1879">
        <v>7</v>
      </c>
      <c r="F1879" s="13">
        <v>88.59</v>
      </c>
      <c r="G1879">
        <v>0.05</v>
      </c>
      <c r="H1879" t="s">
        <v>19</v>
      </c>
      <c r="I1879" s="13">
        <v>-26.29</v>
      </c>
      <c r="J1879">
        <v>11.97</v>
      </c>
      <c r="K1879">
        <v>5.81</v>
      </c>
      <c r="L1879" t="s">
        <v>345</v>
      </c>
      <c r="M1879" t="s">
        <v>341</v>
      </c>
      <c r="N1879" s="5" t="s">
        <v>102</v>
      </c>
      <c r="O1879" t="s">
        <v>28</v>
      </c>
      <c r="P1879" t="s">
        <v>21</v>
      </c>
      <c r="Q1879" t="s">
        <v>50</v>
      </c>
      <c r="R1879">
        <v>0.6</v>
      </c>
      <c r="S1879" s="1">
        <v>39897</v>
      </c>
      <c r="T1879" t="str">
        <f t="shared" si="59"/>
        <v>25-Mar-2009</v>
      </c>
    </row>
    <row r="1880" spans="1:20" x14ac:dyDescent="0.3">
      <c r="A1880">
        <v>19206</v>
      </c>
      <c r="B1880" s="1">
        <v>40267</v>
      </c>
      <c r="C1880" t="s">
        <v>18</v>
      </c>
      <c r="D1880" t="str">
        <f t="shared" si="58"/>
        <v>30-Mar-2010</v>
      </c>
      <c r="E1880">
        <v>40</v>
      </c>
      <c r="F1880" s="13">
        <v>88.02</v>
      </c>
      <c r="G1880">
        <v>0</v>
      </c>
      <c r="H1880" t="s">
        <v>19</v>
      </c>
      <c r="I1880" s="13">
        <v>-6.54</v>
      </c>
      <c r="J1880">
        <v>2.08</v>
      </c>
      <c r="K1880">
        <v>1.49</v>
      </c>
      <c r="L1880" t="s">
        <v>348</v>
      </c>
      <c r="M1880" t="s">
        <v>341</v>
      </c>
      <c r="N1880" s="5" t="s">
        <v>102</v>
      </c>
      <c r="O1880" t="s">
        <v>28</v>
      </c>
      <c r="P1880" t="s">
        <v>21</v>
      </c>
      <c r="Q1880" t="s">
        <v>26</v>
      </c>
      <c r="R1880">
        <v>0.36</v>
      </c>
      <c r="S1880" s="1">
        <v>40271</v>
      </c>
      <c r="T1880" t="str">
        <f t="shared" si="59"/>
        <v>03-Apr-2010</v>
      </c>
    </row>
    <row r="1881" spans="1:20" x14ac:dyDescent="0.3">
      <c r="A1881">
        <v>18208</v>
      </c>
      <c r="B1881" s="1">
        <v>41000</v>
      </c>
      <c r="C1881" t="s">
        <v>31</v>
      </c>
      <c r="D1881" t="str">
        <f t="shared" si="58"/>
        <v>01-Apr-2012</v>
      </c>
      <c r="E1881">
        <v>36</v>
      </c>
      <c r="F1881" s="13">
        <v>82.98</v>
      </c>
      <c r="G1881">
        <v>0.08</v>
      </c>
      <c r="H1881" t="s">
        <v>19</v>
      </c>
      <c r="I1881" s="13">
        <v>-137.87</v>
      </c>
      <c r="J1881">
        <v>2.2799999999999998</v>
      </c>
      <c r="K1881">
        <v>5.2</v>
      </c>
      <c r="L1881" t="s">
        <v>365</v>
      </c>
      <c r="M1881" t="s">
        <v>341</v>
      </c>
      <c r="N1881" s="5" t="s">
        <v>102</v>
      </c>
      <c r="O1881" t="s">
        <v>28</v>
      </c>
      <c r="P1881" t="s">
        <v>21</v>
      </c>
      <c r="Q1881" t="s">
        <v>50</v>
      </c>
      <c r="R1881">
        <v>0.41</v>
      </c>
      <c r="S1881" s="1">
        <v>41002</v>
      </c>
      <c r="T1881" t="str">
        <f t="shared" si="59"/>
        <v>03-Apr-2012</v>
      </c>
    </row>
    <row r="1882" spans="1:20" x14ac:dyDescent="0.3">
      <c r="A1882">
        <v>9383</v>
      </c>
      <c r="B1882" s="1">
        <v>39888</v>
      </c>
      <c r="C1882" t="s">
        <v>31</v>
      </c>
      <c r="D1882" t="str">
        <f t="shared" si="58"/>
        <v>16-Mar-2009</v>
      </c>
      <c r="E1882">
        <v>11</v>
      </c>
      <c r="F1882" s="13">
        <v>82.42</v>
      </c>
      <c r="G1882">
        <v>7.0000000000000007E-2</v>
      </c>
      <c r="H1882" t="s">
        <v>19</v>
      </c>
      <c r="I1882" s="13">
        <v>18.53</v>
      </c>
      <c r="J1882">
        <v>7.59</v>
      </c>
      <c r="K1882">
        <v>4</v>
      </c>
      <c r="L1882" t="s">
        <v>343</v>
      </c>
      <c r="M1882" t="s">
        <v>341</v>
      </c>
      <c r="N1882" s="5" t="s">
        <v>102</v>
      </c>
      <c r="O1882" t="s">
        <v>28</v>
      </c>
      <c r="P1882" t="s">
        <v>32</v>
      </c>
      <c r="Q1882" t="s">
        <v>33</v>
      </c>
      <c r="R1882">
        <v>0.42</v>
      </c>
      <c r="S1882" s="1">
        <v>39890</v>
      </c>
      <c r="T1882" t="str">
        <f t="shared" si="59"/>
        <v>18-Mar-2009</v>
      </c>
    </row>
    <row r="1883" spans="1:20" x14ac:dyDescent="0.3">
      <c r="A1883">
        <v>24326</v>
      </c>
      <c r="B1883" s="1">
        <v>40815</v>
      </c>
      <c r="C1883" t="s">
        <v>43</v>
      </c>
      <c r="D1883" t="str">
        <f t="shared" si="58"/>
        <v>29-Sep-2011</v>
      </c>
      <c r="E1883">
        <v>12</v>
      </c>
      <c r="F1883" s="13">
        <v>78.36</v>
      </c>
      <c r="G1883">
        <v>0.06</v>
      </c>
      <c r="H1883" t="s">
        <v>19</v>
      </c>
      <c r="I1883" s="13">
        <v>8.52</v>
      </c>
      <c r="J1883">
        <v>6.68</v>
      </c>
      <c r="K1883">
        <v>1.5</v>
      </c>
      <c r="L1883" t="s">
        <v>82</v>
      </c>
      <c r="M1883" t="s">
        <v>341</v>
      </c>
      <c r="N1883" s="5" t="s">
        <v>102</v>
      </c>
      <c r="O1883" t="s">
        <v>28</v>
      </c>
      <c r="P1883" t="s">
        <v>21</v>
      </c>
      <c r="Q1883" t="s">
        <v>50</v>
      </c>
      <c r="R1883">
        <v>0.48</v>
      </c>
      <c r="S1883" s="1">
        <v>40816</v>
      </c>
      <c r="T1883" t="str">
        <f t="shared" si="59"/>
        <v>30-Sep-2011</v>
      </c>
    </row>
    <row r="1884" spans="1:20" x14ac:dyDescent="0.3">
      <c r="A1884">
        <v>26310</v>
      </c>
      <c r="B1884" s="1">
        <v>41119</v>
      </c>
      <c r="C1884" t="s">
        <v>31</v>
      </c>
      <c r="D1884" t="str">
        <f t="shared" si="58"/>
        <v>29-Jul-2012</v>
      </c>
      <c r="E1884">
        <v>5</v>
      </c>
      <c r="F1884" s="13">
        <v>77.41</v>
      </c>
      <c r="G1884">
        <v>0.05</v>
      </c>
      <c r="H1884" t="s">
        <v>19</v>
      </c>
      <c r="I1884" s="13">
        <v>9.35</v>
      </c>
      <c r="J1884">
        <v>15.67</v>
      </c>
      <c r="K1884">
        <v>1.39</v>
      </c>
      <c r="L1884" t="s">
        <v>350</v>
      </c>
      <c r="M1884" t="s">
        <v>341</v>
      </c>
      <c r="N1884" s="5" t="s">
        <v>102</v>
      </c>
      <c r="O1884" t="s">
        <v>28</v>
      </c>
      <c r="P1884" t="s">
        <v>21</v>
      </c>
      <c r="Q1884" t="s">
        <v>42</v>
      </c>
      <c r="R1884">
        <v>0.38</v>
      </c>
      <c r="S1884" s="1">
        <v>41121</v>
      </c>
      <c r="T1884" t="str">
        <f t="shared" si="59"/>
        <v>31-Jul-2012</v>
      </c>
    </row>
    <row r="1885" spans="1:20" x14ac:dyDescent="0.3">
      <c r="A1885">
        <v>7105</v>
      </c>
      <c r="B1885" s="1">
        <v>40350</v>
      </c>
      <c r="C1885" t="s">
        <v>18</v>
      </c>
      <c r="D1885" t="str">
        <f t="shared" si="58"/>
        <v>21-Jun-2010</v>
      </c>
      <c r="E1885">
        <v>17</v>
      </c>
      <c r="F1885" s="13">
        <v>77.19</v>
      </c>
      <c r="G1885">
        <v>0.03</v>
      </c>
      <c r="H1885" t="s">
        <v>19</v>
      </c>
      <c r="I1885" s="13">
        <v>-81.349999999999994</v>
      </c>
      <c r="J1885">
        <v>4.0599999999999996</v>
      </c>
      <c r="K1885">
        <v>6.89</v>
      </c>
      <c r="L1885" t="s">
        <v>103</v>
      </c>
      <c r="M1885" t="s">
        <v>341</v>
      </c>
      <c r="N1885" s="5" t="s">
        <v>102</v>
      </c>
      <c r="O1885" t="s">
        <v>28</v>
      </c>
      <c r="P1885" t="s">
        <v>21</v>
      </c>
      <c r="Q1885" t="s">
        <v>25</v>
      </c>
      <c r="R1885">
        <v>0.6</v>
      </c>
      <c r="S1885" s="1">
        <v>40357</v>
      </c>
      <c r="T1885" t="str">
        <f t="shared" si="59"/>
        <v>28-Jun-2010</v>
      </c>
    </row>
    <row r="1886" spans="1:20" x14ac:dyDescent="0.3">
      <c r="A1886">
        <v>52615</v>
      </c>
      <c r="B1886" s="1">
        <v>40105</v>
      </c>
      <c r="C1886" t="s">
        <v>18</v>
      </c>
      <c r="D1886" t="str">
        <f t="shared" si="58"/>
        <v>19-Oct-2009</v>
      </c>
      <c r="E1886">
        <v>18</v>
      </c>
      <c r="F1886" s="13">
        <v>76.849999999999994</v>
      </c>
      <c r="G1886">
        <v>0.1</v>
      </c>
      <c r="H1886" t="s">
        <v>19</v>
      </c>
      <c r="I1886" s="13">
        <v>-64.08</v>
      </c>
      <c r="J1886">
        <v>4.24</v>
      </c>
      <c r="K1886">
        <v>5.41</v>
      </c>
      <c r="L1886" t="s">
        <v>355</v>
      </c>
      <c r="M1886" t="s">
        <v>341</v>
      </c>
      <c r="N1886" s="5" t="s">
        <v>102</v>
      </c>
      <c r="O1886" t="s">
        <v>28</v>
      </c>
      <c r="P1886" t="s">
        <v>21</v>
      </c>
      <c r="Q1886" t="s">
        <v>26</v>
      </c>
      <c r="R1886">
        <v>0.35</v>
      </c>
      <c r="S1886" s="1">
        <v>40109</v>
      </c>
      <c r="T1886" t="str">
        <f t="shared" si="59"/>
        <v>23-Oct-2009</v>
      </c>
    </row>
    <row r="1887" spans="1:20" x14ac:dyDescent="0.3">
      <c r="A1887">
        <v>44965</v>
      </c>
      <c r="B1887" s="1">
        <v>40818</v>
      </c>
      <c r="C1887" t="s">
        <v>18</v>
      </c>
      <c r="D1887" t="str">
        <f t="shared" si="58"/>
        <v>02-Oct-2011</v>
      </c>
      <c r="E1887">
        <v>45</v>
      </c>
      <c r="F1887" s="13">
        <v>75.39</v>
      </c>
      <c r="G1887">
        <v>0.05</v>
      </c>
      <c r="H1887" t="s">
        <v>19</v>
      </c>
      <c r="I1887" s="13">
        <v>-4.83</v>
      </c>
      <c r="J1887">
        <v>1.68</v>
      </c>
      <c r="K1887">
        <v>0.7</v>
      </c>
      <c r="L1887" t="s">
        <v>340</v>
      </c>
      <c r="M1887" t="s">
        <v>341</v>
      </c>
      <c r="N1887" s="5" t="s">
        <v>102</v>
      </c>
      <c r="O1887" t="s">
        <v>28</v>
      </c>
      <c r="P1887" t="s">
        <v>21</v>
      </c>
      <c r="Q1887" t="s">
        <v>50</v>
      </c>
      <c r="R1887">
        <v>0.6</v>
      </c>
      <c r="S1887" s="1">
        <v>40822</v>
      </c>
      <c r="T1887" t="str">
        <f t="shared" si="59"/>
        <v>06-Oct-2011</v>
      </c>
    </row>
    <row r="1888" spans="1:20" x14ac:dyDescent="0.3">
      <c r="A1888">
        <v>27491</v>
      </c>
      <c r="B1888" s="1">
        <v>39912</v>
      </c>
      <c r="C1888" t="s">
        <v>31</v>
      </c>
      <c r="D1888" t="str">
        <f t="shared" si="58"/>
        <v>09-Apr-2009</v>
      </c>
      <c r="E1888">
        <v>2</v>
      </c>
      <c r="F1888" s="13">
        <v>75.23</v>
      </c>
      <c r="G1888">
        <v>0.09</v>
      </c>
      <c r="H1888" t="s">
        <v>19</v>
      </c>
      <c r="I1888" s="13">
        <v>-51.5</v>
      </c>
      <c r="J1888">
        <v>34.99</v>
      </c>
      <c r="K1888">
        <v>7.73</v>
      </c>
      <c r="L1888" t="s">
        <v>365</v>
      </c>
      <c r="M1888" t="s">
        <v>341</v>
      </c>
      <c r="N1888" s="5" t="s">
        <v>102</v>
      </c>
      <c r="O1888" t="s">
        <v>28</v>
      </c>
      <c r="P1888" t="s">
        <v>21</v>
      </c>
      <c r="Q1888" t="s">
        <v>50</v>
      </c>
      <c r="R1888">
        <v>0.59</v>
      </c>
      <c r="S1888" s="1">
        <v>39914</v>
      </c>
      <c r="T1888" t="str">
        <f t="shared" si="59"/>
        <v>11-Apr-2009</v>
      </c>
    </row>
    <row r="1889" spans="1:20" x14ac:dyDescent="0.3">
      <c r="A1889">
        <v>9957</v>
      </c>
      <c r="B1889" s="1">
        <v>40512</v>
      </c>
      <c r="C1889" t="s">
        <v>31</v>
      </c>
      <c r="D1889" t="str">
        <f t="shared" si="58"/>
        <v>30-Nov-2010</v>
      </c>
      <c r="E1889">
        <v>31</v>
      </c>
      <c r="F1889" s="13">
        <v>74.75</v>
      </c>
      <c r="G1889">
        <v>0.06</v>
      </c>
      <c r="H1889" t="s">
        <v>35</v>
      </c>
      <c r="I1889" s="13">
        <v>-115.43</v>
      </c>
      <c r="J1889">
        <v>2.2799999999999998</v>
      </c>
      <c r="K1889">
        <v>5.2</v>
      </c>
      <c r="L1889" t="s">
        <v>351</v>
      </c>
      <c r="M1889" t="s">
        <v>341</v>
      </c>
      <c r="N1889" s="5" t="s">
        <v>102</v>
      </c>
      <c r="O1889" t="s">
        <v>28</v>
      </c>
      <c r="P1889" t="s">
        <v>21</v>
      </c>
      <c r="Q1889" t="s">
        <v>50</v>
      </c>
      <c r="R1889">
        <v>0.41</v>
      </c>
      <c r="S1889" s="1">
        <v>40513</v>
      </c>
      <c r="T1889" t="str">
        <f t="shared" si="59"/>
        <v>01-Dec-2010</v>
      </c>
    </row>
    <row r="1890" spans="1:20" x14ac:dyDescent="0.3">
      <c r="A1890">
        <v>50304</v>
      </c>
      <c r="B1890" s="1">
        <v>40209</v>
      </c>
      <c r="C1890" t="s">
        <v>43</v>
      </c>
      <c r="D1890" t="str">
        <f t="shared" si="58"/>
        <v>31-Jan-2010</v>
      </c>
      <c r="E1890">
        <v>3</v>
      </c>
      <c r="F1890" s="13">
        <v>72.459999999999994</v>
      </c>
      <c r="G1890">
        <v>0.05</v>
      </c>
      <c r="H1890" t="s">
        <v>24</v>
      </c>
      <c r="I1890" s="13">
        <v>-60.74</v>
      </c>
      <c r="J1890">
        <v>15.23</v>
      </c>
      <c r="K1890">
        <v>27.75</v>
      </c>
      <c r="L1890" t="s">
        <v>356</v>
      </c>
      <c r="M1890" t="s">
        <v>341</v>
      </c>
      <c r="N1890" s="5" t="s">
        <v>102</v>
      </c>
      <c r="O1890" t="s">
        <v>28</v>
      </c>
      <c r="P1890" t="s">
        <v>32</v>
      </c>
      <c r="Q1890" t="s">
        <v>46</v>
      </c>
      <c r="R1890">
        <v>0.76</v>
      </c>
      <c r="S1890" s="1">
        <v>40211</v>
      </c>
      <c r="T1890" t="str">
        <f t="shared" si="59"/>
        <v>02-Feb-2010</v>
      </c>
    </row>
    <row r="1891" spans="1:20" x14ac:dyDescent="0.3">
      <c r="A1891">
        <v>25120</v>
      </c>
      <c r="B1891" s="1">
        <v>39848</v>
      </c>
      <c r="C1891" t="s">
        <v>38</v>
      </c>
      <c r="D1891" t="str">
        <f t="shared" si="58"/>
        <v>04-Feb-2009</v>
      </c>
      <c r="E1891">
        <v>10</v>
      </c>
      <c r="F1891" s="13">
        <v>71.86</v>
      </c>
      <c r="G1891">
        <v>0.1</v>
      </c>
      <c r="H1891" t="s">
        <v>19</v>
      </c>
      <c r="I1891" s="13">
        <v>-35.520000000000003</v>
      </c>
      <c r="J1891">
        <v>6.68</v>
      </c>
      <c r="K1891">
        <v>6.93</v>
      </c>
      <c r="L1891" t="s">
        <v>362</v>
      </c>
      <c r="M1891" t="s">
        <v>341</v>
      </c>
      <c r="N1891" s="5" t="s">
        <v>102</v>
      </c>
      <c r="O1891" t="s">
        <v>28</v>
      </c>
      <c r="P1891" t="s">
        <v>21</v>
      </c>
      <c r="Q1891" t="s">
        <v>37</v>
      </c>
      <c r="R1891">
        <v>0.37</v>
      </c>
      <c r="S1891" s="1">
        <v>39851</v>
      </c>
      <c r="T1891" t="str">
        <f t="shared" si="59"/>
        <v>07-Feb-2009</v>
      </c>
    </row>
    <row r="1892" spans="1:20" x14ac:dyDescent="0.3">
      <c r="A1892">
        <v>43493</v>
      </c>
      <c r="B1892" s="1">
        <v>41039</v>
      </c>
      <c r="C1892" t="s">
        <v>23</v>
      </c>
      <c r="D1892" t="str">
        <f t="shared" si="58"/>
        <v>10-May-2012</v>
      </c>
      <c r="E1892">
        <v>14</v>
      </c>
      <c r="F1892" s="13">
        <v>71.599999999999994</v>
      </c>
      <c r="G1892">
        <v>0.05</v>
      </c>
      <c r="H1892" t="s">
        <v>19</v>
      </c>
      <c r="I1892" s="13">
        <v>-30.65</v>
      </c>
      <c r="J1892">
        <v>4.9800000000000004</v>
      </c>
      <c r="K1892">
        <v>4.7</v>
      </c>
      <c r="L1892" t="s">
        <v>352</v>
      </c>
      <c r="M1892" t="s">
        <v>341</v>
      </c>
      <c r="N1892" s="5" t="s">
        <v>102</v>
      </c>
      <c r="O1892" t="s">
        <v>28</v>
      </c>
      <c r="P1892" t="s">
        <v>21</v>
      </c>
      <c r="Q1892" t="s">
        <v>37</v>
      </c>
      <c r="R1892">
        <v>0.38</v>
      </c>
      <c r="S1892" s="1">
        <v>41041</v>
      </c>
      <c r="T1892" t="str">
        <f t="shared" si="59"/>
        <v>12-May-2012</v>
      </c>
    </row>
    <row r="1893" spans="1:20" x14ac:dyDescent="0.3">
      <c r="A1893">
        <v>30375</v>
      </c>
      <c r="B1893" s="1">
        <v>41032</v>
      </c>
      <c r="C1893" t="s">
        <v>18</v>
      </c>
      <c r="D1893" t="str">
        <f t="shared" si="58"/>
        <v>03-May-2012</v>
      </c>
      <c r="E1893">
        <v>20</v>
      </c>
      <c r="F1893" s="13">
        <v>71.45</v>
      </c>
      <c r="G1893">
        <v>0.03</v>
      </c>
      <c r="H1893" t="s">
        <v>19</v>
      </c>
      <c r="I1893" s="13">
        <v>-92.95</v>
      </c>
      <c r="J1893">
        <v>3.36</v>
      </c>
      <c r="K1893">
        <v>6.27</v>
      </c>
      <c r="L1893" t="s">
        <v>366</v>
      </c>
      <c r="M1893" t="s">
        <v>341</v>
      </c>
      <c r="N1893" s="5" t="s">
        <v>102</v>
      </c>
      <c r="O1893" t="s">
        <v>28</v>
      </c>
      <c r="P1893" t="s">
        <v>21</v>
      </c>
      <c r="Q1893" t="s">
        <v>26</v>
      </c>
      <c r="R1893">
        <v>0.4</v>
      </c>
      <c r="S1893" s="1">
        <v>41036</v>
      </c>
      <c r="T1893" t="str">
        <f t="shared" si="59"/>
        <v>07-May-2012</v>
      </c>
    </row>
    <row r="1894" spans="1:20" x14ac:dyDescent="0.3">
      <c r="A1894">
        <v>47175</v>
      </c>
      <c r="B1894" s="1">
        <v>40293</v>
      </c>
      <c r="C1894" t="s">
        <v>31</v>
      </c>
      <c r="D1894" t="str">
        <f t="shared" si="58"/>
        <v>25-Apr-2010</v>
      </c>
      <c r="E1894">
        <v>40</v>
      </c>
      <c r="F1894" s="13">
        <v>70.45</v>
      </c>
      <c r="G1894">
        <v>0.1</v>
      </c>
      <c r="H1894" t="s">
        <v>19</v>
      </c>
      <c r="I1894" s="13">
        <v>-2.31</v>
      </c>
      <c r="J1894">
        <v>1.82</v>
      </c>
      <c r="K1894">
        <v>1</v>
      </c>
      <c r="L1894" t="s">
        <v>81</v>
      </c>
      <c r="M1894" t="s">
        <v>341</v>
      </c>
      <c r="N1894" s="5" t="s">
        <v>102</v>
      </c>
      <c r="O1894" t="s">
        <v>28</v>
      </c>
      <c r="P1894" t="s">
        <v>21</v>
      </c>
      <c r="Q1894" t="s">
        <v>50</v>
      </c>
      <c r="R1894">
        <v>0.4</v>
      </c>
      <c r="S1894" s="1">
        <v>40294</v>
      </c>
      <c r="T1894" t="str">
        <f t="shared" si="59"/>
        <v>26-Apr-2010</v>
      </c>
    </row>
    <row r="1895" spans="1:20" x14ac:dyDescent="0.3">
      <c r="A1895">
        <v>35136</v>
      </c>
      <c r="B1895" s="1">
        <v>40094</v>
      </c>
      <c r="C1895" t="s">
        <v>43</v>
      </c>
      <c r="D1895" t="str">
        <f t="shared" si="58"/>
        <v>08-Oct-2009</v>
      </c>
      <c r="E1895">
        <v>23</v>
      </c>
      <c r="F1895" s="13">
        <v>68.73</v>
      </c>
      <c r="G1895">
        <v>7.0000000000000007E-2</v>
      </c>
      <c r="H1895" t="s">
        <v>19</v>
      </c>
      <c r="I1895" s="13">
        <v>17.170000000000002</v>
      </c>
      <c r="J1895">
        <v>2.94</v>
      </c>
      <c r="K1895">
        <v>0.81</v>
      </c>
      <c r="L1895" t="s">
        <v>340</v>
      </c>
      <c r="M1895" t="s">
        <v>341</v>
      </c>
      <c r="N1895" s="5" t="s">
        <v>102</v>
      </c>
      <c r="O1895" t="s">
        <v>28</v>
      </c>
      <c r="P1895" t="s">
        <v>21</v>
      </c>
      <c r="Q1895" t="s">
        <v>50</v>
      </c>
      <c r="R1895">
        <v>0.4</v>
      </c>
      <c r="S1895" s="1">
        <v>40095</v>
      </c>
      <c r="T1895" t="str">
        <f t="shared" si="59"/>
        <v>09-Oct-2009</v>
      </c>
    </row>
    <row r="1896" spans="1:20" x14ac:dyDescent="0.3">
      <c r="A1896">
        <v>6211</v>
      </c>
      <c r="B1896" s="1">
        <v>40140</v>
      </c>
      <c r="C1896" t="s">
        <v>43</v>
      </c>
      <c r="D1896" t="str">
        <f t="shared" si="58"/>
        <v>23-Nov-2009</v>
      </c>
      <c r="E1896">
        <v>3</v>
      </c>
      <c r="F1896" s="13">
        <v>68.64</v>
      </c>
      <c r="G1896">
        <v>7.0000000000000007E-2</v>
      </c>
      <c r="H1896" t="s">
        <v>19</v>
      </c>
      <c r="I1896" s="13">
        <v>-38.93</v>
      </c>
      <c r="J1896">
        <v>21.38</v>
      </c>
      <c r="K1896">
        <v>8.99</v>
      </c>
      <c r="L1896" t="s">
        <v>316</v>
      </c>
      <c r="M1896" t="s">
        <v>341</v>
      </c>
      <c r="N1896" s="5" t="s">
        <v>102</v>
      </c>
      <c r="O1896" t="s">
        <v>28</v>
      </c>
      <c r="P1896" t="s">
        <v>21</v>
      </c>
      <c r="Q1896" t="s">
        <v>50</v>
      </c>
      <c r="R1896">
        <v>0.59</v>
      </c>
      <c r="S1896" s="1">
        <v>40142</v>
      </c>
      <c r="T1896" t="str">
        <f t="shared" si="59"/>
        <v>25-Nov-2009</v>
      </c>
    </row>
    <row r="1897" spans="1:20" x14ac:dyDescent="0.3">
      <c r="A1897">
        <v>45893</v>
      </c>
      <c r="B1897" s="1">
        <v>40689</v>
      </c>
      <c r="C1897" t="s">
        <v>23</v>
      </c>
      <c r="D1897" t="str">
        <f t="shared" si="58"/>
        <v>26-May-2011</v>
      </c>
      <c r="E1897">
        <v>15</v>
      </c>
      <c r="F1897" s="13">
        <v>68.03</v>
      </c>
      <c r="G1897">
        <v>0.05</v>
      </c>
      <c r="H1897" t="s">
        <v>19</v>
      </c>
      <c r="I1897" s="13">
        <v>8.8699999999999992</v>
      </c>
      <c r="J1897">
        <v>4.49</v>
      </c>
      <c r="K1897">
        <v>1.49</v>
      </c>
      <c r="L1897" t="s">
        <v>327</v>
      </c>
      <c r="M1897" t="s">
        <v>341</v>
      </c>
      <c r="N1897" s="5" t="s">
        <v>102</v>
      </c>
      <c r="O1897" t="s">
        <v>28</v>
      </c>
      <c r="P1897" t="s">
        <v>21</v>
      </c>
      <c r="Q1897" t="s">
        <v>26</v>
      </c>
      <c r="R1897">
        <v>0.39</v>
      </c>
      <c r="S1897" s="1">
        <v>40690</v>
      </c>
      <c r="T1897" t="str">
        <f t="shared" si="59"/>
        <v>27-May-2011</v>
      </c>
    </row>
    <row r="1898" spans="1:20" x14ac:dyDescent="0.3">
      <c r="A1898">
        <v>17862</v>
      </c>
      <c r="B1898" s="1">
        <v>41036</v>
      </c>
      <c r="C1898" t="s">
        <v>31</v>
      </c>
      <c r="D1898" t="str">
        <f t="shared" si="58"/>
        <v>07-May-2012</v>
      </c>
      <c r="E1898">
        <v>31</v>
      </c>
      <c r="F1898" s="13">
        <v>67.88</v>
      </c>
      <c r="G1898">
        <v>0.08</v>
      </c>
      <c r="H1898" t="s">
        <v>35</v>
      </c>
      <c r="I1898" s="13">
        <v>4.87</v>
      </c>
      <c r="J1898">
        <v>2.1</v>
      </c>
      <c r="K1898">
        <v>0.7</v>
      </c>
      <c r="L1898" t="s">
        <v>131</v>
      </c>
      <c r="M1898" t="s">
        <v>341</v>
      </c>
      <c r="N1898" s="5" t="s">
        <v>102</v>
      </c>
      <c r="O1898" t="s">
        <v>28</v>
      </c>
      <c r="P1898" t="s">
        <v>21</v>
      </c>
      <c r="Q1898" t="s">
        <v>50</v>
      </c>
      <c r="R1898">
        <v>0.56999999999999995</v>
      </c>
      <c r="S1898" s="1">
        <v>41038</v>
      </c>
      <c r="T1898" t="str">
        <f t="shared" si="59"/>
        <v>09-May-2012</v>
      </c>
    </row>
    <row r="1899" spans="1:20" x14ac:dyDescent="0.3">
      <c r="A1899">
        <v>55362</v>
      </c>
      <c r="B1899" s="1">
        <v>40653</v>
      </c>
      <c r="C1899" t="s">
        <v>23</v>
      </c>
      <c r="D1899" t="str">
        <f t="shared" si="58"/>
        <v>20-Apr-2011</v>
      </c>
      <c r="E1899">
        <v>24</v>
      </c>
      <c r="F1899" s="13">
        <v>67.84</v>
      </c>
      <c r="G1899">
        <v>7.0000000000000007E-2</v>
      </c>
      <c r="H1899" t="s">
        <v>19</v>
      </c>
      <c r="I1899" s="13">
        <v>13.44</v>
      </c>
      <c r="J1899">
        <v>2.88</v>
      </c>
      <c r="K1899">
        <v>0.99</v>
      </c>
      <c r="L1899" t="s">
        <v>82</v>
      </c>
      <c r="M1899" t="s">
        <v>341</v>
      </c>
      <c r="N1899" s="5" t="s">
        <v>102</v>
      </c>
      <c r="O1899" t="s">
        <v>28</v>
      </c>
      <c r="P1899" t="s">
        <v>21</v>
      </c>
      <c r="Q1899" t="s">
        <v>48</v>
      </c>
      <c r="R1899">
        <v>0.36</v>
      </c>
      <c r="S1899" s="1">
        <v>40655</v>
      </c>
      <c r="T1899" t="str">
        <f t="shared" si="59"/>
        <v>22-Apr-2011</v>
      </c>
    </row>
    <row r="1900" spans="1:20" x14ac:dyDescent="0.3">
      <c r="A1900">
        <v>6211</v>
      </c>
      <c r="B1900" s="1">
        <v>40140</v>
      </c>
      <c r="C1900" t="s">
        <v>43</v>
      </c>
      <c r="D1900" t="str">
        <f t="shared" si="58"/>
        <v>23-Nov-2009</v>
      </c>
      <c r="E1900">
        <v>28</v>
      </c>
      <c r="F1900" s="13">
        <v>67.72</v>
      </c>
      <c r="G1900">
        <v>0.01</v>
      </c>
      <c r="H1900" t="s">
        <v>19</v>
      </c>
      <c r="I1900" s="13">
        <v>-142.66999999999999</v>
      </c>
      <c r="J1900">
        <v>2.16</v>
      </c>
      <c r="K1900">
        <v>6.05</v>
      </c>
      <c r="L1900" t="s">
        <v>316</v>
      </c>
      <c r="M1900" t="s">
        <v>341</v>
      </c>
      <c r="N1900" s="5" t="s">
        <v>102</v>
      </c>
      <c r="O1900" t="s">
        <v>28</v>
      </c>
      <c r="P1900" t="s">
        <v>21</v>
      </c>
      <c r="Q1900" t="s">
        <v>26</v>
      </c>
      <c r="R1900">
        <v>0.37</v>
      </c>
      <c r="S1900" s="1">
        <v>40142</v>
      </c>
      <c r="T1900" t="str">
        <f t="shared" si="59"/>
        <v>25-Nov-2009</v>
      </c>
    </row>
    <row r="1901" spans="1:20" x14ac:dyDescent="0.3">
      <c r="A1901">
        <v>52615</v>
      </c>
      <c r="B1901" s="1">
        <v>40105</v>
      </c>
      <c r="C1901" t="s">
        <v>18</v>
      </c>
      <c r="D1901" t="str">
        <f t="shared" si="58"/>
        <v>19-Oct-2009</v>
      </c>
      <c r="E1901">
        <v>4</v>
      </c>
      <c r="F1901" s="13">
        <v>67.22</v>
      </c>
      <c r="G1901">
        <v>0.05</v>
      </c>
      <c r="H1901" t="s">
        <v>19</v>
      </c>
      <c r="I1901" s="13">
        <v>-139.53</v>
      </c>
      <c r="J1901">
        <v>4.4800000000000004</v>
      </c>
      <c r="K1901">
        <v>49</v>
      </c>
      <c r="L1901" t="s">
        <v>355</v>
      </c>
      <c r="M1901" t="s">
        <v>341</v>
      </c>
      <c r="N1901" s="5" t="s">
        <v>102</v>
      </c>
      <c r="O1901" t="s">
        <v>28</v>
      </c>
      <c r="P1901" t="s">
        <v>21</v>
      </c>
      <c r="Q1901" t="s">
        <v>25</v>
      </c>
      <c r="R1901">
        <v>0.6</v>
      </c>
      <c r="S1901" s="1">
        <v>40109</v>
      </c>
      <c r="T1901" t="str">
        <f t="shared" si="59"/>
        <v>23-Oct-2009</v>
      </c>
    </row>
    <row r="1902" spans="1:20" x14ac:dyDescent="0.3">
      <c r="A1902">
        <v>6020</v>
      </c>
      <c r="B1902" s="1">
        <v>40077</v>
      </c>
      <c r="C1902" t="s">
        <v>38</v>
      </c>
      <c r="D1902" t="str">
        <f t="shared" si="58"/>
        <v>21-Sep-2009</v>
      </c>
      <c r="E1902">
        <v>23</v>
      </c>
      <c r="F1902" s="13">
        <v>66.09</v>
      </c>
      <c r="G1902">
        <v>0.09</v>
      </c>
      <c r="H1902" t="s">
        <v>19</v>
      </c>
      <c r="I1902" s="13">
        <v>13.71</v>
      </c>
      <c r="J1902">
        <v>2.88</v>
      </c>
      <c r="K1902">
        <v>0.99</v>
      </c>
      <c r="L1902" t="s">
        <v>369</v>
      </c>
      <c r="M1902" t="s">
        <v>341</v>
      </c>
      <c r="N1902" s="5" t="s">
        <v>102</v>
      </c>
      <c r="O1902" t="s">
        <v>28</v>
      </c>
      <c r="P1902" t="s">
        <v>21</v>
      </c>
      <c r="Q1902" t="s">
        <v>48</v>
      </c>
      <c r="R1902">
        <v>0.36</v>
      </c>
      <c r="S1902" s="1">
        <v>40079</v>
      </c>
      <c r="T1902" t="str">
        <f t="shared" si="59"/>
        <v>23-Sep-2009</v>
      </c>
    </row>
    <row r="1903" spans="1:20" x14ac:dyDescent="0.3">
      <c r="A1903">
        <v>18049</v>
      </c>
      <c r="B1903" s="1">
        <v>40038</v>
      </c>
      <c r="C1903" t="s">
        <v>38</v>
      </c>
      <c r="D1903" t="str">
        <f t="shared" si="58"/>
        <v>13-Aug-2009</v>
      </c>
      <c r="E1903">
        <v>10</v>
      </c>
      <c r="F1903" s="13">
        <v>65.52</v>
      </c>
      <c r="G1903">
        <v>7.0000000000000007E-2</v>
      </c>
      <c r="H1903" t="s">
        <v>19</v>
      </c>
      <c r="I1903" s="13">
        <v>-22.57</v>
      </c>
      <c r="J1903">
        <v>5.98</v>
      </c>
      <c r="K1903">
        <v>5.46</v>
      </c>
      <c r="L1903" t="s">
        <v>358</v>
      </c>
      <c r="M1903" t="s">
        <v>341</v>
      </c>
      <c r="N1903" s="5" t="s">
        <v>102</v>
      </c>
      <c r="O1903" t="s">
        <v>28</v>
      </c>
      <c r="P1903" t="s">
        <v>21</v>
      </c>
      <c r="Q1903" t="s">
        <v>37</v>
      </c>
      <c r="R1903">
        <v>0.36</v>
      </c>
      <c r="S1903" s="1">
        <v>40040</v>
      </c>
      <c r="T1903" t="str">
        <f t="shared" si="59"/>
        <v>15-Aug-2009</v>
      </c>
    </row>
    <row r="1904" spans="1:20" x14ac:dyDescent="0.3">
      <c r="A1904">
        <v>28294</v>
      </c>
      <c r="B1904" s="1">
        <v>41051</v>
      </c>
      <c r="C1904" t="s">
        <v>23</v>
      </c>
      <c r="D1904" t="str">
        <f t="shared" si="58"/>
        <v>22-May-2012</v>
      </c>
      <c r="E1904">
        <v>47</v>
      </c>
      <c r="F1904" s="13">
        <v>63.47</v>
      </c>
      <c r="G1904">
        <v>0</v>
      </c>
      <c r="H1904" t="s">
        <v>19</v>
      </c>
      <c r="I1904" s="13">
        <v>-19.920000000000002</v>
      </c>
      <c r="J1904">
        <v>1.26</v>
      </c>
      <c r="K1904">
        <v>0.7</v>
      </c>
      <c r="L1904" t="s">
        <v>284</v>
      </c>
      <c r="M1904" t="s">
        <v>341</v>
      </c>
      <c r="N1904" s="5" t="s">
        <v>102</v>
      </c>
      <c r="O1904" t="s">
        <v>28</v>
      </c>
      <c r="P1904" t="s">
        <v>21</v>
      </c>
      <c r="Q1904" t="s">
        <v>39</v>
      </c>
      <c r="R1904">
        <v>0.81</v>
      </c>
      <c r="S1904" s="1">
        <v>41052</v>
      </c>
      <c r="T1904" t="str">
        <f t="shared" si="59"/>
        <v>23-May-2012</v>
      </c>
    </row>
    <row r="1905" spans="1:20" x14ac:dyDescent="0.3">
      <c r="A1905">
        <v>50087</v>
      </c>
      <c r="B1905" s="1">
        <v>40313</v>
      </c>
      <c r="C1905" t="s">
        <v>31</v>
      </c>
      <c r="D1905" t="str">
        <f t="shared" si="58"/>
        <v>15-May-2010</v>
      </c>
      <c r="E1905">
        <v>17</v>
      </c>
      <c r="F1905" s="13">
        <v>58.86</v>
      </c>
      <c r="G1905">
        <v>0.03</v>
      </c>
      <c r="H1905" t="s">
        <v>19</v>
      </c>
      <c r="I1905" s="13">
        <v>6.96</v>
      </c>
      <c r="J1905">
        <v>3.29</v>
      </c>
      <c r="K1905">
        <v>1.35</v>
      </c>
      <c r="L1905" t="s">
        <v>327</v>
      </c>
      <c r="M1905" t="s">
        <v>341</v>
      </c>
      <c r="N1905" s="5" t="s">
        <v>102</v>
      </c>
      <c r="O1905" t="s">
        <v>28</v>
      </c>
      <c r="P1905" t="s">
        <v>21</v>
      </c>
      <c r="Q1905" t="s">
        <v>39</v>
      </c>
      <c r="R1905">
        <v>0.4</v>
      </c>
      <c r="S1905" s="1">
        <v>40315</v>
      </c>
      <c r="T1905" t="str">
        <f t="shared" si="59"/>
        <v>17-May-2010</v>
      </c>
    </row>
    <row r="1906" spans="1:20" x14ac:dyDescent="0.3">
      <c r="A1906">
        <v>69</v>
      </c>
      <c r="B1906" s="1">
        <v>39967</v>
      </c>
      <c r="C1906" t="s">
        <v>31</v>
      </c>
      <c r="D1906" t="str">
        <f t="shared" si="58"/>
        <v>03-Jun-2009</v>
      </c>
      <c r="E1906">
        <v>28</v>
      </c>
      <c r="F1906" s="13">
        <v>51.53</v>
      </c>
      <c r="G1906">
        <v>0.03</v>
      </c>
      <c r="H1906" t="s">
        <v>35</v>
      </c>
      <c r="I1906" s="13">
        <v>0.35</v>
      </c>
      <c r="J1906">
        <v>1.68</v>
      </c>
      <c r="K1906">
        <v>0.7</v>
      </c>
      <c r="L1906" t="s">
        <v>356</v>
      </c>
      <c r="M1906" t="s">
        <v>341</v>
      </c>
      <c r="N1906" s="5" t="s">
        <v>102</v>
      </c>
      <c r="O1906" t="s">
        <v>28</v>
      </c>
      <c r="P1906" t="s">
        <v>21</v>
      </c>
      <c r="Q1906" t="s">
        <v>50</v>
      </c>
      <c r="R1906">
        <v>0.6</v>
      </c>
      <c r="S1906" s="1">
        <v>39969</v>
      </c>
      <c r="T1906" t="str">
        <f t="shared" si="59"/>
        <v>05-Jun-2009</v>
      </c>
    </row>
    <row r="1907" spans="1:20" x14ac:dyDescent="0.3">
      <c r="A1907">
        <v>34402</v>
      </c>
      <c r="B1907" s="1">
        <v>40300</v>
      </c>
      <c r="C1907" t="s">
        <v>23</v>
      </c>
      <c r="D1907" t="str">
        <f t="shared" si="58"/>
        <v>02-May-2010</v>
      </c>
      <c r="E1907">
        <v>11</v>
      </c>
      <c r="F1907" s="13">
        <v>48.5</v>
      </c>
      <c r="G1907">
        <v>7.0000000000000007E-2</v>
      </c>
      <c r="H1907" t="s">
        <v>35</v>
      </c>
      <c r="I1907" s="13">
        <v>23.88</v>
      </c>
      <c r="J1907">
        <v>3.15</v>
      </c>
      <c r="K1907">
        <v>0.5</v>
      </c>
      <c r="L1907" t="s">
        <v>342</v>
      </c>
      <c r="M1907" t="s">
        <v>341</v>
      </c>
      <c r="N1907" s="5" t="s">
        <v>102</v>
      </c>
      <c r="O1907" t="s">
        <v>28</v>
      </c>
      <c r="P1907" t="s">
        <v>21</v>
      </c>
      <c r="Q1907" t="s">
        <v>48</v>
      </c>
      <c r="R1907">
        <v>0.37</v>
      </c>
      <c r="S1907" s="1">
        <v>40303</v>
      </c>
      <c r="T1907" t="str">
        <f t="shared" si="59"/>
        <v>05-May-2010</v>
      </c>
    </row>
    <row r="1908" spans="1:20" x14ac:dyDescent="0.3">
      <c r="A1908">
        <v>57510</v>
      </c>
      <c r="B1908" s="1">
        <v>40887</v>
      </c>
      <c r="C1908" t="s">
        <v>31</v>
      </c>
      <c r="D1908" t="str">
        <f t="shared" si="58"/>
        <v>10-Dec-2011</v>
      </c>
      <c r="E1908">
        <v>6</v>
      </c>
      <c r="F1908" s="13">
        <v>48.05</v>
      </c>
      <c r="G1908">
        <v>0.01</v>
      </c>
      <c r="H1908" t="s">
        <v>19</v>
      </c>
      <c r="I1908" s="13">
        <v>-11.34</v>
      </c>
      <c r="J1908">
        <v>6.68</v>
      </c>
      <c r="K1908">
        <v>5.2</v>
      </c>
      <c r="L1908" t="s">
        <v>358</v>
      </c>
      <c r="M1908" t="s">
        <v>341</v>
      </c>
      <c r="N1908" s="5" t="s">
        <v>102</v>
      </c>
      <c r="O1908" t="s">
        <v>28</v>
      </c>
      <c r="P1908" t="s">
        <v>21</v>
      </c>
      <c r="Q1908" t="s">
        <v>37</v>
      </c>
      <c r="R1908">
        <v>0.37</v>
      </c>
      <c r="S1908" s="1">
        <v>40887</v>
      </c>
      <c r="T1908" t="str">
        <f t="shared" si="59"/>
        <v>10-Dec-2011</v>
      </c>
    </row>
    <row r="1909" spans="1:20" x14ac:dyDescent="0.3">
      <c r="A1909">
        <v>10754</v>
      </c>
      <c r="B1909" s="1">
        <v>40254</v>
      </c>
      <c r="C1909" t="s">
        <v>18</v>
      </c>
      <c r="D1909" t="str">
        <f t="shared" si="58"/>
        <v>17-Mar-2010</v>
      </c>
      <c r="E1909">
        <v>7</v>
      </c>
      <c r="F1909" s="13">
        <v>48.04</v>
      </c>
      <c r="G1909">
        <v>0.09</v>
      </c>
      <c r="H1909" t="s">
        <v>19</v>
      </c>
      <c r="I1909" s="13">
        <v>-23.28</v>
      </c>
      <c r="J1909">
        <v>6.48</v>
      </c>
      <c r="K1909">
        <v>5.94</v>
      </c>
      <c r="L1909" t="s">
        <v>363</v>
      </c>
      <c r="M1909" t="s">
        <v>341</v>
      </c>
      <c r="N1909" s="5" t="s">
        <v>102</v>
      </c>
      <c r="O1909" t="s">
        <v>28</v>
      </c>
      <c r="P1909" t="s">
        <v>21</v>
      </c>
      <c r="Q1909" t="s">
        <v>37</v>
      </c>
      <c r="R1909">
        <v>0.37</v>
      </c>
      <c r="S1909" s="1">
        <v>40256</v>
      </c>
      <c r="T1909" t="str">
        <f t="shared" si="59"/>
        <v>19-Mar-2010</v>
      </c>
    </row>
    <row r="1910" spans="1:20" x14ac:dyDescent="0.3">
      <c r="A1910">
        <v>43555</v>
      </c>
      <c r="B1910" s="1">
        <v>41093</v>
      </c>
      <c r="C1910" t="s">
        <v>38</v>
      </c>
      <c r="D1910" t="str">
        <f t="shared" si="58"/>
        <v>03-Jul-2012</v>
      </c>
      <c r="E1910">
        <v>34</v>
      </c>
      <c r="F1910" s="13">
        <v>43.54</v>
      </c>
      <c r="G1910">
        <v>0</v>
      </c>
      <c r="H1910" t="s">
        <v>19</v>
      </c>
      <c r="I1910" s="13">
        <v>-17.48</v>
      </c>
      <c r="J1910">
        <v>1.26</v>
      </c>
      <c r="K1910">
        <v>0.7</v>
      </c>
      <c r="L1910" t="s">
        <v>349</v>
      </c>
      <c r="M1910" t="s">
        <v>341</v>
      </c>
      <c r="N1910" s="5" t="s">
        <v>102</v>
      </c>
      <c r="O1910" t="s">
        <v>28</v>
      </c>
      <c r="P1910" t="s">
        <v>21</v>
      </c>
      <c r="Q1910" t="s">
        <v>39</v>
      </c>
      <c r="R1910">
        <v>0.81</v>
      </c>
      <c r="S1910" s="1">
        <v>41095</v>
      </c>
      <c r="T1910" t="str">
        <f t="shared" si="59"/>
        <v>05-Jul-2012</v>
      </c>
    </row>
    <row r="1911" spans="1:20" x14ac:dyDescent="0.3">
      <c r="A1911">
        <v>1895</v>
      </c>
      <c r="B1911" s="1">
        <v>39962</v>
      </c>
      <c r="C1911" t="s">
        <v>38</v>
      </c>
      <c r="D1911" t="str">
        <f t="shared" si="58"/>
        <v>29-May-2009</v>
      </c>
      <c r="E1911">
        <v>5</v>
      </c>
      <c r="F1911" s="13">
        <v>41.25</v>
      </c>
      <c r="G1911">
        <v>0.02</v>
      </c>
      <c r="H1911" t="s">
        <v>19</v>
      </c>
      <c r="I1911" s="13">
        <v>-23.25</v>
      </c>
      <c r="J1911">
        <v>6.48</v>
      </c>
      <c r="K1911">
        <v>7.91</v>
      </c>
      <c r="L1911" t="s">
        <v>342</v>
      </c>
      <c r="M1911" t="s">
        <v>341</v>
      </c>
      <c r="N1911" s="5" t="s">
        <v>102</v>
      </c>
      <c r="O1911" t="s">
        <v>28</v>
      </c>
      <c r="P1911" t="s">
        <v>21</v>
      </c>
      <c r="Q1911" t="s">
        <v>37</v>
      </c>
      <c r="R1911">
        <v>0.37</v>
      </c>
      <c r="S1911" s="1">
        <v>39964</v>
      </c>
      <c r="T1911" t="str">
        <f t="shared" si="59"/>
        <v>31-May-2009</v>
      </c>
    </row>
    <row r="1912" spans="1:20" x14ac:dyDescent="0.3">
      <c r="A1912">
        <v>58308</v>
      </c>
      <c r="B1912" s="1">
        <v>40319</v>
      </c>
      <c r="C1912" t="s">
        <v>31</v>
      </c>
      <c r="D1912" t="str">
        <f t="shared" si="58"/>
        <v>21-May-2010</v>
      </c>
      <c r="E1912">
        <v>2</v>
      </c>
      <c r="F1912" s="13">
        <v>40.340000000000003</v>
      </c>
      <c r="G1912">
        <v>0.03</v>
      </c>
      <c r="H1912" t="s">
        <v>19</v>
      </c>
      <c r="I1912" s="13">
        <v>-23.62</v>
      </c>
      <c r="J1912">
        <v>16.16</v>
      </c>
      <c r="K1912">
        <v>7.74</v>
      </c>
      <c r="L1912" t="s">
        <v>345</v>
      </c>
      <c r="M1912" t="s">
        <v>341</v>
      </c>
      <c r="N1912" s="5" t="s">
        <v>102</v>
      </c>
      <c r="O1912" t="s">
        <v>28</v>
      </c>
      <c r="P1912" t="s">
        <v>32</v>
      </c>
      <c r="Q1912" t="s">
        <v>33</v>
      </c>
      <c r="R1912">
        <v>0.5</v>
      </c>
      <c r="S1912" s="1">
        <v>40321</v>
      </c>
      <c r="T1912" t="str">
        <f t="shared" si="59"/>
        <v>23-May-2010</v>
      </c>
    </row>
    <row r="1913" spans="1:20" x14ac:dyDescent="0.3">
      <c r="A1913">
        <v>58339</v>
      </c>
      <c r="B1913" s="1">
        <v>39977</v>
      </c>
      <c r="C1913" t="s">
        <v>23</v>
      </c>
      <c r="D1913" t="str">
        <f t="shared" si="58"/>
        <v>13-Jun-2009</v>
      </c>
      <c r="E1913">
        <v>11</v>
      </c>
      <c r="F1913" s="13">
        <v>37.64</v>
      </c>
      <c r="G1913">
        <v>0.01</v>
      </c>
      <c r="H1913" t="s">
        <v>35</v>
      </c>
      <c r="I1913" s="13">
        <v>7.52</v>
      </c>
      <c r="J1913">
        <v>2.08</v>
      </c>
      <c r="K1913">
        <v>1.49</v>
      </c>
      <c r="L1913" t="s">
        <v>346</v>
      </c>
      <c r="M1913" t="s">
        <v>341</v>
      </c>
      <c r="N1913" s="5" t="s">
        <v>102</v>
      </c>
      <c r="O1913" t="s">
        <v>28</v>
      </c>
      <c r="P1913" t="s">
        <v>21</v>
      </c>
      <c r="Q1913" t="s">
        <v>26</v>
      </c>
      <c r="R1913">
        <v>0.36</v>
      </c>
      <c r="S1913" s="1">
        <v>39978</v>
      </c>
      <c r="T1913" t="str">
        <f t="shared" si="59"/>
        <v>14-Jun-2009</v>
      </c>
    </row>
    <row r="1914" spans="1:20" x14ac:dyDescent="0.3">
      <c r="A1914">
        <v>58181</v>
      </c>
      <c r="B1914" s="1">
        <v>41189</v>
      </c>
      <c r="C1914" t="s">
        <v>31</v>
      </c>
      <c r="D1914" t="str">
        <f t="shared" si="58"/>
        <v>07-Oct-2012</v>
      </c>
      <c r="E1914">
        <v>5</v>
      </c>
      <c r="F1914" s="13">
        <v>36.43</v>
      </c>
      <c r="G1914">
        <v>0.04</v>
      </c>
      <c r="H1914" t="s">
        <v>19</v>
      </c>
      <c r="I1914" s="13">
        <v>-22.04</v>
      </c>
      <c r="J1914">
        <v>5.98</v>
      </c>
      <c r="K1914">
        <v>7.15</v>
      </c>
      <c r="L1914" t="s">
        <v>345</v>
      </c>
      <c r="M1914" t="s">
        <v>341</v>
      </c>
      <c r="N1914" s="5" t="s">
        <v>102</v>
      </c>
      <c r="O1914" t="s">
        <v>28</v>
      </c>
      <c r="P1914" t="s">
        <v>21</v>
      </c>
      <c r="Q1914" t="s">
        <v>37</v>
      </c>
      <c r="R1914">
        <v>0.36</v>
      </c>
      <c r="S1914" s="1">
        <v>41191</v>
      </c>
      <c r="T1914" t="str">
        <f t="shared" si="59"/>
        <v>09-Oct-2012</v>
      </c>
    </row>
    <row r="1915" spans="1:20" x14ac:dyDescent="0.3">
      <c r="A1915">
        <v>3169</v>
      </c>
      <c r="B1915" s="1">
        <v>40532</v>
      </c>
      <c r="C1915" t="s">
        <v>38</v>
      </c>
      <c r="D1915" t="str">
        <f t="shared" si="58"/>
        <v>20-Dec-2010</v>
      </c>
      <c r="E1915">
        <v>7</v>
      </c>
      <c r="F1915" s="13">
        <v>35.58</v>
      </c>
      <c r="G1915">
        <v>0.04</v>
      </c>
      <c r="H1915" t="s">
        <v>19</v>
      </c>
      <c r="I1915" s="13">
        <v>-19.95</v>
      </c>
      <c r="J1915">
        <v>4.42</v>
      </c>
      <c r="K1915">
        <v>4.99</v>
      </c>
      <c r="L1915" t="s">
        <v>358</v>
      </c>
      <c r="M1915" t="s">
        <v>341</v>
      </c>
      <c r="N1915" s="5" t="s">
        <v>102</v>
      </c>
      <c r="O1915" t="s">
        <v>28</v>
      </c>
      <c r="P1915" t="s">
        <v>21</v>
      </c>
      <c r="Q1915" t="s">
        <v>42</v>
      </c>
      <c r="R1915">
        <v>0.38</v>
      </c>
      <c r="S1915" s="1">
        <v>40533</v>
      </c>
      <c r="T1915" t="str">
        <f t="shared" si="59"/>
        <v>21-Dec-2010</v>
      </c>
    </row>
    <row r="1916" spans="1:20" x14ac:dyDescent="0.3">
      <c r="A1916">
        <v>9473</v>
      </c>
      <c r="B1916" s="1">
        <v>41193</v>
      </c>
      <c r="C1916" t="s">
        <v>31</v>
      </c>
      <c r="D1916" t="str">
        <f t="shared" si="58"/>
        <v>11-Oct-2012</v>
      </c>
      <c r="E1916">
        <v>3</v>
      </c>
      <c r="F1916" s="13">
        <v>31.95</v>
      </c>
      <c r="G1916">
        <v>0.1</v>
      </c>
      <c r="H1916" t="s">
        <v>19</v>
      </c>
      <c r="I1916" s="13">
        <v>-23.69</v>
      </c>
      <c r="J1916">
        <v>8.0399999999999991</v>
      </c>
      <c r="K1916">
        <v>8.94</v>
      </c>
      <c r="L1916" t="s">
        <v>356</v>
      </c>
      <c r="M1916" t="s">
        <v>341</v>
      </c>
      <c r="N1916" s="5" t="s">
        <v>102</v>
      </c>
      <c r="O1916" t="s">
        <v>28</v>
      </c>
      <c r="P1916" t="s">
        <v>21</v>
      </c>
      <c r="Q1916" t="s">
        <v>26</v>
      </c>
      <c r="R1916">
        <v>0.4</v>
      </c>
      <c r="S1916" s="1">
        <v>41195</v>
      </c>
      <c r="T1916" t="str">
        <f t="shared" si="59"/>
        <v>13-Oct-2012</v>
      </c>
    </row>
    <row r="1917" spans="1:20" x14ac:dyDescent="0.3">
      <c r="A1917">
        <v>25155</v>
      </c>
      <c r="B1917" s="1">
        <v>40198</v>
      </c>
      <c r="C1917" t="s">
        <v>18</v>
      </c>
      <c r="D1917" t="str">
        <f t="shared" si="58"/>
        <v>20-Jan-2010</v>
      </c>
      <c r="E1917">
        <v>3</v>
      </c>
      <c r="F1917" s="13">
        <v>30.37</v>
      </c>
      <c r="G1917">
        <v>0.01</v>
      </c>
      <c r="H1917" t="s">
        <v>35</v>
      </c>
      <c r="I1917" s="13">
        <v>-1.74</v>
      </c>
      <c r="J1917">
        <v>4.9800000000000004</v>
      </c>
      <c r="K1917">
        <v>5.49</v>
      </c>
      <c r="L1917" t="s">
        <v>343</v>
      </c>
      <c r="M1917" t="s">
        <v>341</v>
      </c>
      <c r="N1917" s="5" t="s">
        <v>102</v>
      </c>
      <c r="O1917" t="s">
        <v>28</v>
      </c>
      <c r="P1917" t="s">
        <v>21</v>
      </c>
      <c r="Q1917" t="s">
        <v>37</v>
      </c>
      <c r="R1917">
        <v>0.38</v>
      </c>
      <c r="S1917" s="1">
        <v>40203</v>
      </c>
      <c r="T1917" t="str">
        <f t="shared" si="59"/>
        <v>25-Jan-2010</v>
      </c>
    </row>
    <row r="1918" spans="1:20" x14ac:dyDescent="0.3">
      <c r="A1918">
        <v>44965</v>
      </c>
      <c r="B1918" s="1">
        <v>40818</v>
      </c>
      <c r="C1918" t="s">
        <v>18</v>
      </c>
      <c r="D1918" t="str">
        <f t="shared" si="58"/>
        <v>02-Oct-2011</v>
      </c>
      <c r="E1918">
        <v>19</v>
      </c>
      <c r="F1918" s="13">
        <v>28.82</v>
      </c>
      <c r="G1918">
        <v>0</v>
      </c>
      <c r="H1918" t="s">
        <v>19</v>
      </c>
      <c r="I1918" s="13">
        <v>2.16</v>
      </c>
      <c r="J1918">
        <v>1.48</v>
      </c>
      <c r="K1918">
        <v>0.7</v>
      </c>
      <c r="L1918" t="s">
        <v>340</v>
      </c>
      <c r="M1918" t="s">
        <v>341</v>
      </c>
      <c r="N1918" s="5" t="s">
        <v>102</v>
      </c>
      <c r="O1918" t="s">
        <v>28</v>
      </c>
      <c r="P1918" t="s">
        <v>21</v>
      </c>
      <c r="Q1918" t="s">
        <v>39</v>
      </c>
      <c r="R1918">
        <v>0.37</v>
      </c>
      <c r="S1918" s="1">
        <v>40822</v>
      </c>
      <c r="T1918" t="str">
        <f t="shared" si="59"/>
        <v>06-Oct-2011</v>
      </c>
    </row>
    <row r="1919" spans="1:20" x14ac:dyDescent="0.3">
      <c r="A1919">
        <v>17862</v>
      </c>
      <c r="B1919" s="1">
        <v>41036</v>
      </c>
      <c r="C1919" t="s">
        <v>31</v>
      </c>
      <c r="D1919" t="str">
        <f t="shared" si="58"/>
        <v>07-May-2012</v>
      </c>
      <c r="E1919">
        <v>1</v>
      </c>
      <c r="F1919" s="13">
        <v>28.73</v>
      </c>
      <c r="G1919">
        <v>0</v>
      </c>
      <c r="H1919" t="s">
        <v>19</v>
      </c>
      <c r="I1919" s="13">
        <v>-57.04</v>
      </c>
      <c r="J1919">
        <v>20.97</v>
      </c>
      <c r="K1919">
        <v>6.5</v>
      </c>
      <c r="L1919" t="s">
        <v>131</v>
      </c>
      <c r="M1919" t="s">
        <v>341</v>
      </c>
      <c r="N1919" s="5" t="s">
        <v>102</v>
      </c>
      <c r="O1919" t="s">
        <v>28</v>
      </c>
      <c r="P1919" t="s">
        <v>29</v>
      </c>
      <c r="Q1919" t="s">
        <v>41</v>
      </c>
      <c r="R1919">
        <v>0.78</v>
      </c>
      <c r="S1919" s="1">
        <v>41037</v>
      </c>
      <c r="T1919" t="str">
        <f t="shared" si="59"/>
        <v>08-May-2012</v>
      </c>
    </row>
    <row r="1920" spans="1:20" x14ac:dyDescent="0.3">
      <c r="A1920">
        <v>56516</v>
      </c>
      <c r="B1920" s="1">
        <v>40028</v>
      </c>
      <c r="C1920" t="s">
        <v>38</v>
      </c>
      <c r="D1920" t="str">
        <f t="shared" si="58"/>
        <v>03-Aug-2009</v>
      </c>
      <c r="E1920">
        <v>6</v>
      </c>
      <c r="F1920" s="13">
        <v>27.89</v>
      </c>
      <c r="G1920">
        <v>0.08</v>
      </c>
      <c r="H1920" t="s">
        <v>19</v>
      </c>
      <c r="I1920" s="13">
        <v>-23.81</v>
      </c>
      <c r="J1920">
        <v>3.98</v>
      </c>
      <c r="K1920">
        <v>5.26</v>
      </c>
      <c r="L1920" t="s">
        <v>239</v>
      </c>
      <c r="M1920" t="s">
        <v>341</v>
      </c>
      <c r="N1920" s="5" t="s">
        <v>102</v>
      </c>
      <c r="O1920" t="s">
        <v>28</v>
      </c>
      <c r="P1920" t="s">
        <v>21</v>
      </c>
      <c r="Q1920" t="s">
        <v>26</v>
      </c>
      <c r="R1920">
        <v>0.38</v>
      </c>
      <c r="S1920" s="1">
        <v>40029</v>
      </c>
      <c r="T1920" t="str">
        <f t="shared" si="59"/>
        <v>04-Aug-2009</v>
      </c>
    </row>
    <row r="1921" spans="1:20" x14ac:dyDescent="0.3">
      <c r="A1921">
        <v>13543</v>
      </c>
      <c r="B1921" s="1">
        <v>41129</v>
      </c>
      <c r="C1921" t="s">
        <v>38</v>
      </c>
      <c r="D1921" t="str">
        <f t="shared" si="58"/>
        <v>08-Aug-2012</v>
      </c>
      <c r="E1921">
        <v>2</v>
      </c>
      <c r="F1921" s="13">
        <v>27.83</v>
      </c>
      <c r="G1921">
        <v>0.09</v>
      </c>
      <c r="H1921" t="s">
        <v>19</v>
      </c>
      <c r="I1921" s="13">
        <v>-22.14</v>
      </c>
      <c r="J1921">
        <v>9.7100000000000009</v>
      </c>
      <c r="K1921">
        <v>9.4499999999999993</v>
      </c>
      <c r="L1921" t="s">
        <v>203</v>
      </c>
      <c r="M1921" t="s">
        <v>341</v>
      </c>
      <c r="N1921" s="5" t="s">
        <v>102</v>
      </c>
      <c r="O1921" t="s">
        <v>28</v>
      </c>
      <c r="P1921" t="s">
        <v>21</v>
      </c>
      <c r="Q1921" t="s">
        <v>22</v>
      </c>
      <c r="R1921">
        <v>0.6</v>
      </c>
      <c r="S1921" s="1">
        <v>41129</v>
      </c>
      <c r="T1921" t="str">
        <f t="shared" si="59"/>
        <v>08-Aug-2012</v>
      </c>
    </row>
    <row r="1922" spans="1:20" x14ac:dyDescent="0.3">
      <c r="A1922">
        <v>47942</v>
      </c>
      <c r="B1922" s="1">
        <v>40236</v>
      </c>
      <c r="C1922" t="s">
        <v>38</v>
      </c>
      <c r="D1922" t="str">
        <f t="shared" ref="D1922:D1985" si="60">TEXT(B1922, "dd-mmm-yyyy" )</f>
        <v>27-Feb-2010</v>
      </c>
      <c r="E1922">
        <v>3</v>
      </c>
      <c r="F1922" s="13">
        <v>22.6</v>
      </c>
      <c r="G1922">
        <v>0.04</v>
      </c>
      <c r="H1922" t="s">
        <v>35</v>
      </c>
      <c r="I1922" s="13">
        <v>-4.63</v>
      </c>
      <c r="J1922">
        <v>5.88</v>
      </c>
      <c r="K1922">
        <v>3.04</v>
      </c>
      <c r="L1922" t="s">
        <v>225</v>
      </c>
      <c r="M1922" t="s">
        <v>341</v>
      </c>
      <c r="N1922" s="5" t="s">
        <v>102</v>
      </c>
      <c r="O1922" t="s">
        <v>28</v>
      </c>
      <c r="P1922" t="s">
        <v>21</v>
      </c>
      <c r="Q1922" t="s">
        <v>37</v>
      </c>
      <c r="R1922">
        <v>0.36</v>
      </c>
      <c r="S1922" s="1">
        <v>40238</v>
      </c>
      <c r="T1922" t="str">
        <f t="shared" ref="T1922:T1985" si="61">TEXT(S1922, "dd-mmm-yyyy")</f>
        <v>01-Mar-2010</v>
      </c>
    </row>
    <row r="1923" spans="1:20" x14ac:dyDescent="0.3">
      <c r="A1923">
        <v>29639</v>
      </c>
      <c r="B1923" s="1">
        <v>40650</v>
      </c>
      <c r="C1923" t="s">
        <v>43</v>
      </c>
      <c r="D1923" t="str">
        <f t="shared" si="60"/>
        <v>17-Apr-2011</v>
      </c>
      <c r="E1923">
        <v>8</v>
      </c>
      <c r="F1923" s="13">
        <v>22.37</v>
      </c>
      <c r="G1923">
        <v>0.04</v>
      </c>
      <c r="H1923" t="s">
        <v>19</v>
      </c>
      <c r="I1923" s="13">
        <v>-14.09</v>
      </c>
      <c r="J1923">
        <v>2.6</v>
      </c>
      <c r="K1923">
        <v>2.4</v>
      </c>
      <c r="L1923" t="s">
        <v>327</v>
      </c>
      <c r="M1923" t="s">
        <v>341</v>
      </c>
      <c r="N1923" s="5" t="s">
        <v>102</v>
      </c>
      <c r="O1923" t="s">
        <v>28</v>
      </c>
      <c r="P1923" t="s">
        <v>21</v>
      </c>
      <c r="Q1923" t="s">
        <v>50</v>
      </c>
      <c r="R1923">
        <v>0.57999999999999996</v>
      </c>
      <c r="S1923" s="1">
        <v>40652</v>
      </c>
      <c r="T1923" t="str">
        <f t="shared" si="61"/>
        <v>19-Apr-2011</v>
      </c>
    </row>
    <row r="1924" spans="1:20" x14ac:dyDescent="0.3">
      <c r="A1924">
        <v>43110</v>
      </c>
      <c r="B1924" s="1">
        <v>40580</v>
      </c>
      <c r="C1924" t="s">
        <v>23</v>
      </c>
      <c r="D1924" t="str">
        <f t="shared" si="60"/>
        <v>06-Feb-2011</v>
      </c>
      <c r="E1924">
        <v>3</v>
      </c>
      <c r="F1924" s="13">
        <v>21.01</v>
      </c>
      <c r="G1924">
        <v>0</v>
      </c>
      <c r="H1924" t="s">
        <v>19</v>
      </c>
      <c r="I1924" s="13">
        <v>-9.69</v>
      </c>
      <c r="J1924">
        <v>4.9800000000000004</v>
      </c>
      <c r="K1924">
        <v>5.0199999999999996</v>
      </c>
      <c r="L1924" t="s">
        <v>357</v>
      </c>
      <c r="M1924" t="s">
        <v>341</v>
      </c>
      <c r="N1924" s="5" t="s">
        <v>102</v>
      </c>
      <c r="O1924" t="s">
        <v>28</v>
      </c>
      <c r="P1924" t="s">
        <v>21</v>
      </c>
      <c r="Q1924" t="s">
        <v>37</v>
      </c>
      <c r="R1924">
        <v>0.38</v>
      </c>
      <c r="S1924" s="1">
        <v>40580</v>
      </c>
      <c r="T1924" t="str">
        <f t="shared" si="61"/>
        <v>06-Feb-2011</v>
      </c>
    </row>
    <row r="1925" spans="1:20" x14ac:dyDescent="0.3">
      <c r="A1925">
        <v>55234</v>
      </c>
      <c r="B1925" s="1">
        <v>40387</v>
      </c>
      <c r="C1925" t="s">
        <v>18</v>
      </c>
      <c r="D1925" t="str">
        <f t="shared" si="60"/>
        <v>28-Jul-2010</v>
      </c>
      <c r="E1925">
        <v>5</v>
      </c>
      <c r="F1925" s="13">
        <v>17.059999999999999</v>
      </c>
      <c r="G1925">
        <v>0.03</v>
      </c>
      <c r="H1925" t="s">
        <v>19</v>
      </c>
      <c r="I1925" s="13">
        <v>-7.54</v>
      </c>
      <c r="J1925">
        <v>2.98</v>
      </c>
      <c r="K1925">
        <v>2.0299999999999998</v>
      </c>
      <c r="L1925" t="s">
        <v>364</v>
      </c>
      <c r="M1925" t="s">
        <v>341</v>
      </c>
      <c r="N1925" s="5" t="s">
        <v>102</v>
      </c>
      <c r="O1925" t="s">
        <v>28</v>
      </c>
      <c r="P1925" t="s">
        <v>21</v>
      </c>
      <c r="Q1925" t="s">
        <v>50</v>
      </c>
      <c r="R1925">
        <v>0.56999999999999995</v>
      </c>
      <c r="S1925" s="1">
        <v>40389</v>
      </c>
      <c r="T1925" t="str">
        <f t="shared" si="61"/>
        <v>30-Jul-2010</v>
      </c>
    </row>
    <row r="1926" spans="1:20" x14ac:dyDescent="0.3">
      <c r="A1926">
        <v>11335</v>
      </c>
      <c r="B1926" s="1">
        <v>40107</v>
      </c>
      <c r="C1926" t="s">
        <v>23</v>
      </c>
      <c r="D1926" t="str">
        <f t="shared" si="60"/>
        <v>21-Oct-2009</v>
      </c>
      <c r="E1926">
        <v>3</v>
      </c>
      <c r="F1926" s="13">
        <v>14.84</v>
      </c>
      <c r="G1926">
        <v>0.08</v>
      </c>
      <c r="H1926" t="s">
        <v>19</v>
      </c>
      <c r="I1926" s="13">
        <v>-2.42</v>
      </c>
      <c r="J1926">
        <v>4.9800000000000004</v>
      </c>
      <c r="K1926">
        <v>0.49</v>
      </c>
      <c r="L1926" t="s">
        <v>144</v>
      </c>
      <c r="M1926" t="s">
        <v>341</v>
      </c>
      <c r="N1926" s="5" t="s">
        <v>102</v>
      </c>
      <c r="O1926" t="s">
        <v>28</v>
      </c>
      <c r="P1926" t="s">
        <v>21</v>
      </c>
      <c r="Q1926" t="s">
        <v>48</v>
      </c>
      <c r="R1926">
        <v>0.39</v>
      </c>
      <c r="S1926" s="1">
        <v>40108</v>
      </c>
      <c r="T1926" t="str">
        <f t="shared" si="61"/>
        <v>22-Oct-2009</v>
      </c>
    </row>
    <row r="1927" spans="1:20" x14ac:dyDescent="0.3">
      <c r="A1927">
        <v>55648</v>
      </c>
      <c r="B1927" s="1">
        <v>40065</v>
      </c>
      <c r="C1927" t="s">
        <v>43</v>
      </c>
      <c r="D1927" t="str">
        <f t="shared" si="60"/>
        <v>09-Sep-2009</v>
      </c>
      <c r="E1927">
        <v>5</v>
      </c>
      <c r="F1927" s="13">
        <v>14.74</v>
      </c>
      <c r="G1927">
        <v>0.08</v>
      </c>
      <c r="H1927" t="s">
        <v>19</v>
      </c>
      <c r="I1927" s="13">
        <v>-2.58</v>
      </c>
      <c r="J1927">
        <v>2.88</v>
      </c>
      <c r="K1927">
        <v>0.7</v>
      </c>
      <c r="L1927" t="s">
        <v>349</v>
      </c>
      <c r="M1927" t="s">
        <v>341</v>
      </c>
      <c r="N1927" s="5" t="s">
        <v>102</v>
      </c>
      <c r="O1927" t="s">
        <v>28</v>
      </c>
      <c r="P1927" t="s">
        <v>21</v>
      </c>
      <c r="Q1927" t="s">
        <v>50</v>
      </c>
      <c r="R1927">
        <v>0.56000000000000005</v>
      </c>
      <c r="S1927" s="1">
        <v>40068</v>
      </c>
      <c r="T1927" t="str">
        <f t="shared" si="61"/>
        <v>12-Sep-2009</v>
      </c>
    </row>
    <row r="1928" spans="1:20" x14ac:dyDescent="0.3">
      <c r="A1928">
        <v>16935</v>
      </c>
      <c r="B1928" s="1">
        <v>41258</v>
      </c>
      <c r="C1928" t="s">
        <v>31</v>
      </c>
      <c r="D1928" t="str">
        <f t="shared" si="60"/>
        <v>15-Dec-2012</v>
      </c>
      <c r="E1928">
        <v>3</v>
      </c>
      <c r="F1928" s="13">
        <v>14.74</v>
      </c>
      <c r="G1928">
        <v>0.06</v>
      </c>
      <c r="H1928" t="s">
        <v>19</v>
      </c>
      <c r="I1928" s="13">
        <v>-2.72</v>
      </c>
      <c r="J1928">
        <v>4.4800000000000004</v>
      </c>
      <c r="K1928">
        <v>1.22</v>
      </c>
      <c r="L1928" t="s">
        <v>362</v>
      </c>
      <c r="M1928" t="s">
        <v>341</v>
      </c>
      <c r="N1928" s="5" t="s">
        <v>102</v>
      </c>
      <c r="O1928" t="s">
        <v>28</v>
      </c>
      <c r="P1928" t="s">
        <v>21</v>
      </c>
      <c r="Q1928" t="s">
        <v>37</v>
      </c>
      <c r="R1928">
        <v>0.36</v>
      </c>
      <c r="S1928" s="1">
        <v>41259</v>
      </c>
      <c r="T1928" t="str">
        <f t="shared" si="61"/>
        <v>16-Dec-2012</v>
      </c>
    </row>
    <row r="1929" spans="1:20" x14ac:dyDescent="0.3">
      <c r="A1929">
        <v>31330</v>
      </c>
      <c r="B1929" s="1">
        <v>40330</v>
      </c>
      <c r="C1929" t="s">
        <v>23</v>
      </c>
      <c r="D1929" t="str">
        <f t="shared" si="60"/>
        <v>01-Jun-2010</v>
      </c>
      <c r="E1929">
        <v>2</v>
      </c>
      <c r="F1929" s="13">
        <v>13.5</v>
      </c>
      <c r="G1929">
        <v>0.04</v>
      </c>
      <c r="H1929" t="s">
        <v>19</v>
      </c>
      <c r="I1929" s="13">
        <v>-7.9</v>
      </c>
      <c r="J1929">
        <v>5.98</v>
      </c>
      <c r="K1929">
        <v>1.67</v>
      </c>
      <c r="L1929" t="s">
        <v>361</v>
      </c>
      <c r="M1929" t="s">
        <v>341</v>
      </c>
      <c r="N1929" s="5" t="s">
        <v>102</v>
      </c>
      <c r="O1929" t="s">
        <v>28</v>
      </c>
      <c r="P1929" t="s">
        <v>21</v>
      </c>
      <c r="Q1929" t="s">
        <v>50</v>
      </c>
      <c r="R1929">
        <v>0.51</v>
      </c>
      <c r="S1929" s="1">
        <v>40331</v>
      </c>
      <c r="T1929" t="str">
        <f t="shared" si="61"/>
        <v>02-Jun-2010</v>
      </c>
    </row>
    <row r="1930" spans="1:20" x14ac:dyDescent="0.3">
      <c r="A1930">
        <v>9671</v>
      </c>
      <c r="B1930" s="1">
        <v>40798</v>
      </c>
      <c r="C1930" t="s">
        <v>23</v>
      </c>
      <c r="D1930" t="str">
        <f t="shared" si="60"/>
        <v>12-Sep-2011</v>
      </c>
      <c r="E1930">
        <v>6</v>
      </c>
      <c r="F1930" s="13">
        <v>12.61</v>
      </c>
      <c r="G1930">
        <v>7.0000000000000007E-2</v>
      </c>
      <c r="H1930" t="s">
        <v>19</v>
      </c>
      <c r="I1930" s="13">
        <v>-4.9000000000000004</v>
      </c>
      <c r="J1930">
        <v>1.88</v>
      </c>
      <c r="K1930">
        <v>1.49</v>
      </c>
      <c r="L1930" t="s">
        <v>349</v>
      </c>
      <c r="M1930" t="s">
        <v>341</v>
      </c>
      <c r="N1930" s="5" t="s">
        <v>102</v>
      </c>
      <c r="O1930" t="s">
        <v>28</v>
      </c>
      <c r="P1930" t="s">
        <v>21</v>
      </c>
      <c r="Q1930" t="s">
        <v>26</v>
      </c>
      <c r="R1930">
        <v>0.37</v>
      </c>
      <c r="S1930" s="1">
        <v>40800</v>
      </c>
      <c r="T1930" t="str">
        <f t="shared" si="61"/>
        <v>14-Sep-2011</v>
      </c>
    </row>
    <row r="1931" spans="1:20" x14ac:dyDescent="0.3">
      <c r="A1931">
        <v>23648</v>
      </c>
      <c r="B1931" s="1">
        <v>41176</v>
      </c>
      <c r="C1931" t="s">
        <v>43</v>
      </c>
      <c r="D1931" t="str">
        <f t="shared" si="60"/>
        <v>24-Sep-2012</v>
      </c>
      <c r="E1931">
        <v>4</v>
      </c>
      <c r="F1931" s="13">
        <v>10.65</v>
      </c>
      <c r="G1931">
        <v>0.1</v>
      </c>
      <c r="H1931" t="s">
        <v>19</v>
      </c>
      <c r="I1931" s="13">
        <v>-0.64</v>
      </c>
      <c r="J1931">
        <v>2.61</v>
      </c>
      <c r="K1931">
        <v>0.5</v>
      </c>
      <c r="L1931" t="s">
        <v>358</v>
      </c>
      <c r="M1931" t="s">
        <v>341</v>
      </c>
      <c r="N1931" s="5" t="s">
        <v>102</v>
      </c>
      <c r="O1931" t="s">
        <v>28</v>
      </c>
      <c r="P1931" t="s">
        <v>21</v>
      </c>
      <c r="Q1931" t="s">
        <v>48</v>
      </c>
      <c r="R1931">
        <v>0.39</v>
      </c>
      <c r="S1931" s="1">
        <v>41177</v>
      </c>
      <c r="T1931" t="str">
        <f t="shared" si="61"/>
        <v>25-Sep-2012</v>
      </c>
    </row>
    <row r="1932" spans="1:20" x14ac:dyDescent="0.3">
      <c r="A1932">
        <v>59911</v>
      </c>
      <c r="B1932" s="1">
        <v>40895</v>
      </c>
      <c r="C1932" t="s">
        <v>31</v>
      </c>
      <c r="D1932" t="str">
        <f t="shared" si="60"/>
        <v>18-Dec-2011</v>
      </c>
      <c r="E1932">
        <v>1</v>
      </c>
      <c r="F1932" s="13">
        <v>10.59</v>
      </c>
      <c r="G1932">
        <v>0.1</v>
      </c>
      <c r="H1932" t="s">
        <v>19</v>
      </c>
      <c r="I1932" s="13">
        <v>-4.3099999999999996</v>
      </c>
      <c r="J1932">
        <v>9.11</v>
      </c>
      <c r="K1932">
        <v>2.15</v>
      </c>
      <c r="L1932" t="s">
        <v>369</v>
      </c>
      <c r="M1932" t="s">
        <v>341</v>
      </c>
      <c r="N1932" s="5" t="s">
        <v>102</v>
      </c>
      <c r="O1932" t="s">
        <v>28</v>
      </c>
      <c r="P1932" t="s">
        <v>21</v>
      </c>
      <c r="Q1932" t="s">
        <v>37</v>
      </c>
      <c r="R1932">
        <v>0.4</v>
      </c>
      <c r="S1932" s="1">
        <v>40896</v>
      </c>
      <c r="T1932" t="str">
        <f t="shared" si="61"/>
        <v>19-Dec-2011</v>
      </c>
    </row>
    <row r="1933" spans="1:20" x14ac:dyDescent="0.3">
      <c r="A1933">
        <v>59207</v>
      </c>
      <c r="B1933" s="1">
        <v>39951</v>
      </c>
      <c r="C1933" t="s">
        <v>43</v>
      </c>
      <c r="D1933" t="str">
        <f t="shared" si="60"/>
        <v>18-May-2009</v>
      </c>
      <c r="E1933">
        <v>3</v>
      </c>
      <c r="F1933" s="13">
        <v>10.119999999999999</v>
      </c>
      <c r="G1933">
        <v>0.09</v>
      </c>
      <c r="H1933" t="s">
        <v>19</v>
      </c>
      <c r="I1933" s="13">
        <v>-4.07</v>
      </c>
      <c r="J1933">
        <v>2.98</v>
      </c>
      <c r="K1933">
        <v>1.58</v>
      </c>
      <c r="L1933" t="s">
        <v>365</v>
      </c>
      <c r="M1933" t="s">
        <v>341</v>
      </c>
      <c r="N1933" s="5" t="s">
        <v>102</v>
      </c>
      <c r="O1933" t="s">
        <v>28</v>
      </c>
      <c r="P1933" t="s">
        <v>21</v>
      </c>
      <c r="Q1933" t="s">
        <v>39</v>
      </c>
      <c r="R1933">
        <v>0.39</v>
      </c>
      <c r="S1933" s="1">
        <v>39952</v>
      </c>
      <c r="T1933" t="str">
        <f t="shared" si="61"/>
        <v>19-May-2009</v>
      </c>
    </row>
    <row r="1934" spans="1:20" ht="15" thickBot="1" x14ac:dyDescent="0.35">
      <c r="A1934">
        <v>28550</v>
      </c>
      <c r="B1934" s="1">
        <v>40622</v>
      </c>
      <c r="C1934" t="s">
        <v>31</v>
      </c>
      <c r="D1934" t="str">
        <f t="shared" si="60"/>
        <v>20-Mar-2011</v>
      </c>
      <c r="E1934">
        <v>1</v>
      </c>
      <c r="F1934" s="13">
        <v>7.64</v>
      </c>
      <c r="G1934">
        <v>0.1</v>
      </c>
      <c r="H1934" t="s">
        <v>19</v>
      </c>
      <c r="I1934" s="13">
        <v>-6.6</v>
      </c>
      <c r="J1934">
        <v>4.76</v>
      </c>
      <c r="K1934">
        <v>3.01</v>
      </c>
      <c r="L1934" t="s">
        <v>82</v>
      </c>
      <c r="M1934" t="s">
        <v>341</v>
      </c>
      <c r="N1934" s="6" t="s">
        <v>102</v>
      </c>
      <c r="O1934" t="s">
        <v>28</v>
      </c>
      <c r="P1934" t="s">
        <v>21</v>
      </c>
      <c r="Q1934" t="s">
        <v>37</v>
      </c>
      <c r="R1934">
        <v>0.36</v>
      </c>
      <c r="S1934" s="1">
        <v>40623</v>
      </c>
      <c r="T1934" t="str">
        <f t="shared" si="61"/>
        <v>21-Mar-2011</v>
      </c>
    </row>
    <row r="1935" spans="1:20" ht="15" thickTop="1" x14ac:dyDescent="0.3">
      <c r="A1935">
        <v>26432</v>
      </c>
      <c r="B1935" s="1">
        <v>40177</v>
      </c>
      <c r="C1935" t="s">
        <v>18</v>
      </c>
      <c r="D1935" t="str">
        <f t="shared" si="60"/>
        <v>30-Dec-2009</v>
      </c>
      <c r="E1935">
        <v>48</v>
      </c>
      <c r="F1935" s="13">
        <v>27820.34</v>
      </c>
      <c r="G1935">
        <v>0.08</v>
      </c>
      <c r="H1935" t="s">
        <v>19</v>
      </c>
      <c r="I1935" s="13">
        <v>11630.15</v>
      </c>
      <c r="J1935">
        <v>599.99</v>
      </c>
      <c r="K1935">
        <v>24.49</v>
      </c>
      <c r="L1935" t="s">
        <v>100</v>
      </c>
      <c r="M1935" t="s">
        <v>258</v>
      </c>
      <c r="N1935" s="5" t="s">
        <v>258</v>
      </c>
      <c r="O1935" t="s">
        <v>28</v>
      </c>
      <c r="P1935" t="s">
        <v>29</v>
      </c>
      <c r="Q1935" t="s">
        <v>51</v>
      </c>
      <c r="R1935">
        <v>0.37</v>
      </c>
      <c r="S1935" s="1">
        <v>40186</v>
      </c>
      <c r="T1935" t="str">
        <f t="shared" si="61"/>
        <v>08-Jan-2010</v>
      </c>
    </row>
    <row r="1936" spans="1:20" x14ac:dyDescent="0.3">
      <c r="A1936">
        <v>59781</v>
      </c>
      <c r="B1936" s="1">
        <v>41255</v>
      </c>
      <c r="C1936" t="s">
        <v>31</v>
      </c>
      <c r="D1936" t="str">
        <f t="shared" si="60"/>
        <v>12-Dec-2012</v>
      </c>
      <c r="E1936">
        <v>28</v>
      </c>
      <c r="F1936" s="13">
        <v>24391.16</v>
      </c>
      <c r="G1936">
        <v>0.04</v>
      </c>
      <c r="H1936" t="s">
        <v>24</v>
      </c>
      <c r="I1936" s="13">
        <v>-9611.91</v>
      </c>
      <c r="J1936">
        <v>880.98</v>
      </c>
      <c r="K1936">
        <v>44.55</v>
      </c>
      <c r="L1936" t="s">
        <v>252</v>
      </c>
      <c r="M1936" t="s">
        <v>258</v>
      </c>
      <c r="N1936" s="5" t="s">
        <v>258</v>
      </c>
      <c r="O1936" t="s">
        <v>28</v>
      </c>
      <c r="P1936" t="s">
        <v>32</v>
      </c>
      <c r="Q1936" t="s">
        <v>45</v>
      </c>
      <c r="R1936">
        <v>0.62</v>
      </c>
      <c r="S1936" s="1">
        <v>41256</v>
      </c>
      <c r="T1936" t="str">
        <f t="shared" si="61"/>
        <v>13-Dec-2012</v>
      </c>
    </row>
    <row r="1937" spans="1:20" x14ac:dyDescent="0.3">
      <c r="A1937">
        <v>44647</v>
      </c>
      <c r="B1937" s="1">
        <v>40932</v>
      </c>
      <c r="C1937" t="s">
        <v>18</v>
      </c>
      <c r="D1937" t="str">
        <f t="shared" si="60"/>
        <v>24-Jan-2012</v>
      </c>
      <c r="E1937">
        <v>47</v>
      </c>
      <c r="F1937" s="13">
        <v>23239.96</v>
      </c>
      <c r="G1937">
        <v>0.06</v>
      </c>
      <c r="H1937" t="s">
        <v>24</v>
      </c>
      <c r="I1937" s="13">
        <v>6888.36</v>
      </c>
      <c r="J1937">
        <v>500.98</v>
      </c>
      <c r="K1937">
        <v>26</v>
      </c>
      <c r="L1937" t="s">
        <v>264</v>
      </c>
      <c r="M1937" t="s">
        <v>258</v>
      </c>
      <c r="N1937" s="5" t="s">
        <v>258</v>
      </c>
      <c r="O1937" t="s">
        <v>28</v>
      </c>
      <c r="P1937" t="s">
        <v>32</v>
      </c>
      <c r="Q1937" t="s">
        <v>56</v>
      </c>
      <c r="R1937">
        <v>0.6</v>
      </c>
      <c r="S1937" s="1">
        <v>40932</v>
      </c>
      <c r="T1937" t="str">
        <f t="shared" si="61"/>
        <v>24-Jan-2012</v>
      </c>
    </row>
    <row r="1938" spans="1:20" x14ac:dyDescent="0.3">
      <c r="A1938">
        <v>23782</v>
      </c>
      <c r="B1938" s="1">
        <v>40188</v>
      </c>
      <c r="C1938" t="s">
        <v>18</v>
      </c>
      <c r="D1938" t="str">
        <f t="shared" si="60"/>
        <v>10-Jan-2010</v>
      </c>
      <c r="E1938">
        <v>46</v>
      </c>
      <c r="F1938" s="13">
        <v>21390.44</v>
      </c>
      <c r="G1938">
        <v>0.09</v>
      </c>
      <c r="H1938" t="s">
        <v>24</v>
      </c>
      <c r="I1938" s="13">
        <v>5365.43</v>
      </c>
      <c r="J1938">
        <v>500.98</v>
      </c>
      <c r="K1938">
        <v>26</v>
      </c>
      <c r="L1938" t="s">
        <v>283</v>
      </c>
      <c r="M1938" t="s">
        <v>258</v>
      </c>
      <c r="N1938" s="5" t="s">
        <v>258</v>
      </c>
      <c r="O1938" t="s">
        <v>28</v>
      </c>
      <c r="P1938" t="s">
        <v>32</v>
      </c>
      <c r="Q1938" t="s">
        <v>56</v>
      </c>
      <c r="R1938">
        <v>0.6</v>
      </c>
      <c r="S1938" s="1">
        <v>40188</v>
      </c>
      <c r="T1938" t="str">
        <f t="shared" si="61"/>
        <v>10-Jan-2010</v>
      </c>
    </row>
    <row r="1939" spans="1:20" x14ac:dyDescent="0.3">
      <c r="A1939">
        <v>26276</v>
      </c>
      <c r="B1939" s="1">
        <v>40433</v>
      </c>
      <c r="C1939" t="s">
        <v>18</v>
      </c>
      <c r="D1939" t="str">
        <f t="shared" si="60"/>
        <v>12-Sep-2010</v>
      </c>
      <c r="E1939">
        <v>19</v>
      </c>
      <c r="F1939" s="13">
        <v>20329.8</v>
      </c>
      <c r="G1939">
        <v>0</v>
      </c>
      <c r="H1939" t="s">
        <v>19</v>
      </c>
      <c r="I1939" s="13">
        <v>9224.1</v>
      </c>
      <c r="J1939">
        <v>999.99</v>
      </c>
      <c r="K1939">
        <v>13.99</v>
      </c>
      <c r="L1939" t="s">
        <v>211</v>
      </c>
      <c r="M1939" t="s">
        <v>258</v>
      </c>
      <c r="N1939" s="5" t="s">
        <v>258</v>
      </c>
      <c r="O1939" t="s">
        <v>28</v>
      </c>
      <c r="P1939" t="s">
        <v>29</v>
      </c>
      <c r="Q1939" t="s">
        <v>74</v>
      </c>
      <c r="R1939">
        <v>0.36</v>
      </c>
      <c r="S1939" s="1">
        <v>40437</v>
      </c>
      <c r="T1939" t="str">
        <f t="shared" si="61"/>
        <v>16-Sep-2010</v>
      </c>
    </row>
    <row r="1940" spans="1:20" x14ac:dyDescent="0.3">
      <c r="A1940">
        <v>30279</v>
      </c>
      <c r="B1940" s="1">
        <v>40884</v>
      </c>
      <c r="C1940" t="s">
        <v>43</v>
      </c>
      <c r="D1940" t="str">
        <f t="shared" si="60"/>
        <v>07-Dec-2011</v>
      </c>
      <c r="E1940">
        <v>39</v>
      </c>
      <c r="F1940" s="13">
        <v>19539.939999999999</v>
      </c>
      <c r="G1940">
        <v>0.06</v>
      </c>
      <c r="H1940" t="s">
        <v>24</v>
      </c>
      <c r="I1940" s="13">
        <v>4914.24</v>
      </c>
      <c r="J1940">
        <v>517.48</v>
      </c>
      <c r="K1940">
        <v>16.63</v>
      </c>
      <c r="L1940" t="s">
        <v>269</v>
      </c>
      <c r="M1940" t="s">
        <v>258</v>
      </c>
      <c r="N1940" s="5" t="s">
        <v>258</v>
      </c>
      <c r="O1940" t="s">
        <v>28</v>
      </c>
      <c r="P1940" t="s">
        <v>29</v>
      </c>
      <c r="Q1940" t="s">
        <v>74</v>
      </c>
      <c r="R1940">
        <v>0.59</v>
      </c>
      <c r="S1940" s="1">
        <v>40885</v>
      </c>
      <c r="T1940" t="str">
        <f t="shared" si="61"/>
        <v>08-Dec-2011</v>
      </c>
    </row>
    <row r="1941" spans="1:20" x14ac:dyDescent="0.3">
      <c r="A1941">
        <v>40870</v>
      </c>
      <c r="B1941" s="1">
        <v>40888</v>
      </c>
      <c r="C1941" t="s">
        <v>43</v>
      </c>
      <c r="D1941" t="str">
        <f t="shared" si="60"/>
        <v>11-Dec-2011</v>
      </c>
      <c r="E1941">
        <v>43</v>
      </c>
      <c r="F1941" s="13">
        <v>12858.88</v>
      </c>
      <c r="G1941">
        <v>0.08</v>
      </c>
      <c r="H1941" t="s">
        <v>19</v>
      </c>
      <c r="I1941" s="13">
        <v>4833.2700000000004</v>
      </c>
      <c r="J1941">
        <v>300.97000000000003</v>
      </c>
      <c r="K1941">
        <v>7.18</v>
      </c>
      <c r="L1941" t="s">
        <v>283</v>
      </c>
      <c r="M1941" t="s">
        <v>258</v>
      </c>
      <c r="N1941" s="5" t="s">
        <v>258</v>
      </c>
      <c r="O1941" t="s">
        <v>28</v>
      </c>
      <c r="P1941" t="s">
        <v>29</v>
      </c>
      <c r="Q1941" t="s">
        <v>41</v>
      </c>
      <c r="R1941">
        <v>0.48</v>
      </c>
      <c r="S1941" s="1">
        <v>40888</v>
      </c>
      <c r="T1941" t="str">
        <f t="shared" si="61"/>
        <v>11-Dec-2011</v>
      </c>
    </row>
    <row r="1942" spans="1:20" x14ac:dyDescent="0.3">
      <c r="A1942">
        <v>29220</v>
      </c>
      <c r="B1942" s="1">
        <v>41272</v>
      </c>
      <c r="C1942" t="s">
        <v>38</v>
      </c>
      <c r="D1942" t="str">
        <f t="shared" si="60"/>
        <v>29-Dec-2012</v>
      </c>
      <c r="E1942">
        <v>36</v>
      </c>
      <c r="F1942" s="13">
        <v>12690.33</v>
      </c>
      <c r="G1942">
        <v>0.08</v>
      </c>
      <c r="H1942" t="s">
        <v>35</v>
      </c>
      <c r="I1942" s="13">
        <v>5045.3</v>
      </c>
      <c r="J1942">
        <v>367.99</v>
      </c>
      <c r="K1942">
        <v>19.989999999999998</v>
      </c>
      <c r="L1942" t="s">
        <v>100</v>
      </c>
      <c r="M1942" t="s">
        <v>258</v>
      </c>
      <c r="N1942" s="5" t="s">
        <v>258</v>
      </c>
      <c r="O1942" t="s">
        <v>28</v>
      </c>
      <c r="P1942" t="s">
        <v>21</v>
      </c>
      <c r="Q1942" t="s">
        <v>26</v>
      </c>
      <c r="R1942">
        <v>0.4</v>
      </c>
      <c r="S1942" s="1">
        <v>41272</v>
      </c>
      <c r="T1942" t="str">
        <f t="shared" si="61"/>
        <v>29-Dec-2012</v>
      </c>
    </row>
    <row r="1943" spans="1:20" x14ac:dyDescent="0.3">
      <c r="A1943">
        <v>46177</v>
      </c>
      <c r="B1943" s="1">
        <v>40517</v>
      </c>
      <c r="C1943" t="s">
        <v>18</v>
      </c>
      <c r="D1943" t="str">
        <f t="shared" si="60"/>
        <v>05-Dec-2010</v>
      </c>
      <c r="E1943">
        <v>13</v>
      </c>
      <c r="F1943" s="13">
        <v>11169.95</v>
      </c>
      <c r="G1943">
        <v>7.0000000000000007E-2</v>
      </c>
      <c r="H1943" t="s">
        <v>19</v>
      </c>
      <c r="I1943" s="13">
        <v>3982.22</v>
      </c>
      <c r="J1943">
        <v>896.99</v>
      </c>
      <c r="K1943">
        <v>19.989999999999998</v>
      </c>
      <c r="L1943" t="s">
        <v>116</v>
      </c>
      <c r="M1943" t="s">
        <v>258</v>
      </c>
      <c r="N1943" s="5" t="s">
        <v>258</v>
      </c>
      <c r="O1943" t="s">
        <v>28</v>
      </c>
      <c r="P1943" t="s">
        <v>21</v>
      </c>
      <c r="Q1943" t="s">
        <v>26</v>
      </c>
      <c r="R1943">
        <v>0.38</v>
      </c>
      <c r="S1943" s="1">
        <v>40517</v>
      </c>
      <c r="T1943" t="str">
        <f t="shared" si="61"/>
        <v>05-Dec-2010</v>
      </c>
    </row>
    <row r="1944" spans="1:20" x14ac:dyDescent="0.3">
      <c r="A1944">
        <v>56291</v>
      </c>
      <c r="B1944" s="1">
        <v>41169</v>
      </c>
      <c r="C1944" t="s">
        <v>31</v>
      </c>
      <c r="D1944" t="str">
        <f t="shared" si="60"/>
        <v>17-Sep-2012</v>
      </c>
      <c r="E1944">
        <v>22</v>
      </c>
      <c r="F1944" s="13">
        <v>11022.53</v>
      </c>
      <c r="G1944">
        <v>0.06</v>
      </c>
      <c r="H1944" t="s">
        <v>24</v>
      </c>
      <c r="I1944" s="13">
        <v>1869.86</v>
      </c>
      <c r="J1944">
        <v>517.48</v>
      </c>
      <c r="K1944">
        <v>16.63</v>
      </c>
      <c r="L1944" t="s">
        <v>286</v>
      </c>
      <c r="M1944" t="s">
        <v>258</v>
      </c>
      <c r="N1944" s="5" t="s">
        <v>258</v>
      </c>
      <c r="O1944" t="s">
        <v>28</v>
      </c>
      <c r="P1944" t="s">
        <v>29</v>
      </c>
      <c r="Q1944" t="s">
        <v>74</v>
      </c>
      <c r="R1944">
        <v>0.59</v>
      </c>
      <c r="S1944" s="1">
        <v>41171</v>
      </c>
      <c r="T1944" t="str">
        <f t="shared" si="61"/>
        <v>19-Sep-2012</v>
      </c>
    </row>
    <row r="1945" spans="1:20" x14ac:dyDescent="0.3">
      <c r="A1945">
        <v>59714</v>
      </c>
      <c r="B1945" s="1">
        <v>40525</v>
      </c>
      <c r="C1945" t="s">
        <v>43</v>
      </c>
      <c r="D1945" t="str">
        <f t="shared" si="60"/>
        <v>13-Dec-2010</v>
      </c>
      <c r="E1945">
        <v>26</v>
      </c>
      <c r="F1945" s="13">
        <v>9225.65</v>
      </c>
      <c r="G1945">
        <v>0.03</v>
      </c>
      <c r="H1945" t="s">
        <v>24</v>
      </c>
      <c r="I1945" s="13">
        <v>1656.46</v>
      </c>
      <c r="J1945">
        <v>349.45</v>
      </c>
      <c r="K1945">
        <v>60</v>
      </c>
      <c r="L1945" t="s">
        <v>252</v>
      </c>
      <c r="M1945" t="s">
        <v>258</v>
      </c>
      <c r="N1945" s="5" t="s">
        <v>258</v>
      </c>
      <c r="O1945" t="s">
        <v>28</v>
      </c>
      <c r="P1945" t="s">
        <v>32</v>
      </c>
      <c r="Q1945" t="s">
        <v>46</v>
      </c>
      <c r="S1945" s="1">
        <v>40527</v>
      </c>
      <c r="T1945" t="str">
        <f t="shared" si="61"/>
        <v>15-Dec-2010</v>
      </c>
    </row>
    <row r="1946" spans="1:20" x14ac:dyDescent="0.3">
      <c r="A1946">
        <v>20518</v>
      </c>
      <c r="B1946" s="1">
        <v>40091</v>
      </c>
      <c r="C1946" t="s">
        <v>43</v>
      </c>
      <c r="D1946" t="str">
        <f t="shared" si="60"/>
        <v>05-Oct-2009</v>
      </c>
      <c r="E1946">
        <v>49</v>
      </c>
      <c r="F1946" s="13">
        <v>8252.3610000000008</v>
      </c>
      <c r="G1946">
        <v>7.0000000000000007E-2</v>
      </c>
      <c r="H1946" t="s">
        <v>19</v>
      </c>
      <c r="I1946" s="13">
        <v>2418.56</v>
      </c>
      <c r="J1946">
        <v>200.99</v>
      </c>
      <c r="K1946">
        <v>4.2</v>
      </c>
      <c r="L1946" t="s">
        <v>237</v>
      </c>
      <c r="M1946" t="s">
        <v>258</v>
      </c>
      <c r="N1946" s="5" t="s">
        <v>258</v>
      </c>
      <c r="O1946" t="s">
        <v>28</v>
      </c>
      <c r="P1946" t="s">
        <v>29</v>
      </c>
      <c r="Q1946" t="s">
        <v>30</v>
      </c>
      <c r="R1946">
        <v>0.59</v>
      </c>
      <c r="S1946" s="1">
        <v>40092</v>
      </c>
      <c r="T1946" t="str">
        <f t="shared" si="61"/>
        <v>06-Oct-2009</v>
      </c>
    </row>
    <row r="1947" spans="1:20" x14ac:dyDescent="0.3">
      <c r="A1947">
        <v>39878</v>
      </c>
      <c r="B1947" s="1">
        <v>40607</v>
      </c>
      <c r="C1947" t="s">
        <v>31</v>
      </c>
      <c r="D1947" t="str">
        <f t="shared" si="60"/>
        <v>05-Mar-2011</v>
      </c>
      <c r="E1947">
        <v>50</v>
      </c>
      <c r="F1947" s="13">
        <v>7663.74</v>
      </c>
      <c r="G1947">
        <v>0</v>
      </c>
      <c r="H1947" t="s">
        <v>24</v>
      </c>
      <c r="I1947" s="13">
        <v>-375.33</v>
      </c>
      <c r="J1947">
        <v>150.97999999999999</v>
      </c>
      <c r="K1947">
        <v>39.25</v>
      </c>
      <c r="L1947" t="s">
        <v>274</v>
      </c>
      <c r="M1947" t="s">
        <v>258</v>
      </c>
      <c r="N1947" s="5" t="s">
        <v>258</v>
      </c>
      <c r="O1947" t="s">
        <v>28</v>
      </c>
      <c r="P1947" t="s">
        <v>32</v>
      </c>
      <c r="Q1947" t="s">
        <v>46</v>
      </c>
      <c r="R1947">
        <v>0.75</v>
      </c>
      <c r="S1947" s="1">
        <v>40609</v>
      </c>
      <c r="T1947" t="str">
        <f t="shared" si="61"/>
        <v>07-Mar-2011</v>
      </c>
    </row>
    <row r="1948" spans="1:20" x14ac:dyDescent="0.3">
      <c r="A1948">
        <v>30276</v>
      </c>
      <c r="B1948" s="1">
        <v>40781</v>
      </c>
      <c r="C1948" t="s">
        <v>18</v>
      </c>
      <c r="D1948" t="str">
        <f t="shared" si="60"/>
        <v>26-Aug-2011</v>
      </c>
      <c r="E1948">
        <v>34</v>
      </c>
      <c r="F1948" s="13">
        <v>7656.3040000000001</v>
      </c>
      <c r="G1948">
        <v>0.1</v>
      </c>
      <c r="H1948" t="s">
        <v>24</v>
      </c>
      <c r="I1948" s="13">
        <v>-715.78</v>
      </c>
      <c r="J1948">
        <v>296.18</v>
      </c>
      <c r="K1948">
        <v>54.12</v>
      </c>
      <c r="L1948" t="s">
        <v>218</v>
      </c>
      <c r="M1948" t="s">
        <v>258</v>
      </c>
      <c r="N1948" s="5" t="s">
        <v>258</v>
      </c>
      <c r="O1948" t="s">
        <v>28</v>
      </c>
      <c r="P1948" t="s">
        <v>32</v>
      </c>
      <c r="Q1948" t="s">
        <v>46</v>
      </c>
      <c r="R1948">
        <v>0.76</v>
      </c>
      <c r="S1948" s="1">
        <v>40785</v>
      </c>
      <c r="T1948" t="str">
        <f t="shared" si="61"/>
        <v>30-Aug-2011</v>
      </c>
    </row>
    <row r="1949" spans="1:20" x14ac:dyDescent="0.3">
      <c r="A1949">
        <v>38912</v>
      </c>
      <c r="B1949" s="1">
        <v>41210</v>
      </c>
      <c r="C1949" t="s">
        <v>18</v>
      </c>
      <c r="D1949" t="str">
        <f t="shared" si="60"/>
        <v>28-Oct-2012</v>
      </c>
      <c r="E1949">
        <v>46</v>
      </c>
      <c r="F1949" s="13">
        <v>6943.94</v>
      </c>
      <c r="G1949">
        <v>0.01</v>
      </c>
      <c r="H1949" t="s">
        <v>19</v>
      </c>
      <c r="I1949" s="13">
        <v>608.9</v>
      </c>
      <c r="J1949">
        <v>152.47999999999999</v>
      </c>
      <c r="K1949">
        <v>4</v>
      </c>
      <c r="L1949" t="s">
        <v>234</v>
      </c>
      <c r="M1949" t="s">
        <v>258</v>
      </c>
      <c r="N1949" s="5" t="s">
        <v>258</v>
      </c>
      <c r="O1949" t="s">
        <v>28</v>
      </c>
      <c r="P1949" t="s">
        <v>29</v>
      </c>
      <c r="Q1949" t="s">
        <v>41</v>
      </c>
      <c r="R1949">
        <v>0.79</v>
      </c>
      <c r="S1949" s="1">
        <v>41212</v>
      </c>
      <c r="T1949" t="str">
        <f t="shared" si="61"/>
        <v>30-Oct-2012</v>
      </c>
    </row>
    <row r="1950" spans="1:20" x14ac:dyDescent="0.3">
      <c r="A1950">
        <v>20384</v>
      </c>
      <c r="B1950" s="1">
        <v>40841</v>
      </c>
      <c r="C1950" t="s">
        <v>18</v>
      </c>
      <c r="D1950" t="str">
        <f t="shared" si="60"/>
        <v>25-Oct-2011</v>
      </c>
      <c r="E1950">
        <v>32</v>
      </c>
      <c r="F1950" s="13">
        <v>6902.51</v>
      </c>
      <c r="G1950">
        <v>0.04</v>
      </c>
      <c r="H1950" t="s">
        <v>24</v>
      </c>
      <c r="I1950" s="13">
        <v>-513.79</v>
      </c>
      <c r="J1950">
        <v>212.6</v>
      </c>
      <c r="K1950">
        <v>110.2</v>
      </c>
      <c r="L1950" t="s">
        <v>281</v>
      </c>
      <c r="M1950" t="s">
        <v>258</v>
      </c>
      <c r="N1950" s="5" t="s">
        <v>258</v>
      </c>
      <c r="O1950" t="s">
        <v>28</v>
      </c>
      <c r="P1950" t="s">
        <v>32</v>
      </c>
      <c r="Q1950" t="s">
        <v>46</v>
      </c>
      <c r="R1950">
        <v>0.73</v>
      </c>
      <c r="S1950" s="1">
        <v>40845</v>
      </c>
      <c r="T1950" t="str">
        <f t="shared" si="61"/>
        <v>29-Oct-2011</v>
      </c>
    </row>
    <row r="1951" spans="1:20" x14ac:dyDescent="0.3">
      <c r="A1951">
        <v>18373</v>
      </c>
      <c r="B1951" s="1">
        <v>41011</v>
      </c>
      <c r="C1951" t="s">
        <v>43</v>
      </c>
      <c r="D1951" t="str">
        <f t="shared" si="60"/>
        <v>12-Apr-2012</v>
      </c>
      <c r="E1951">
        <v>35</v>
      </c>
      <c r="F1951" s="13">
        <v>6608.24</v>
      </c>
      <c r="G1951">
        <v>0.09</v>
      </c>
      <c r="H1951" t="s">
        <v>19</v>
      </c>
      <c r="I1951" s="13">
        <v>2164.64</v>
      </c>
      <c r="J1951">
        <v>207.48</v>
      </c>
      <c r="K1951">
        <v>0.99</v>
      </c>
      <c r="L1951" t="s">
        <v>235</v>
      </c>
      <c r="M1951" t="s">
        <v>258</v>
      </c>
      <c r="N1951" s="5" t="s">
        <v>258</v>
      </c>
      <c r="O1951" t="s">
        <v>28</v>
      </c>
      <c r="P1951" t="s">
        <v>21</v>
      </c>
      <c r="Q1951" t="s">
        <v>25</v>
      </c>
      <c r="R1951">
        <v>0.55000000000000004</v>
      </c>
      <c r="S1951" s="1">
        <v>41011</v>
      </c>
      <c r="T1951" t="str">
        <f t="shared" si="61"/>
        <v>12-Apr-2012</v>
      </c>
    </row>
    <row r="1952" spans="1:20" x14ac:dyDescent="0.3">
      <c r="A1952">
        <v>22055</v>
      </c>
      <c r="B1952" s="1">
        <v>41175</v>
      </c>
      <c r="C1952" t="s">
        <v>38</v>
      </c>
      <c r="D1952" t="str">
        <f t="shared" si="60"/>
        <v>23-Sep-2012</v>
      </c>
      <c r="E1952">
        <v>40</v>
      </c>
      <c r="F1952" s="13">
        <v>6147.24</v>
      </c>
      <c r="G1952">
        <v>0.05</v>
      </c>
      <c r="H1952" t="s">
        <v>24</v>
      </c>
      <c r="I1952" s="13">
        <v>632.98</v>
      </c>
      <c r="J1952">
        <v>160.97999999999999</v>
      </c>
      <c r="K1952">
        <v>30</v>
      </c>
      <c r="L1952" t="s">
        <v>279</v>
      </c>
      <c r="M1952" t="s">
        <v>258</v>
      </c>
      <c r="N1952" s="5" t="s">
        <v>258</v>
      </c>
      <c r="O1952" t="s">
        <v>28</v>
      </c>
      <c r="P1952" t="s">
        <v>32</v>
      </c>
      <c r="Q1952" t="s">
        <v>56</v>
      </c>
      <c r="R1952">
        <v>0.62</v>
      </c>
      <c r="S1952" s="1">
        <v>41177</v>
      </c>
      <c r="T1952" t="str">
        <f t="shared" si="61"/>
        <v>25-Sep-2012</v>
      </c>
    </row>
    <row r="1953" spans="1:20" x14ac:dyDescent="0.3">
      <c r="A1953">
        <v>58854</v>
      </c>
      <c r="B1953" s="1">
        <v>40292</v>
      </c>
      <c r="C1953" t="s">
        <v>43</v>
      </c>
      <c r="D1953" t="str">
        <f t="shared" si="60"/>
        <v>24-Apr-2010</v>
      </c>
      <c r="E1953">
        <v>35</v>
      </c>
      <c r="F1953" s="13">
        <v>6130.9</v>
      </c>
      <c r="G1953">
        <v>0.03</v>
      </c>
      <c r="H1953" t="s">
        <v>24</v>
      </c>
      <c r="I1953" s="13">
        <v>583.15</v>
      </c>
      <c r="J1953">
        <v>170.98</v>
      </c>
      <c r="K1953">
        <v>35.89</v>
      </c>
      <c r="L1953" t="s">
        <v>287</v>
      </c>
      <c r="M1953" t="s">
        <v>258</v>
      </c>
      <c r="N1953" s="5" t="s">
        <v>258</v>
      </c>
      <c r="O1953" t="s">
        <v>28</v>
      </c>
      <c r="P1953" t="s">
        <v>32</v>
      </c>
      <c r="Q1953" t="s">
        <v>45</v>
      </c>
      <c r="R1953">
        <v>0.66</v>
      </c>
      <c r="S1953" s="1">
        <v>40293</v>
      </c>
      <c r="T1953" t="str">
        <f t="shared" si="61"/>
        <v>25-Apr-2010</v>
      </c>
    </row>
    <row r="1954" spans="1:20" x14ac:dyDescent="0.3">
      <c r="A1954">
        <v>52837</v>
      </c>
      <c r="B1954" s="1">
        <v>40926</v>
      </c>
      <c r="C1954" t="s">
        <v>43</v>
      </c>
      <c r="D1954" t="str">
        <f t="shared" si="60"/>
        <v>18-Jan-2012</v>
      </c>
      <c r="E1954">
        <v>32</v>
      </c>
      <c r="F1954" s="13">
        <v>5934.39</v>
      </c>
      <c r="G1954">
        <v>0.08</v>
      </c>
      <c r="H1954" t="s">
        <v>19</v>
      </c>
      <c r="I1954" s="13">
        <v>519.54999999999995</v>
      </c>
      <c r="J1954">
        <v>193.17</v>
      </c>
      <c r="K1954">
        <v>19.989999999999998</v>
      </c>
      <c r="L1954" t="s">
        <v>255</v>
      </c>
      <c r="M1954" t="s">
        <v>258</v>
      </c>
      <c r="N1954" s="5" t="s">
        <v>258</v>
      </c>
      <c r="O1954" t="s">
        <v>28</v>
      </c>
      <c r="P1954" t="s">
        <v>21</v>
      </c>
      <c r="Q1954" t="s">
        <v>22</v>
      </c>
      <c r="R1954">
        <v>0.71</v>
      </c>
      <c r="S1954" s="1">
        <v>40928</v>
      </c>
      <c r="T1954" t="str">
        <f t="shared" si="61"/>
        <v>20-Jan-2012</v>
      </c>
    </row>
    <row r="1955" spans="1:20" x14ac:dyDescent="0.3">
      <c r="A1955">
        <v>44033</v>
      </c>
      <c r="B1955" s="1">
        <v>40918</v>
      </c>
      <c r="C1955" t="s">
        <v>43</v>
      </c>
      <c r="D1955" t="str">
        <f t="shared" si="60"/>
        <v>10-Jan-2012</v>
      </c>
      <c r="E1955">
        <v>45</v>
      </c>
      <c r="F1955" s="13">
        <v>5811.97</v>
      </c>
      <c r="G1955">
        <v>0.03</v>
      </c>
      <c r="H1955" t="s">
        <v>24</v>
      </c>
      <c r="I1955" s="13">
        <v>-434.15</v>
      </c>
      <c r="J1955">
        <v>124.49</v>
      </c>
      <c r="K1955">
        <v>51.94</v>
      </c>
      <c r="L1955" t="s">
        <v>217</v>
      </c>
      <c r="M1955" t="s">
        <v>258</v>
      </c>
      <c r="N1955" s="5" t="s">
        <v>258</v>
      </c>
      <c r="O1955" t="s">
        <v>28</v>
      </c>
      <c r="P1955" t="s">
        <v>32</v>
      </c>
      <c r="Q1955" t="s">
        <v>46</v>
      </c>
      <c r="R1955">
        <v>0.63</v>
      </c>
      <c r="S1955" s="1">
        <v>40920</v>
      </c>
      <c r="T1955" t="str">
        <f t="shared" si="61"/>
        <v>12-Jan-2012</v>
      </c>
    </row>
    <row r="1956" spans="1:20" x14ac:dyDescent="0.3">
      <c r="A1956">
        <v>35845</v>
      </c>
      <c r="B1956" s="1">
        <v>40549</v>
      </c>
      <c r="C1956" t="s">
        <v>23</v>
      </c>
      <c r="D1956" t="str">
        <f t="shared" si="60"/>
        <v>06-Jan-2011</v>
      </c>
      <c r="E1956">
        <v>15</v>
      </c>
      <c r="F1956" s="13">
        <v>5713.48</v>
      </c>
      <c r="G1956">
        <v>0.05</v>
      </c>
      <c r="H1956" t="s">
        <v>24</v>
      </c>
      <c r="I1956" s="13">
        <v>-712.53</v>
      </c>
      <c r="J1956">
        <v>376.13</v>
      </c>
      <c r="K1956">
        <v>85.63</v>
      </c>
      <c r="L1956" t="s">
        <v>245</v>
      </c>
      <c r="M1956" t="s">
        <v>258</v>
      </c>
      <c r="N1956" s="5" t="s">
        <v>258</v>
      </c>
      <c r="O1956" t="s">
        <v>28</v>
      </c>
      <c r="P1956" t="s">
        <v>32</v>
      </c>
      <c r="Q1956" t="s">
        <v>46</v>
      </c>
      <c r="R1956">
        <v>0.74</v>
      </c>
      <c r="S1956" s="1">
        <v>40551</v>
      </c>
      <c r="T1956" t="str">
        <f t="shared" si="61"/>
        <v>08-Jan-2011</v>
      </c>
    </row>
    <row r="1957" spans="1:20" x14ac:dyDescent="0.3">
      <c r="A1957">
        <v>28647</v>
      </c>
      <c r="B1957" s="1">
        <v>39886</v>
      </c>
      <c r="C1957" t="s">
        <v>43</v>
      </c>
      <c r="D1957" t="str">
        <f t="shared" si="60"/>
        <v>14-Mar-2009</v>
      </c>
      <c r="E1957">
        <v>38</v>
      </c>
      <c r="F1957" s="13">
        <v>5679.59</v>
      </c>
      <c r="G1957">
        <v>0.09</v>
      </c>
      <c r="H1957" t="s">
        <v>35</v>
      </c>
      <c r="I1957" s="13">
        <v>-1763.75</v>
      </c>
      <c r="J1957">
        <v>154.13</v>
      </c>
      <c r="K1957">
        <v>69</v>
      </c>
      <c r="L1957" t="s">
        <v>282</v>
      </c>
      <c r="M1957" t="s">
        <v>258</v>
      </c>
      <c r="N1957" s="5" t="s">
        <v>258</v>
      </c>
      <c r="O1957" t="s">
        <v>28</v>
      </c>
      <c r="P1957" t="s">
        <v>32</v>
      </c>
      <c r="Q1957" t="s">
        <v>46</v>
      </c>
      <c r="R1957">
        <v>0.68</v>
      </c>
      <c r="S1957" s="1">
        <v>39887</v>
      </c>
      <c r="T1957" t="str">
        <f t="shared" si="61"/>
        <v>15-Mar-2009</v>
      </c>
    </row>
    <row r="1958" spans="1:20" x14ac:dyDescent="0.3">
      <c r="A1958">
        <v>50692</v>
      </c>
      <c r="B1958" s="1">
        <v>40438</v>
      </c>
      <c r="C1958" t="s">
        <v>23</v>
      </c>
      <c r="D1958" t="str">
        <f t="shared" si="60"/>
        <v>17-Sep-2010</v>
      </c>
      <c r="E1958">
        <v>47</v>
      </c>
      <c r="F1958" s="13">
        <v>5606.91</v>
      </c>
      <c r="G1958">
        <v>0.06</v>
      </c>
      <c r="H1958" t="s">
        <v>24</v>
      </c>
      <c r="I1958" s="13">
        <v>-300.85000000000002</v>
      </c>
      <c r="J1958">
        <v>124.49</v>
      </c>
      <c r="K1958">
        <v>51.94</v>
      </c>
      <c r="L1958" t="s">
        <v>172</v>
      </c>
      <c r="M1958" t="s">
        <v>258</v>
      </c>
      <c r="N1958" s="5" t="s">
        <v>258</v>
      </c>
      <c r="O1958" t="s">
        <v>28</v>
      </c>
      <c r="P1958" t="s">
        <v>32</v>
      </c>
      <c r="Q1958" t="s">
        <v>46</v>
      </c>
      <c r="R1958">
        <v>0.63</v>
      </c>
      <c r="S1958" s="1">
        <v>40440</v>
      </c>
      <c r="T1958" t="str">
        <f t="shared" si="61"/>
        <v>19-Sep-2010</v>
      </c>
    </row>
    <row r="1959" spans="1:20" x14ac:dyDescent="0.3">
      <c r="A1959">
        <v>7623</v>
      </c>
      <c r="B1959" s="1">
        <v>40114</v>
      </c>
      <c r="C1959" t="s">
        <v>43</v>
      </c>
      <c r="D1959" t="str">
        <f t="shared" si="60"/>
        <v>28-Oct-2009</v>
      </c>
      <c r="E1959">
        <v>18</v>
      </c>
      <c r="F1959" s="13">
        <v>5459.32</v>
      </c>
      <c r="G1959">
        <v>0.03</v>
      </c>
      <c r="H1959" t="s">
        <v>19</v>
      </c>
      <c r="I1959" s="13">
        <v>1603.12</v>
      </c>
      <c r="J1959">
        <v>300.64999999999998</v>
      </c>
      <c r="K1959">
        <v>24.49</v>
      </c>
      <c r="L1959" t="s">
        <v>274</v>
      </c>
      <c r="M1959" t="s">
        <v>258</v>
      </c>
      <c r="N1959" s="5" t="s">
        <v>258</v>
      </c>
      <c r="O1959" t="s">
        <v>28</v>
      </c>
      <c r="P1959" t="s">
        <v>21</v>
      </c>
      <c r="Q1959" t="s">
        <v>25</v>
      </c>
      <c r="R1959">
        <v>0.52</v>
      </c>
      <c r="S1959" s="1">
        <v>40116</v>
      </c>
      <c r="T1959" t="str">
        <f t="shared" si="61"/>
        <v>30-Oct-2009</v>
      </c>
    </row>
    <row r="1960" spans="1:20" x14ac:dyDescent="0.3">
      <c r="A1960">
        <v>30336</v>
      </c>
      <c r="B1960" s="1">
        <v>40207</v>
      </c>
      <c r="C1960" t="s">
        <v>38</v>
      </c>
      <c r="D1960" t="str">
        <f t="shared" si="60"/>
        <v>29-Jan-2010</v>
      </c>
      <c r="E1960">
        <v>28</v>
      </c>
      <c r="F1960" s="13">
        <v>5155.07</v>
      </c>
      <c r="G1960">
        <v>0.06</v>
      </c>
      <c r="H1960" t="s">
        <v>19</v>
      </c>
      <c r="I1960" s="13">
        <v>368.79</v>
      </c>
      <c r="J1960">
        <v>193.17</v>
      </c>
      <c r="K1960">
        <v>19.989999999999998</v>
      </c>
      <c r="L1960" t="s">
        <v>273</v>
      </c>
      <c r="M1960" t="s">
        <v>258</v>
      </c>
      <c r="N1960" s="5" t="s">
        <v>258</v>
      </c>
      <c r="O1960" t="s">
        <v>28</v>
      </c>
      <c r="P1960" t="s">
        <v>21</v>
      </c>
      <c r="Q1960" t="s">
        <v>22</v>
      </c>
      <c r="R1960">
        <v>0.71</v>
      </c>
      <c r="S1960" s="1">
        <v>40209</v>
      </c>
      <c r="T1960" t="str">
        <f t="shared" si="61"/>
        <v>31-Jan-2010</v>
      </c>
    </row>
    <row r="1961" spans="1:20" x14ac:dyDescent="0.3">
      <c r="A1961">
        <v>32292</v>
      </c>
      <c r="B1961" s="1">
        <v>40954</v>
      </c>
      <c r="C1961" t="s">
        <v>18</v>
      </c>
      <c r="D1961" t="str">
        <f t="shared" si="60"/>
        <v>15-Feb-2012</v>
      </c>
      <c r="E1961">
        <v>49</v>
      </c>
      <c r="F1961" s="13">
        <v>5008.7610000000004</v>
      </c>
      <c r="G1961">
        <v>0.04</v>
      </c>
      <c r="H1961" t="s">
        <v>19</v>
      </c>
      <c r="I1961" s="13">
        <v>1601.64</v>
      </c>
      <c r="J1961">
        <v>115.99</v>
      </c>
      <c r="K1961">
        <v>5.99</v>
      </c>
      <c r="L1961" t="s">
        <v>234</v>
      </c>
      <c r="M1961" t="s">
        <v>258</v>
      </c>
      <c r="N1961" s="5" t="s">
        <v>258</v>
      </c>
      <c r="O1961" t="s">
        <v>28</v>
      </c>
      <c r="P1961" t="s">
        <v>29</v>
      </c>
      <c r="Q1961" t="s">
        <v>30</v>
      </c>
      <c r="R1961">
        <v>0.56999999999999995</v>
      </c>
      <c r="S1961" s="1">
        <v>40961</v>
      </c>
      <c r="T1961" t="str">
        <f t="shared" si="61"/>
        <v>22-Feb-2012</v>
      </c>
    </row>
    <row r="1962" spans="1:20" x14ac:dyDescent="0.3">
      <c r="A1962">
        <v>47617</v>
      </c>
      <c r="B1962" s="1">
        <v>40155</v>
      </c>
      <c r="C1962" t="s">
        <v>31</v>
      </c>
      <c r="D1962" t="str">
        <f t="shared" si="60"/>
        <v>08-Dec-2009</v>
      </c>
      <c r="E1962">
        <v>17</v>
      </c>
      <c r="F1962" s="13">
        <v>5001.29</v>
      </c>
      <c r="G1962">
        <v>0.09</v>
      </c>
      <c r="H1962" t="s">
        <v>19</v>
      </c>
      <c r="I1962" s="13">
        <v>1680.92</v>
      </c>
      <c r="J1962">
        <v>304.99</v>
      </c>
      <c r="K1962">
        <v>19.989999999999998</v>
      </c>
      <c r="L1962" t="s">
        <v>44</v>
      </c>
      <c r="M1962" t="s">
        <v>258</v>
      </c>
      <c r="N1962" s="5" t="s">
        <v>258</v>
      </c>
      <c r="O1962" t="s">
        <v>28</v>
      </c>
      <c r="P1962" t="s">
        <v>21</v>
      </c>
      <c r="Q1962" t="s">
        <v>26</v>
      </c>
      <c r="R1962">
        <v>0.4</v>
      </c>
      <c r="S1962" s="1">
        <v>40156</v>
      </c>
      <c r="T1962" t="str">
        <f t="shared" si="61"/>
        <v>09-Dec-2009</v>
      </c>
    </row>
    <row r="1963" spans="1:20" x14ac:dyDescent="0.3">
      <c r="A1963">
        <v>54370</v>
      </c>
      <c r="B1963" s="1">
        <v>41007</v>
      </c>
      <c r="C1963" t="s">
        <v>31</v>
      </c>
      <c r="D1963" t="str">
        <f t="shared" si="60"/>
        <v>08-Apr-2012</v>
      </c>
      <c r="E1963">
        <v>49</v>
      </c>
      <c r="F1963" s="13">
        <v>4968.5</v>
      </c>
      <c r="G1963">
        <v>0</v>
      </c>
      <c r="H1963" t="s">
        <v>19</v>
      </c>
      <c r="I1963" s="13">
        <v>1041.28</v>
      </c>
      <c r="J1963">
        <v>99.99</v>
      </c>
      <c r="K1963">
        <v>19.989999999999998</v>
      </c>
      <c r="L1963" t="s">
        <v>260</v>
      </c>
      <c r="M1963" t="s">
        <v>258</v>
      </c>
      <c r="N1963" s="5" t="s">
        <v>258</v>
      </c>
      <c r="O1963" t="s">
        <v>28</v>
      </c>
      <c r="P1963" t="s">
        <v>29</v>
      </c>
      <c r="Q1963" t="s">
        <v>41</v>
      </c>
      <c r="R1963">
        <v>0.52</v>
      </c>
      <c r="S1963" s="1">
        <v>41007</v>
      </c>
      <c r="T1963" t="str">
        <f t="shared" si="61"/>
        <v>08-Apr-2012</v>
      </c>
    </row>
    <row r="1964" spans="1:20" x14ac:dyDescent="0.3">
      <c r="A1964">
        <v>30114</v>
      </c>
      <c r="B1964" s="1">
        <v>40406</v>
      </c>
      <c r="C1964" t="s">
        <v>18</v>
      </c>
      <c r="D1964" t="str">
        <f t="shared" si="60"/>
        <v>16-Aug-2010</v>
      </c>
      <c r="E1964">
        <v>7</v>
      </c>
      <c r="F1964" s="13">
        <v>4667.28</v>
      </c>
      <c r="G1964">
        <v>0.09</v>
      </c>
      <c r="H1964" t="s">
        <v>35</v>
      </c>
      <c r="I1964" s="13">
        <v>-362.88</v>
      </c>
      <c r="J1964">
        <v>699.99</v>
      </c>
      <c r="K1964">
        <v>24.49</v>
      </c>
      <c r="L1964" t="s">
        <v>273</v>
      </c>
      <c r="M1964" t="s">
        <v>258</v>
      </c>
      <c r="N1964" s="5" t="s">
        <v>258</v>
      </c>
      <c r="O1964" t="s">
        <v>28</v>
      </c>
      <c r="P1964" t="s">
        <v>29</v>
      </c>
      <c r="Q1964" t="s">
        <v>51</v>
      </c>
      <c r="R1964">
        <v>0.41</v>
      </c>
      <c r="S1964" s="1">
        <v>40413</v>
      </c>
      <c r="T1964" t="str">
        <f t="shared" si="61"/>
        <v>23-Aug-2010</v>
      </c>
    </row>
    <row r="1965" spans="1:20" x14ac:dyDescent="0.3">
      <c r="A1965">
        <v>2467</v>
      </c>
      <c r="B1965" s="1">
        <v>40739</v>
      </c>
      <c r="C1965" t="s">
        <v>31</v>
      </c>
      <c r="D1965" t="str">
        <f t="shared" si="60"/>
        <v>15-Jul-2011</v>
      </c>
      <c r="E1965">
        <v>30</v>
      </c>
      <c r="F1965" s="13">
        <v>4147.47</v>
      </c>
      <c r="G1965">
        <v>0.09</v>
      </c>
      <c r="H1965" t="s">
        <v>24</v>
      </c>
      <c r="I1965" s="13">
        <v>586.61</v>
      </c>
      <c r="J1965">
        <v>145.44999999999999</v>
      </c>
      <c r="K1965">
        <v>17.850000000000001</v>
      </c>
      <c r="L1965" t="s">
        <v>273</v>
      </c>
      <c r="M1965" t="s">
        <v>258</v>
      </c>
      <c r="N1965" s="5" t="s">
        <v>258</v>
      </c>
      <c r="O1965" t="s">
        <v>28</v>
      </c>
      <c r="P1965" t="s">
        <v>29</v>
      </c>
      <c r="Q1965" t="s">
        <v>74</v>
      </c>
      <c r="R1965">
        <v>0.56000000000000005</v>
      </c>
      <c r="S1965" s="1">
        <v>40740</v>
      </c>
      <c r="T1965" t="str">
        <f t="shared" si="61"/>
        <v>16-Jul-2011</v>
      </c>
    </row>
    <row r="1966" spans="1:20" x14ac:dyDescent="0.3">
      <c r="A1966">
        <v>2150</v>
      </c>
      <c r="B1966" s="1">
        <v>39966</v>
      </c>
      <c r="C1966" t="s">
        <v>38</v>
      </c>
      <c r="D1966" t="str">
        <f t="shared" si="60"/>
        <v>02-Jun-2009</v>
      </c>
      <c r="E1966">
        <v>21</v>
      </c>
      <c r="F1966" s="13">
        <v>3905.75</v>
      </c>
      <c r="G1966">
        <v>0.01</v>
      </c>
      <c r="H1966" t="s">
        <v>24</v>
      </c>
      <c r="I1966" s="13">
        <v>55.3</v>
      </c>
      <c r="J1966">
        <v>179.29</v>
      </c>
      <c r="K1966">
        <v>29.21</v>
      </c>
      <c r="L1966" t="s">
        <v>259</v>
      </c>
      <c r="M1966" t="s">
        <v>258</v>
      </c>
      <c r="N1966" s="5" t="s">
        <v>258</v>
      </c>
      <c r="O1966" t="s">
        <v>28</v>
      </c>
      <c r="P1966" t="s">
        <v>32</v>
      </c>
      <c r="Q1966" t="s">
        <v>46</v>
      </c>
      <c r="R1966">
        <v>0.76</v>
      </c>
      <c r="S1966" s="1">
        <v>39968</v>
      </c>
      <c r="T1966" t="str">
        <f t="shared" si="61"/>
        <v>04-Jun-2009</v>
      </c>
    </row>
    <row r="1967" spans="1:20" x14ac:dyDescent="0.3">
      <c r="A1967">
        <v>43779</v>
      </c>
      <c r="B1967" s="1">
        <v>40046</v>
      </c>
      <c r="C1967" t="s">
        <v>23</v>
      </c>
      <c r="D1967" t="str">
        <f t="shared" si="60"/>
        <v>21-Aug-2009</v>
      </c>
      <c r="E1967">
        <v>20</v>
      </c>
      <c r="F1967" s="13">
        <v>3878.49</v>
      </c>
      <c r="G1967">
        <v>0.09</v>
      </c>
      <c r="H1967" t="s">
        <v>19</v>
      </c>
      <c r="I1967" s="13">
        <v>1397.86</v>
      </c>
      <c r="J1967">
        <v>209.84</v>
      </c>
      <c r="K1967">
        <v>21.21</v>
      </c>
      <c r="L1967" t="s">
        <v>284</v>
      </c>
      <c r="M1967" t="s">
        <v>258</v>
      </c>
      <c r="N1967" s="5" t="s">
        <v>258</v>
      </c>
      <c r="O1967" t="s">
        <v>28</v>
      </c>
      <c r="P1967" t="s">
        <v>32</v>
      </c>
      <c r="Q1967" t="s">
        <v>33</v>
      </c>
      <c r="R1967">
        <v>0.59</v>
      </c>
      <c r="S1967" s="1">
        <v>40049</v>
      </c>
      <c r="T1967" t="str">
        <f t="shared" si="61"/>
        <v>24-Aug-2009</v>
      </c>
    </row>
    <row r="1968" spans="1:20" x14ac:dyDescent="0.3">
      <c r="A1968">
        <v>17414</v>
      </c>
      <c r="B1968" s="1">
        <v>41089</v>
      </c>
      <c r="C1968" t="s">
        <v>23</v>
      </c>
      <c r="D1968" t="str">
        <f t="shared" si="60"/>
        <v>29-Jun-2012</v>
      </c>
      <c r="E1968">
        <v>39</v>
      </c>
      <c r="F1968" s="13">
        <v>3755.43</v>
      </c>
      <c r="G1968">
        <v>7.0000000000000007E-2</v>
      </c>
      <c r="H1968" t="s">
        <v>19</v>
      </c>
      <c r="I1968" s="13">
        <v>448.07</v>
      </c>
      <c r="J1968">
        <v>99.99</v>
      </c>
      <c r="K1968">
        <v>19.989999999999998</v>
      </c>
      <c r="L1968" t="s">
        <v>278</v>
      </c>
      <c r="M1968" t="s">
        <v>258</v>
      </c>
      <c r="N1968" s="5" t="s">
        <v>258</v>
      </c>
      <c r="O1968" t="s">
        <v>28</v>
      </c>
      <c r="P1968" t="s">
        <v>29</v>
      </c>
      <c r="Q1968" t="s">
        <v>41</v>
      </c>
      <c r="R1968">
        <v>0.52</v>
      </c>
      <c r="S1968" s="1">
        <v>41091</v>
      </c>
      <c r="T1968" t="str">
        <f t="shared" si="61"/>
        <v>01-Jul-2012</v>
      </c>
    </row>
    <row r="1969" spans="1:20" x14ac:dyDescent="0.3">
      <c r="A1969">
        <v>13730</v>
      </c>
      <c r="B1969" s="1">
        <v>40672</v>
      </c>
      <c r="C1969" t="s">
        <v>23</v>
      </c>
      <c r="D1969" t="str">
        <f t="shared" si="60"/>
        <v>09-May-2011</v>
      </c>
      <c r="E1969">
        <v>26</v>
      </c>
      <c r="F1969" s="13">
        <v>3617.64</v>
      </c>
      <c r="G1969">
        <v>7.0000000000000007E-2</v>
      </c>
      <c r="H1969" t="s">
        <v>24</v>
      </c>
      <c r="I1969" s="13">
        <v>-354.13</v>
      </c>
      <c r="J1969">
        <v>146.34</v>
      </c>
      <c r="K1969">
        <v>43.75</v>
      </c>
      <c r="L1969" t="s">
        <v>261</v>
      </c>
      <c r="M1969" t="s">
        <v>258</v>
      </c>
      <c r="N1969" s="5" t="s">
        <v>258</v>
      </c>
      <c r="O1969" t="s">
        <v>28</v>
      </c>
      <c r="P1969" t="s">
        <v>32</v>
      </c>
      <c r="Q1969" t="s">
        <v>46</v>
      </c>
      <c r="R1969">
        <v>0.64</v>
      </c>
      <c r="S1969" s="1">
        <v>40674</v>
      </c>
      <c r="T1969" t="str">
        <f t="shared" si="61"/>
        <v>11-May-2011</v>
      </c>
    </row>
    <row r="1970" spans="1:20" x14ac:dyDescent="0.3">
      <c r="A1970">
        <v>34337</v>
      </c>
      <c r="B1970" s="1">
        <v>40312</v>
      </c>
      <c r="C1970" t="s">
        <v>38</v>
      </c>
      <c r="D1970" t="str">
        <f t="shared" si="60"/>
        <v>14-May-2010</v>
      </c>
      <c r="E1970">
        <v>36</v>
      </c>
      <c r="F1970" s="13">
        <v>3610.85</v>
      </c>
      <c r="G1970">
        <v>0.04</v>
      </c>
      <c r="H1970" t="s">
        <v>35</v>
      </c>
      <c r="I1970" s="13">
        <v>2235.37</v>
      </c>
      <c r="J1970">
        <v>99.23</v>
      </c>
      <c r="K1970">
        <v>8.99</v>
      </c>
      <c r="L1970" t="s">
        <v>133</v>
      </c>
      <c r="M1970" t="s">
        <v>258</v>
      </c>
      <c r="N1970" s="5" t="s">
        <v>258</v>
      </c>
      <c r="O1970" t="s">
        <v>28</v>
      </c>
      <c r="P1970" t="s">
        <v>32</v>
      </c>
      <c r="Q1970" t="s">
        <v>33</v>
      </c>
      <c r="R1970">
        <v>0.35</v>
      </c>
      <c r="S1970" s="1">
        <v>40313</v>
      </c>
      <c r="T1970" t="str">
        <f t="shared" si="61"/>
        <v>15-May-2010</v>
      </c>
    </row>
    <row r="1971" spans="1:20" x14ac:dyDescent="0.3">
      <c r="A1971">
        <v>13089</v>
      </c>
      <c r="B1971" s="1">
        <v>40891</v>
      </c>
      <c r="C1971" t="s">
        <v>31</v>
      </c>
      <c r="D1971" t="str">
        <f t="shared" si="60"/>
        <v>14-Dec-2011</v>
      </c>
      <c r="E1971">
        <v>34</v>
      </c>
      <c r="F1971" s="13">
        <v>3577.11</v>
      </c>
      <c r="G1971">
        <v>0.1</v>
      </c>
      <c r="H1971" t="s">
        <v>24</v>
      </c>
      <c r="I1971" s="13">
        <v>-1620.41</v>
      </c>
      <c r="J1971">
        <v>114.98</v>
      </c>
      <c r="K1971">
        <v>58.72</v>
      </c>
      <c r="L1971" t="s">
        <v>230</v>
      </c>
      <c r="M1971" t="s">
        <v>258</v>
      </c>
      <c r="N1971" s="5" t="s">
        <v>258</v>
      </c>
      <c r="O1971" t="s">
        <v>28</v>
      </c>
      <c r="P1971" t="s">
        <v>32</v>
      </c>
      <c r="Q1971" t="s">
        <v>45</v>
      </c>
      <c r="R1971">
        <v>0.76</v>
      </c>
      <c r="S1971" s="1">
        <v>40894</v>
      </c>
      <c r="T1971" t="str">
        <f t="shared" si="61"/>
        <v>17-Dec-2011</v>
      </c>
    </row>
    <row r="1972" spans="1:20" x14ac:dyDescent="0.3">
      <c r="A1972">
        <v>614</v>
      </c>
      <c r="B1972" s="1">
        <v>41243</v>
      </c>
      <c r="C1972" t="s">
        <v>23</v>
      </c>
      <c r="D1972" t="str">
        <f t="shared" si="60"/>
        <v>30-Nov-2012</v>
      </c>
      <c r="E1972">
        <v>24</v>
      </c>
      <c r="F1972" s="13">
        <v>3366.1</v>
      </c>
      <c r="G1972">
        <v>7.0000000000000007E-2</v>
      </c>
      <c r="H1972" t="s">
        <v>24</v>
      </c>
      <c r="I1972" s="13">
        <v>-335.32</v>
      </c>
      <c r="J1972">
        <v>138.75</v>
      </c>
      <c r="K1972">
        <v>52.42</v>
      </c>
      <c r="L1972" t="s">
        <v>197</v>
      </c>
      <c r="M1972" t="s">
        <v>258</v>
      </c>
      <c r="N1972" s="5" t="s">
        <v>258</v>
      </c>
      <c r="O1972" t="s">
        <v>28</v>
      </c>
      <c r="P1972" t="s">
        <v>32</v>
      </c>
      <c r="Q1972" t="s">
        <v>46</v>
      </c>
      <c r="R1972">
        <v>0.74</v>
      </c>
      <c r="S1972" s="1">
        <v>41244</v>
      </c>
      <c r="T1972" t="str">
        <f t="shared" si="61"/>
        <v>01-Dec-2012</v>
      </c>
    </row>
    <row r="1973" spans="1:20" x14ac:dyDescent="0.3">
      <c r="A1973">
        <v>7623</v>
      </c>
      <c r="B1973" s="1">
        <v>40114</v>
      </c>
      <c r="C1973" t="s">
        <v>43</v>
      </c>
      <c r="D1973" t="str">
        <f t="shared" si="60"/>
        <v>28-Oct-2009</v>
      </c>
      <c r="E1973">
        <v>32</v>
      </c>
      <c r="F1973" s="13">
        <v>3080.07</v>
      </c>
      <c r="G1973">
        <v>0.1</v>
      </c>
      <c r="H1973" t="s">
        <v>19</v>
      </c>
      <c r="I1973" s="13">
        <v>1480.15</v>
      </c>
      <c r="J1973">
        <v>104.85</v>
      </c>
      <c r="K1973">
        <v>4.6500000000000004</v>
      </c>
      <c r="L1973" t="s">
        <v>274</v>
      </c>
      <c r="M1973" t="s">
        <v>258</v>
      </c>
      <c r="N1973" s="5" t="s">
        <v>258</v>
      </c>
      <c r="O1973" t="s">
        <v>28</v>
      </c>
      <c r="P1973" t="s">
        <v>21</v>
      </c>
      <c r="Q1973" t="s">
        <v>37</v>
      </c>
      <c r="R1973">
        <v>0.37</v>
      </c>
      <c r="S1973" s="1">
        <v>40115</v>
      </c>
      <c r="T1973" t="str">
        <f t="shared" si="61"/>
        <v>29-Oct-2009</v>
      </c>
    </row>
    <row r="1974" spans="1:20" x14ac:dyDescent="0.3">
      <c r="A1974">
        <v>24647</v>
      </c>
      <c r="B1974" s="1">
        <v>39968</v>
      </c>
      <c r="C1974" t="s">
        <v>31</v>
      </c>
      <c r="D1974" t="str">
        <f t="shared" si="60"/>
        <v>04-Jun-2009</v>
      </c>
      <c r="E1974">
        <v>3</v>
      </c>
      <c r="F1974" s="13">
        <v>3029.97</v>
      </c>
      <c r="G1974">
        <v>0</v>
      </c>
      <c r="H1974" t="s">
        <v>19</v>
      </c>
      <c r="I1974" s="13">
        <v>-1820</v>
      </c>
      <c r="J1974">
        <v>999.99</v>
      </c>
      <c r="K1974">
        <v>13.99</v>
      </c>
      <c r="L1974" t="s">
        <v>281</v>
      </c>
      <c r="M1974" t="s">
        <v>258</v>
      </c>
      <c r="N1974" s="5" t="s">
        <v>258</v>
      </c>
      <c r="O1974" t="s">
        <v>28</v>
      </c>
      <c r="P1974" t="s">
        <v>29</v>
      </c>
      <c r="Q1974" t="s">
        <v>74</v>
      </c>
      <c r="R1974">
        <v>0.36</v>
      </c>
      <c r="S1974" s="1">
        <v>39970</v>
      </c>
      <c r="T1974" t="str">
        <f t="shared" si="61"/>
        <v>06-Jun-2009</v>
      </c>
    </row>
    <row r="1975" spans="1:20" x14ac:dyDescent="0.3">
      <c r="A1975">
        <v>7846</v>
      </c>
      <c r="B1975" s="1">
        <v>40719</v>
      </c>
      <c r="C1975" t="s">
        <v>18</v>
      </c>
      <c r="D1975" t="str">
        <f t="shared" si="60"/>
        <v>25-Jun-2011</v>
      </c>
      <c r="E1975">
        <v>47</v>
      </c>
      <c r="F1975" s="13">
        <v>2926.33</v>
      </c>
      <c r="G1975">
        <v>0.09</v>
      </c>
      <c r="H1975" t="s">
        <v>19</v>
      </c>
      <c r="I1975" s="13">
        <v>499.27</v>
      </c>
      <c r="J1975">
        <v>67.28</v>
      </c>
      <c r="K1975">
        <v>19.989999999999998</v>
      </c>
      <c r="L1975" t="s">
        <v>197</v>
      </c>
      <c r="M1975" t="s">
        <v>258</v>
      </c>
      <c r="N1975" s="5" t="s">
        <v>258</v>
      </c>
      <c r="O1975" t="s">
        <v>28</v>
      </c>
      <c r="P1975" t="s">
        <v>21</v>
      </c>
      <c r="Q1975" t="s">
        <v>26</v>
      </c>
      <c r="R1975">
        <v>0.4</v>
      </c>
      <c r="S1975" s="1">
        <v>40724</v>
      </c>
      <c r="T1975" t="str">
        <f t="shared" si="61"/>
        <v>30-Jun-2011</v>
      </c>
    </row>
    <row r="1976" spans="1:20" x14ac:dyDescent="0.3">
      <c r="A1976">
        <v>7936</v>
      </c>
      <c r="B1976" s="1">
        <v>40273</v>
      </c>
      <c r="C1976" t="s">
        <v>18</v>
      </c>
      <c r="D1976" t="str">
        <f t="shared" si="60"/>
        <v>05-Apr-2010</v>
      </c>
      <c r="E1976">
        <v>50</v>
      </c>
      <c r="F1976" s="13">
        <v>2851.17</v>
      </c>
      <c r="G1976">
        <v>0.06</v>
      </c>
      <c r="H1976" t="s">
        <v>24</v>
      </c>
      <c r="I1976" s="13">
        <v>-868.88</v>
      </c>
      <c r="J1976">
        <v>58.14</v>
      </c>
      <c r="K1976">
        <v>36.61</v>
      </c>
      <c r="L1976" t="s">
        <v>262</v>
      </c>
      <c r="M1976" t="s">
        <v>258</v>
      </c>
      <c r="N1976" s="5" t="s">
        <v>258</v>
      </c>
      <c r="O1976" t="s">
        <v>28</v>
      </c>
      <c r="P1976" t="s">
        <v>32</v>
      </c>
      <c r="Q1976" t="s">
        <v>45</v>
      </c>
      <c r="R1976">
        <v>0.61</v>
      </c>
      <c r="S1976" s="1">
        <v>40273</v>
      </c>
      <c r="T1976" t="str">
        <f t="shared" si="61"/>
        <v>05-Apr-2010</v>
      </c>
    </row>
    <row r="1977" spans="1:20" x14ac:dyDescent="0.3">
      <c r="A1977">
        <v>33152</v>
      </c>
      <c r="B1977" s="1">
        <v>40503</v>
      </c>
      <c r="C1977" t="s">
        <v>43</v>
      </c>
      <c r="D1977" t="str">
        <f t="shared" si="60"/>
        <v>21-Nov-2010</v>
      </c>
      <c r="E1977">
        <v>19</v>
      </c>
      <c r="F1977" s="13">
        <v>2569.6264999999999</v>
      </c>
      <c r="G1977">
        <v>0</v>
      </c>
      <c r="H1977" t="s">
        <v>19</v>
      </c>
      <c r="I1977" s="13">
        <v>398.01</v>
      </c>
      <c r="J1977">
        <v>155.99</v>
      </c>
      <c r="K1977">
        <v>8.99</v>
      </c>
      <c r="L1977" t="s">
        <v>273</v>
      </c>
      <c r="M1977" t="s">
        <v>258</v>
      </c>
      <c r="N1977" s="5" t="s">
        <v>258</v>
      </c>
      <c r="O1977" t="s">
        <v>28</v>
      </c>
      <c r="P1977" t="s">
        <v>29</v>
      </c>
      <c r="Q1977" t="s">
        <v>30</v>
      </c>
      <c r="R1977">
        <v>0.55000000000000004</v>
      </c>
      <c r="S1977" s="1">
        <v>40505</v>
      </c>
      <c r="T1977" t="str">
        <f t="shared" si="61"/>
        <v>23-Nov-2010</v>
      </c>
    </row>
    <row r="1978" spans="1:20" x14ac:dyDescent="0.3">
      <c r="A1978">
        <v>26306</v>
      </c>
      <c r="B1978" s="1">
        <v>41212</v>
      </c>
      <c r="C1978" t="s">
        <v>18</v>
      </c>
      <c r="D1978" t="str">
        <f t="shared" si="60"/>
        <v>30-Oct-2012</v>
      </c>
      <c r="E1978">
        <v>15</v>
      </c>
      <c r="F1978" s="13">
        <v>2567.64</v>
      </c>
      <c r="G1978">
        <v>0</v>
      </c>
      <c r="H1978" t="s">
        <v>19</v>
      </c>
      <c r="I1978" s="13">
        <v>-505.98</v>
      </c>
      <c r="J1978">
        <v>209.37</v>
      </c>
      <c r="K1978">
        <v>69</v>
      </c>
      <c r="L1978" t="s">
        <v>246</v>
      </c>
      <c r="M1978" t="s">
        <v>258</v>
      </c>
      <c r="N1978" s="5" t="s">
        <v>258</v>
      </c>
      <c r="O1978" t="s">
        <v>28</v>
      </c>
      <c r="P1978" t="s">
        <v>32</v>
      </c>
      <c r="Q1978" t="s">
        <v>46</v>
      </c>
      <c r="R1978">
        <v>0.79</v>
      </c>
      <c r="S1978" s="1">
        <v>41217</v>
      </c>
      <c r="T1978" t="str">
        <f t="shared" si="61"/>
        <v>04-Nov-2012</v>
      </c>
    </row>
    <row r="1979" spans="1:20" x14ac:dyDescent="0.3">
      <c r="A1979">
        <v>24644</v>
      </c>
      <c r="B1979" s="1">
        <v>40022</v>
      </c>
      <c r="C1979" t="s">
        <v>43</v>
      </c>
      <c r="D1979" t="str">
        <f t="shared" si="60"/>
        <v>28-Jul-2009</v>
      </c>
      <c r="E1979">
        <v>40</v>
      </c>
      <c r="F1979" s="13">
        <v>2550.12</v>
      </c>
      <c r="G1979">
        <v>0.01</v>
      </c>
      <c r="H1979" t="s">
        <v>35</v>
      </c>
      <c r="I1979" s="13">
        <v>882.45</v>
      </c>
      <c r="J1979">
        <v>60.97</v>
      </c>
      <c r="K1979">
        <v>4.5</v>
      </c>
      <c r="L1979" t="s">
        <v>244</v>
      </c>
      <c r="M1979" t="s">
        <v>258</v>
      </c>
      <c r="N1979" s="5" t="s">
        <v>258</v>
      </c>
      <c r="O1979" t="s">
        <v>28</v>
      </c>
      <c r="P1979" t="s">
        <v>21</v>
      </c>
      <c r="Q1979" t="s">
        <v>25</v>
      </c>
      <c r="R1979">
        <v>0.56000000000000005</v>
      </c>
      <c r="S1979" s="1">
        <v>40024</v>
      </c>
      <c r="T1979" t="str">
        <f t="shared" si="61"/>
        <v>30-Jul-2009</v>
      </c>
    </row>
    <row r="1980" spans="1:20" x14ac:dyDescent="0.3">
      <c r="A1980">
        <v>43745</v>
      </c>
      <c r="B1980" s="1">
        <v>40483</v>
      </c>
      <c r="C1980" t="s">
        <v>18</v>
      </c>
      <c r="D1980" t="str">
        <f t="shared" si="60"/>
        <v>01-Nov-2010</v>
      </c>
      <c r="E1980">
        <v>43</v>
      </c>
      <c r="F1980" s="13">
        <v>2433.5300000000002</v>
      </c>
      <c r="G1980">
        <v>0.02</v>
      </c>
      <c r="H1980" t="s">
        <v>19</v>
      </c>
      <c r="I1980" s="13">
        <v>946.7</v>
      </c>
      <c r="J1980">
        <v>54.48</v>
      </c>
      <c r="K1980">
        <v>0.99</v>
      </c>
      <c r="L1980" t="s">
        <v>280</v>
      </c>
      <c r="M1980" t="s">
        <v>258</v>
      </c>
      <c r="N1980" s="5" t="s">
        <v>258</v>
      </c>
      <c r="O1980" t="s">
        <v>28</v>
      </c>
      <c r="P1980" t="s">
        <v>21</v>
      </c>
      <c r="Q1980" t="s">
        <v>25</v>
      </c>
      <c r="R1980">
        <v>0.56999999999999995</v>
      </c>
      <c r="S1980" s="1">
        <v>40483</v>
      </c>
      <c r="T1980" t="str">
        <f t="shared" si="61"/>
        <v>01-Nov-2010</v>
      </c>
    </row>
    <row r="1981" spans="1:20" x14ac:dyDescent="0.3">
      <c r="A1981">
        <v>50759</v>
      </c>
      <c r="B1981" s="1">
        <v>40256</v>
      </c>
      <c r="C1981" t="s">
        <v>18</v>
      </c>
      <c r="D1981" t="str">
        <f t="shared" si="60"/>
        <v>19-Mar-2010</v>
      </c>
      <c r="E1981">
        <v>46</v>
      </c>
      <c r="F1981" s="13">
        <v>2422.721</v>
      </c>
      <c r="G1981">
        <v>0.1</v>
      </c>
      <c r="H1981" t="s">
        <v>19</v>
      </c>
      <c r="I1981" s="13">
        <v>366.18</v>
      </c>
      <c r="J1981">
        <v>65.989999999999995</v>
      </c>
      <c r="K1981">
        <v>8.99</v>
      </c>
      <c r="L1981" t="s">
        <v>247</v>
      </c>
      <c r="M1981" t="s">
        <v>258</v>
      </c>
      <c r="N1981" s="5" t="s">
        <v>258</v>
      </c>
      <c r="O1981" t="s">
        <v>28</v>
      </c>
      <c r="P1981" t="s">
        <v>29</v>
      </c>
      <c r="Q1981" t="s">
        <v>30</v>
      </c>
      <c r="R1981">
        <v>0.56000000000000005</v>
      </c>
      <c r="S1981" s="1">
        <v>40261</v>
      </c>
      <c r="T1981" t="str">
        <f t="shared" si="61"/>
        <v>24-Mar-2010</v>
      </c>
    </row>
    <row r="1982" spans="1:20" x14ac:dyDescent="0.3">
      <c r="A1982">
        <v>55425</v>
      </c>
      <c r="B1982" s="1">
        <v>40848</v>
      </c>
      <c r="C1982" t="s">
        <v>43</v>
      </c>
      <c r="D1982" t="str">
        <f t="shared" si="60"/>
        <v>01-Nov-2011</v>
      </c>
      <c r="E1982">
        <v>8</v>
      </c>
      <c r="F1982" s="13">
        <v>2302.36</v>
      </c>
      <c r="G1982">
        <v>0.05</v>
      </c>
      <c r="H1982" t="s">
        <v>35</v>
      </c>
      <c r="I1982" s="13">
        <v>-114.68</v>
      </c>
      <c r="J1982">
        <v>300.97000000000003</v>
      </c>
      <c r="K1982">
        <v>7.18</v>
      </c>
      <c r="L1982" t="s">
        <v>237</v>
      </c>
      <c r="M1982" t="s">
        <v>258</v>
      </c>
      <c r="N1982" s="5" t="s">
        <v>258</v>
      </c>
      <c r="O1982" t="s">
        <v>28</v>
      </c>
      <c r="P1982" t="s">
        <v>29</v>
      </c>
      <c r="Q1982" t="s">
        <v>41</v>
      </c>
      <c r="R1982">
        <v>0.48</v>
      </c>
      <c r="S1982" s="1">
        <v>40850</v>
      </c>
      <c r="T1982" t="str">
        <f t="shared" si="61"/>
        <v>03-Nov-2011</v>
      </c>
    </row>
    <row r="1983" spans="1:20" x14ac:dyDescent="0.3">
      <c r="A1983">
        <v>38048</v>
      </c>
      <c r="B1983" s="1">
        <v>40202</v>
      </c>
      <c r="C1983" t="s">
        <v>23</v>
      </c>
      <c r="D1983" t="str">
        <f t="shared" si="60"/>
        <v>24-Jan-2010</v>
      </c>
      <c r="E1983">
        <v>42</v>
      </c>
      <c r="F1983" s="13">
        <v>2252.2620000000002</v>
      </c>
      <c r="G1983">
        <v>0.1</v>
      </c>
      <c r="H1983" t="s">
        <v>19</v>
      </c>
      <c r="I1983" s="13">
        <v>478.11</v>
      </c>
      <c r="J1983">
        <v>65.989999999999995</v>
      </c>
      <c r="K1983">
        <v>5.63</v>
      </c>
      <c r="L1983" t="s">
        <v>285</v>
      </c>
      <c r="M1983" t="s">
        <v>258</v>
      </c>
      <c r="N1983" s="5" t="s">
        <v>258</v>
      </c>
      <c r="O1983" t="s">
        <v>28</v>
      </c>
      <c r="P1983" t="s">
        <v>29</v>
      </c>
      <c r="Q1983" t="s">
        <v>30</v>
      </c>
      <c r="R1983">
        <v>0.56000000000000005</v>
      </c>
      <c r="S1983" s="1">
        <v>40202</v>
      </c>
      <c r="T1983" t="str">
        <f t="shared" si="61"/>
        <v>24-Jan-2010</v>
      </c>
    </row>
    <row r="1984" spans="1:20" x14ac:dyDescent="0.3">
      <c r="A1984">
        <v>20518</v>
      </c>
      <c r="B1984" s="1">
        <v>40091</v>
      </c>
      <c r="C1984" t="s">
        <v>43</v>
      </c>
      <c r="D1984" t="str">
        <f t="shared" si="60"/>
        <v>05-Oct-2009</v>
      </c>
      <c r="E1984">
        <v>7</v>
      </c>
      <c r="F1984" s="13">
        <v>2205.84</v>
      </c>
      <c r="G1984">
        <v>0.01</v>
      </c>
      <c r="H1984" t="s">
        <v>24</v>
      </c>
      <c r="I1984" s="13">
        <v>-313.13</v>
      </c>
      <c r="J1984">
        <v>297.48</v>
      </c>
      <c r="K1984">
        <v>18.059999999999999</v>
      </c>
      <c r="L1984" t="s">
        <v>237</v>
      </c>
      <c r="M1984" t="s">
        <v>258</v>
      </c>
      <c r="N1984" s="5" t="s">
        <v>258</v>
      </c>
      <c r="O1984" t="s">
        <v>28</v>
      </c>
      <c r="P1984" t="s">
        <v>29</v>
      </c>
      <c r="Q1984" t="s">
        <v>74</v>
      </c>
      <c r="R1984">
        <v>0.6</v>
      </c>
      <c r="S1984" s="1">
        <v>40092</v>
      </c>
      <c r="T1984" t="str">
        <f t="shared" si="61"/>
        <v>06-Oct-2009</v>
      </c>
    </row>
    <row r="1985" spans="1:20" x14ac:dyDescent="0.3">
      <c r="A1985">
        <v>5189</v>
      </c>
      <c r="B1985" s="1">
        <v>40507</v>
      </c>
      <c r="C1985" t="s">
        <v>18</v>
      </c>
      <c r="D1985" t="str">
        <f t="shared" si="60"/>
        <v>25-Nov-2010</v>
      </c>
      <c r="E1985">
        <v>14</v>
      </c>
      <c r="F1985" s="13">
        <v>2066.63</v>
      </c>
      <c r="G1985">
        <v>0.03</v>
      </c>
      <c r="H1985" t="s">
        <v>19</v>
      </c>
      <c r="I1985" s="13">
        <v>65.58</v>
      </c>
      <c r="J1985">
        <v>140.85</v>
      </c>
      <c r="K1985">
        <v>19.989999999999998</v>
      </c>
      <c r="L1985" t="s">
        <v>241</v>
      </c>
      <c r="M1985" t="s">
        <v>258</v>
      </c>
      <c r="N1985" s="5" t="s">
        <v>258</v>
      </c>
      <c r="O1985" t="s">
        <v>28</v>
      </c>
      <c r="P1985" t="s">
        <v>21</v>
      </c>
      <c r="Q1985" t="s">
        <v>22</v>
      </c>
      <c r="R1985">
        <v>0.73</v>
      </c>
      <c r="S1985" s="1">
        <v>40509</v>
      </c>
      <c r="T1985" t="str">
        <f t="shared" si="61"/>
        <v>27-Nov-2010</v>
      </c>
    </row>
    <row r="1986" spans="1:20" x14ac:dyDescent="0.3">
      <c r="A1986">
        <v>37287</v>
      </c>
      <c r="B1986" s="1">
        <v>41214</v>
      </c>
      <c r="C1986" t="s">
        <v>18</v>
      </c>
      <c r="D1986" t="str">
        <f t="shared" ref="D1986:D2049" si="62">TEXT(B1986, "dd-mmm-yyyy" )</f>
        <v>01-Nov-2012</v>
      </c>
      <c r="E1986">
        <v>22</v>
      </c>
      <c r="F1986" s="13">
        <v>2052.2655</v>
      </c>
      <c r="G1986">
        <v>0.04</v>
      </c>
      <c r="H1986" t="s">
        <v>19</v>
      </c>
      <c r="I1986" s="13">
        <v>371.4</v>
      </c>
      <c r="J1986">
        <v>110.99</v>
      </c>
      <c r="K1986">
        <v>2.5</v>
      </c>
      <c r="L1986" t="s">
        <v>232</v>
      </c>
      <c r="M1986" t="s">
        <v>258</v>
      </c>
      <c r="N1986" s="5" t="s">
        <v>258</v>
      </c>
      <c r="O1986" t="s">
        <v>28</v>
      </c>
      <c r="P1986" t="s">
        <v>29</v>
      </c>
      <c r="Q1986" t="s">
        <v>30</v>
      </c>
      <c r="R1986">
        <v>0.56999999999999995</v>
      </c>
      <c r="S1986" s="1">
        <v>41218</v>
      </c>
      <c r="T1986" t="str">
        <f t="shared" ref="T1986:T2049" si="63">TEXT(S1986, "dd-mmm-yyyy")</f>
        <v>05-Nov-2012</v>
      </c>
    </row>
    <row r="1987" spans="1:20" x14ac:dyDescent="0.3">
      <c r="A1987">
        <v>53152</v>
      </c>
      <c r="B1987" s="1">
        <v>39877</v>
      </c>
      <c r="C1987" t="s">
        <v>38</v>
      </c>
      <c r="D1987" t="str">
        <f t="shared" si="62"/>
        <v>05-Mar-2009</v>
      </c>
      <c r="E1987">
        <v>36</v>
      </c>
      <c r="F1987" s="13">
        <v>2051.8235</v>
      </c>
      <c r="G1987">
        <v>0.01</v>
      </c>
      <c r="H1987" t="s">
        <v>35</v>
      </c>
      <c r="I1987" s="13">
        <v>350.36</v>
      </c>
      <c r="J1987">
        <v>65.989999999999995</v>
      </c>
      <c r="K1987">
        <v>8.8000000000000007</v>
      </c>
      <c r="L1987" t="s">
        <v>133</v>
      </c>
      <c r="M1987" t="s">
        <v>258</v>
      </c>
      <c r="N1987" s="5" t="s">
        <v>258</v>
      </c>
      <c r="O1987" t="s">
        <v>28</v>
      </c>
      <c r="P1987" t="s">
        <v>29</v>
      </c>
      <c r="Q1987" t="s">
        <v>30</v>
      </c>
      <c r="R1987">
        <v>0.57999999999999996</v>
      </c>
      <c r="S1987" s="1">
        <v>39877</v>
      </c>
      <c r="T1987" t="str">
        <f t="shared" si="63"/>
        <v>05-Mar-2009</v>
      </c>
    </row>
    <row r="1988" spans="1:20" x14ac:dyDescent="0.3">
      <c r="A1988">
        <v>10919</v>
      </c>
      <c r="B1988" s="1">
        <v>40264</v>
      </c>
      <c r="C1988" t="s">
        <v>23</v>
      </c>
      <c r="D1988" t="str">
        <f t="shared" si="62"/>
        <v>27-Mar-2010</v>
      </c>
      <c r="E1988">
        <v>42</v>
      </c>
      <c r="F1988" s="13">
        <v>2040.95</v>
      </c>
      <c r="G1988">
        <v>7.0000000000000007E-2</v>
      </c>
      <c r="H1988" t="s">
        <v>19</v>
      </c>
      <c r="I1988" s="13">
        <v>-1231.8699999999999</v>
      </c>
      <c r="J1988">
        <v>48.91</v>
      </c>
      <c r="K1988">
        <v>35</v>
      </c>
      <c r="L1988" t="s">
        <v>264</v>
      </c>
      <c r="M1988" t="s">
        <v>258</v>
      </c>
      <c r="N1988" s="5" t="s">
        <v>258</v>
      </c>
      <c r="O1988" t="s">
        <v>28</v>
      </c>
      <c r="P1988" t="s">
        <v>21</v>
      </c>
      <c r="Q1988" t="s">
        <v>22</v>
      </c>
      <c r="R1988">
        <v>0.83</v>
      </c>
      <c r="S1988" s="1">
        <v>40264</v>
      </c>
      <c r="T1988" t="str">
        <f t="shared" si="63"/>
        <v>27-Mar-2010</v>
      </c>
    </row>
    <row r="1989" spans="1:20" x14ac:dyDescent="0.3">
      <c r="A1989">
        <v>52039</v>
      </c>
      <c r="B1989" s="1">
        <v>41123</v>
      </c>
      <c r="C1989" t="s">
        <v>43</v>
      </c>
      <c r="D1989" t="str">
        <f t="shared" si="62"/>
        <v>02-Aug-2012</v>
      </c>
      <c r="E1989">
        <v>48</v>
      </c>
      <c r="F1989" s="13">
        <v>2006.38</v>
      </c>
      <c r="G1989">
        <v>0</v>
      </c>
      <c r="H1989" t="s">
        <v>19</v>
      </c>
      <c r="I1989" s="13">
        <v>840.46</v>
      </c>
      <c r="J1989">
        <v>40.98</v>
      </c>
      <c r="K1989">
        <v>1.99</v>
      </c>
      <c r="L1989" t="s">
        <v>283</v>
      </c>
      <c r="M1989" t="s">
        <v>258</v>
      </c>
      <c r="N1989" s="5" t="s">
        <v>258</v>
      </c>
      <c r="O1989" t="s">
        <v>28</v>
      </c>
      <c r="P1989" t="s">
        <v>29</v>
      </c>
      <c r="Q1989" t="s">
        <v>41</v>
      </c>
      <c r="R1989">
        <v>0.44</v>
      </c>
      <c r="S1989" s="1">
        <v>41125</v>
      </c>
      <c r="T1989" t="str">
        <f t="shared" si="63"/>
        <v>04-Aug-2012</v>
      </c>
    </row>
    <row r="1990" spans="1:20" x14ac:dyDescent="0.3">
      <c r="A1990">
        <v>54721</v>
      </c>
      <c r="B1990" s="1">
        <v>41200</v>
      </c>
      <c r="C1990" t="s">
        <v>31</v>
      </c>
      <c r="D1990" t="str">
        <f t="shared" si="62"/>
        <v>18-Oct-2012</v>
      </c>
      <c r="E1990">
        <v>19</v>
      </c>
      <c r="F1990" s="13">
        <v>2002.4</v>
      </c>
      <c r="G1990">
        <v>0</v>
      </c>
      <c r="H1990" t="s">
        <v>24</v>
      </c>
      <c r="I1990" s="13">
        <v>151.09</v>
      </c>
      <c r="J1990">
        <v>100.98</v>
      </c>
      <c r="K1990">
        <v>26.22</v>
      </c>
      <c r="L1990" t="s">
        <v>253</v>
      </c>
      <c r="M1990" t="s">
        <v>258</v>
      </c>
      <c r="N1990" s="5" t="s">
        <v>258</v>
      </c>
      <c r="O1990" t="s">
        <v>28</v>
      </c>
      <c r="P1990" t="s">
        <v>32</v>
      </c>
      <c r="Q1990" t="s">
        <v>45</v>
      </c>
      <c r="R1990">
        <v>0.6</v>
      </c>
      <c r="S1990" s="1">
        <v>41201</v>
      </c>
      <c r="T1990" t="str">
        <f t="shared" si="63"/>
        <v>19-Oct-2012</v>
      </c>
    </row>
    <row r="1991" spans="1:20" x14ac:dyDescent="0.3">
      <c r="A1991">
        <v>20900</v>
      </c>
      <c r="B1991" s="1">
        <v>40506</v>
      </c>
      <c r="C1991" t="s">
        <v>18</v>
      </c>
      <c r="D1991" t="str">
        <f t="shared" si="62"/>
        <v>24-Nov-2010</v>
      </c>
      <c r="E1991">
        <v>50</v>
      </c>
      <c r="F1991" s="13">
        <v>1978.3665000000001</v>
      </c>
      <c r="G1991">
        <v>0</v>
      </c>
      <c r="H1991" t="s">
        <v>19</v>
      </c>
      <c r="I1991" s="13">
        <v>483.6</v>
      </c>
      <c r="J1991">
        <v>45.99</v>
      </c>
      <c r="K1991">
        <v>4.99</v>
      </c>
      <c r="L1991" t="s">
        <v>269</v>
      </c>
      <c r="M1991" t="s">
        <v>258</v>
      </c>
      <c r="N1991" s="5" t="s">
        <v>258</v>
      </c>
      <c r="O1991" t="s">
        <v>28</v>
      </c>
      <c r="P1991" t="s">
        <v>29</v>
      </c>
      <c r="Q1991" t="s">
        <v>30</v>
      </c>
      <c r="R1991">
        <v>0.56999999999999995</v>
      </c>
      <c r="S1991" s="1">
        <v>40508</v>
      </c>
      <c r="T1991" t="str">
        <f t="shared" si="63"/>
        <v>26-Nov-2010</v>
      </c>
    </row>
    <row r="1992" spans="1:20" x14ac:dyDescent="0.3">
      <c r="A1992">
        <v>17698</v>
      </c>
      <c r="B1992" s="1">
        <v>41042</v>
      </c>
      <c r="C1992" t="s">
        <v>23</v>
      </c>
      <c r="D1992" t="str">
        <f t="shared" si="62"/>
        <v>13-May-2012</v>
      </c>
      <c r="E1992">
        <v>43</v>
      </c>
      <c r="F1992" s="13">
        <v>1883.82</v>
      </c>
      <c r="G1992">
        <v>0.08</v>
      </c>
      <c r="H1992" t="s">
        <v>19</v>
      </c>
      <c r="I1992" s="13">
        <v>528.77</v>
      </c>
      <c r="J1992">
        <v>44.01</v>
      </c>
      <c r="K1992">
        <v>3.5</v>
      </c>
      <c r="L1992" t="s">
        <v>248</v>
      </c>
      <c r="M1992" t="s">
        <v>258</v>
      </c>
      <c r="N1992" s="5" t="s">
        <v>258</v>
      </c>
      <c r="O1992" t="s">
        <v>28</v>
      </c>
      <c r="P1992" t="s">
        <v>21</v>
      </c>
      <c r="Q1992" t="s">
        <v>25</v>
      </c>
      <c r="R1992">
        <v>0.59</v>
      </c>
      <c r="S1992" s="1">
        <v>41044</v>
      </c>
      <c r="T1992" t="str">
        <f t="shared" si="63"/>
        <v>15-May-2012</v>
      </c>
    </row>
    <row r="1993" spans="1:20" x14ac:dyDescent="0.3">
      <c r="A1993">
        <v>55908</v>
      </c>
      <c r="B1993" s="1">
        <v>39956</v>
      </c>
      <c r="C1993" t="s">
        <v>23</v>
      </c>
      <c r="D1993" t="str">
        <f t="shared" si="62"/>
        <v>23-May-2009</v>
      </c>
      <c r="E1993">
        <v>44</v>
      </c>
      <c r="F1993" s="13">
        <v>1844.97</v>
      </c>
      <c r="G1993">
        <v>0.03</v>
      </c>
      <c r="H1993" t="s">
        <v>19</v>
      </c>
      <c r="I1993" s="13">
        <v>807.38</v>
      </c>
      <c r="J1993">
        <v>42.8</v>
      </c>
      <c r="K1993">
        <v>2.99</v>
      </c>
      <c r="L1993" t="s">
        <v>266</v>
      </c>
      <c r="M1993" t="s">
        <v>258</v>
      </c>
      <c r="N1993" s="5" t="s">
        <v>258</v>
      </c>
      <c r="O1993" t="s">
        <v>28</v>
      </c>
      <c r="P1993" t="s">
        <v>21</v>
      </c>
      <c r="Q1993" t="s">
        <v>26</v>
      </c>
      <c r="R1993">
        <v>0.36</v>
      </c>
      <c r="S1993" s="1">
        <v>39957</v>
      </c>
      <c r="T1993" t="str">
        <f t="shared" si="63"/>
        <v>24-May-2009</v>
      </c>
    </row>
    <row r="1994" spans="1:20" x14ac:dyDescent="0.3">
      <c r="A1994">
        <v>59781</v>
      </c>
      <c r="B1994" s="1">
        <v>41255</v>
      </c>
      <c r="C1994" t="s">
        <v>31</v>
      </c>
      <c r="D1994" t="str">
        <f t="shared" si="62"/>
        <v>12-Dec-2012</v>
      </c>
      <c r="E1994">
        <v>18</v>
      </c>
      <c r="F1994" s="13">
        <v>1837.94</v>
      </c>
      <c r="G1994">
        <v>0.02</v>
      </c>
      <c r="H1994" t="s">
        <v>19</v>
      </c>
      <c r="I1994" s="13">
        <v>1249.43</v>
      </c>
      <c r="J1994">
        <v>99.23</v>
      </c>
      <c r="K1994">
        <v>8.99</v>
      </c>
      <c r="L1994" t="s">
        <v>252</v>
      </c>
      <c r="M1994" t="s">
        <v>258</v>
      </c>
      <c r="N1994" s="5" t="s">
        <v>258</v>
      </c>
      <c r="O1994" t="s">
        <v>28</v>
      </c>
      <c r="P1994" t="s">
        <v>32</v>
      </c>
      <c r="Q1994" t="s">
        <v>33</v>
      </c>
      <c r="R1994">
        <v>0.35</v>
      </c>
      <c r="S1994" s="1">
        <v>41257</v>
      </c>
      <c r="T1994" t="str">
        <f t="shared" si="63"/>
        <v>14-Dec-2012</v>
      </c>
    </row>
    <row r="1995" spans="1:20" x14ac:dyDescent="0.3">
      <c r="A1995">
        <v>7623</v>
      </c>
      <c r="B1995" s="1">
        <v>40114</v>
      </c>
      <c r="C1995" t="s">
        <v>43</v>
      </c>
      <c r="D1995" t="str">
        <f t="shared" si="62"/>
        <v>28-Oct-2009</v>
      </c>
      <c r="E1995">
        <v>37</v>
      </c>
      <c r="F1995" s="13">
        <v>1793.42</v>
      </c>
      <c r="G1995">
        <v>0.06</v>
      </c>
      <c r="H1995" t="s">
        <v>19</v>
      </c>
      <c r="I1995" s="13">
        <v>21.5</v>
      </c>
      <c r="J1995">
        <v>49.99</v>
      </c>
      <c r="K1995">
        <v>19.989999999999998</v>
      </c>
      <c r="L1995" t="s">
        <v>274</v>
      </c>
      <c r="M1995" t="s">
        <v>258</v>
      </c>
      <c r="N1995" s="5" t="s">
        <v>258</v>
      </c>
      <c r="O1995" t="s">
        <v>28</v>
      </c>
      <c r="P1995" t="s">
        <v>29</v>
      </c>
      <c r="Q1995" t="s">
        <v>41</v>
      </c>
      <c r="R1995">
        <v>0.45</v>
      </c>
      <c r="S1995" s="1">
        <v>40116</v>
      </c>
      <c r="T1995" t="str">
        <f t="shared" si="63"/>
        <v>30-Oct-2009</v>
      </c>
    </row>
    <row r="1996" spans="1:20" x14ac:dyDescent="0.3">
      <c r="A1996">
        <v>41254</v>
      </c>
      <c r="B1996" s="1">
        <v>40553</v>
      </c>
      <c r="C1996" t="s">
        <v>43</v>
      </c>
      <c r="D1996" t="str">
        <f t="shared" si="62"/>
        <v>10-Jan-2011</v>
      </c>
      <c r="E1996">
        <v>17</v>
      </c>
      <c r="F1996" s="13">
        <v>1782.68</v>
      </c>
      <c r="G1996">
        <v>0.08</v>
      </c>
      <c r="H1996" t="s">
        <v>19</v>
      </c>
      <c r="I1996" s="13">
        <v>280.64</v>
      </c>
      <c r="J1996">
        <v>107.53</v>
      </c>
      <c r="K1996">
        <v>5.81</v>
      </c>
      <c r="L1996" t="s">
        <v>281</v>
      </c>
      <c r="M1996" t="s">
        <v>258</v>
      </c>
      <c r="N1996" s="5" t="s">
        <v>258</v>
      </c>
      <c r="O1996" t="s">
        <v>28</v>
      </c>
      <c r="P1996" t="s">
        <v>32</v>
      </c>
      <c r="Q1996" t="s">
        <v>33</v>
      </c>
      <c r="R1996">
        <v>0.65</v>
      </c>
      <c r="S1996" s="1">
        <v>40555</v>
      </c>
      <c r="T1996" t="str">
        <f t="shared" si="63"/>
        <v>12-Jan-2011</v>
      </c>
    </row>
    <row r="1997" spans="1:20" x14ac:dyDescent="0.3">
      <c r="A1997">
        <v>6086</v>
      </c>
      <c r="B1997" s="1">
        <v>40808</v>
      </c>
      <c r="C1997" t="s">
        <v>43</v>
      </c>
      <c r="D1997" t="str">
        <f t="shared" si="62"/>
        <v>22-Sep-2011</v>
      </c>
      <c r="E1997">
        <v>48</v>
      </c>
      <c r="F1997" s="13">
        <v>1734.72</v>
      </c>
      <c r="G1997">
        <v>0.04</v>
      </c>
      <c r="H1997" t="s">
        <v>19</v>
      </c>
      <c r="I1997" s="13">
        <v>57.89</v>
      </c>
      <c r="J1997">
        <v>35.44</v>
      </c>
      <c r="K1997">
        <v>19.989999999999998</v>
      </c>
      <c r="L1997" t="s">
        <v>248</v>
      </c>
      <c r="M1997" t="s">
        <v>258</v>
      </c>
      <c r="N1997" s="5" t="s">
        <v>258</v>
      </c>
      <c r="O1997" t="s">
        <v>28</v>
      </c>
      <c r="P1997" t="s">
        <v>21</v>
      </c>
      <c r="Q1997" t="s">
        <v>37</v>
      </c>
      <c r="R1997">
        <v>0.38</v>
      </c>
      <c r="S1997" s="1">
        <v>40810</v>
      </c>
      <c r="T1997" t="str">
        <f t="shared" si="63"/>
        <v>24-Sep-2011</v>
      </c>
    </row>
    <row r="1998" spans="1:20" x14ac:dyDescent="0.3">
      <c r="A1998">
        <v>51047</v>
      </c>
      <c r="B1998" s="1">
        <v>39913</v>
      </c>
      <c r="C1998" t="s">
        <v>38</v>
      </c>
      <c r="D1998" t="str">
        <f t="shared" si="62"/>
        <v>10-Apr-2009</v>
      </c>
      <c r="E1998">
        <v>38</v>
      </c>
      <c r="F1998" s="13">
        <v>1685.07</v>
      </c>
      <c r="G1998">
        <v>0.03</v>
      </c>
      <c r="H1998" t="s">
        <v>19</v>
      </c>
      <c r="I1998" s="13">
        <v>-681.97</v>
      </c>
      <c r="J1998">
        <v>41.47</v>
      </c>
      <c r="K1998">
        <v>34.200000000000003</v>
      </c>
      <c r="L1998" t="s">
        <v>269</v>
      </c>
      <c r="M1998" t="s">
        <v>258</v>
      </c>
      <c r="N1998" s="5" t="s">
        <v>258</v>
      </c>
      <c r="O1998" t="s">
        <v>28</v>
      </c>
      <c r="P1998" t="s">
        <v>32</v>
      </c>
      <c r="Q1998" t="s">
        <v>33</v>
      </c>
      <c r="R1998">
        <v>0.73</v>
      </c>
      <c r="S1998" s="1">
        <v>39914</v>
      </c>
      <c r="T1998" t="str">
        <f t="shared" si="63"/>
        <v>11-Apr-2009</v>
      </c>
    </row>
    <row r="1999" spans="1:20" x14ac:dyDescent="0.3">
      <c r="A1999">
        <v>644</v>
      </c>
      <c r="B1999" s="1">
        <v>41029</v>
      </c>
      <c r="C1999" t="s">
        <v>43</v>
      </c>
      <c r="D1999" t="str">
        <f t="shared" si="62"/>
        <v>30-Apr-2012</v>
      </c>
      <c r="E1999">
        <v>5</v>
      </c>
      <c r="F1999" s="13">
        <v>1679.58</v>
      </c>
      <c r="G1999">
        <v>0.01</v>
      </c>
      <c r="H1999" t="s">
        <v>24</v>
      </c>
      <c r="I1999" s="13">
        <v>-171.92</v>
      </c>
      <c r="J1999">
        <v>320.98</v>
      </c>
      <c r="K1999">
        <v>58.95</v>
      </c>
      <c r="L1999" t="s">
        <v>133</v>
      </c>
      <c r="M1999" t="s">
        <v>258</v>
      </c>
      <c r="N1999" s="5" t="s">
        <v>258</v>
      </c>
      <c r="O1999" t="s">
        <v>28</v>
      </c>
      <c r="P1999" t="s">
        <v>32</v>
      </c>
      <c r="Q1999" t="s">
        <v>56</v>
      </c>
      <c r="R1999">
        <v>0.56999999999999995</v>
      </c>
      <c r="S1999" s="1">
        <v>41030</v>
      </c>
      <c r="T1999" t="str">
        <f t="shared" si="63"/>
        <v>01-May-2012</v>
      </c>
    </row>
    <row r="2000" spans="1:20" x14ac:dyDescent="0.3">
      <c r="A2000">
        <v>11683</v>
      </c>
      <c r="B2000" s="1">
        <v>40946</v>
      </c>
      <c r="C2000" t="s">
        <v>31</v>
      </c>
      <c r="D2000" t="str">
        <f t="shared" si="62"/>
        <v>07-Feb-2012</v>
      </c>
      <c r="E2000">
        <v>28</v>
      </c>
      <c r="F2000" s="13">
        <v>1650.4110000000001</v>
      </c>
      <c r="G2000">
        <v>0.03</v>
      </c>
      <c r="H2000" t="s">
        <v>19</v>
      </c>
      <c r="I2000" s="13">
        <v>335.08</v>
      </c>
      <c r="J2000">
        <v>65.989999999999995</v>
      </c>
      <c r="K2000">
        <v>5.99</v>
      </c>
      <c r="L2000" t="s">
        <v>276</v>
      </c>
      <c r="M2000" t="s">
        <v>258</v>
      </c>
      <c r="N2000" s="5" t="s">
        <v>258</v>
      </c>
      <c r="O2000" t="s">
        <v>28</v>
      </c>
      <c r="P2000" t="s">
        <v>29</v>
      </c>
      <c r="Q2000" t="s">
        <v>30</v>
      </c>
      <c r="R2000">
        <v>0.57999999999999996</v>
      </c>
      <c r="S2000" s="1">
        <v>40946</v>
      </c>
      <c r="T2000" t="str">
        <f t="shared" si="63"/>
        <v>07-Feb-2012</v>
      </c>
    </row>
    <row r="2001" spans="1:20" x14ac:dyDescent="0.3">
      <c r="A2001">
        <v>8677</v>
      </c>
      <c r="B2001" s="1">
        <v>41189</v>
      </c>
      <c r="C2001" t="s">
        <v>23</v>
      </c>
      <c r="D2001" t="str">
        <f t="shared" si="62"/>
        <v>07-Oct-2012</v>
      </c>
      <c r="E2001">
        <v>38</v>
      </c>
      <c r="F2001" s="13">
        <v>1610.76</v>
      </c>
      <c r="G2001">
        <v>0.1</v>
      </c>
      <c r="H2001" t="s">
        <v>19</v>
      </c>
      <c r="I2001" s="13">
        <v>-8.67</v>
      </c>
      <c r="J2001">
        <v>43.57</v>
      </c>
      <c r="K2001">
        <v>16.36</v>
      </c>
      <c r="L2001" t="s">
        <v>268</v>
      </c>
      <c r="M2001" t="s">
        <v>258</v>
      </c>
      <c r="N2001" s="5" t="s">
        <v>258</v>
      </c>
      <c r="O2001" t="s">
        <v>28</v>
      </c>
      <c r="P2001" t="s">
        <v>21</v>
      </c>
      <c r="Q2001" t="s">
        <v>22</v>
      </c>
      <c r="R2001">
        <v>0.55000000000000004</v>
      </c>
      <c r="S2001" s="1">
        <v>41191</v>
      </c>
      <c r="T2001" t="str">
        <f t="shared" si="63"/>
        <v>09-Oct-2012</v>
      </c>
    </row>
    <row r="2002" spans="1:20" x14ac:dyDescent="0.3">
      <c r="A2002">
        <v>4004</v>
      </c>
      <c r="B2002" s="1">
        <v>40304</v>
      </c>
      <c r="C2002" t="s">
        <v>38</v>
      </c>
      <c r="D2002" t="str">
        <f t="shared" si="62"/>
        <v>06-May-2010</v>
      </c>
      <c r="E2002">
        <v>44</v>
      </c>
      <c r="F2002" s="13">
        <v>1512.25</v>
      </c>
      <c r="G2002">
        <v>0.05</v>
      </c>
      <c r="H2002" t="s">
        <v>19</v>
      </c>
      <c r="I2002" s="13">
        <v>195.48</v>
      </c>
      <c r="J2002">
        <v>34.58</v>
      </c>
      <c r="K2002">
        <v>8.99</v>
      </c>
      <c r="L2002" t="s">
        <v>274</v>
      </c>
      <c r="M2002" t="s">
        <v>258</v>
      </c>
      <c r="N2002" s="5" t="s">
        <v>258</v>
      </c>
      <c r="O2002" t="s">
        <v>28</v>
      </c>
      <c r="P2002" t="s">
        <v>21</v>
      </c>
      <c r="Q2002" t="s">
        <v>50</v>
      </c>
      <c r="R2002">
        <v>0.56000000000000005</v>
      </c>
      <c r="S2002" s="1">
        <v>40305</v>
      </c>
      <c r="T2002" t="str">
        <f t="shared" si="63"/>
        <v>07-May-2010</v>
      </c>
    </row>
    <row r="2003" spans="1:20" x14ac:dyDescent="0.3">
      <c r="A2003">
        <v>30276</v>
      </c>
      <c r="B2003" s="1">
        <v>40781</v>
      </c>
      <c r="C2003" t="s">
        <v>18</v>
      </c>
      <c r="D2003" t="str">
        <f t="shared" si="62"/>
        <v>26-Aug-2011</v>
      </c>
      <c r="E2003">
        <v>44</v>
      </c>
      <c r="F2003" s="13">
        <v>1453.704</v>
      </c>
      <c r="G2003">
        <v>0</v>
      </c>
      <c r="H2003" t="s">
        <v>19</v>
      </c>
      <c r="I2003" s="13">
        <v>549.84</v>
      </c>
      <c r="J2003">
        <v>35.99</v>
      </c>
      <c r="K2003">
        <v>1.1000000000000001</v>
      </c>
      <c r="L2003" t="s">
        <v>218</v>
      </c>
      <c r="M2003" t="s">
        <v>258</v>
      </c>
      <c r="N2003" s="5" t="s">
        <v>258</v>
      </c>
      <c r="O2003" t="s">
        <v>28</v>
      </c>
      <c r="P2003" t="s">
        <v>29</v>
      </c>
      <c r="Q2003" t="s">
        <v>30</v>
      </c>
      <c r="R2003">
        <v>0.55000000000000004</v>
      </c>
      <c r="S2003" s="1">
        <v>40785</v>
      </c>
      <c r="T2003" t="str">
        <f t="shared" si="63"/>
        <v>30-Aug-2011</v>
      </c>
    </row>
    <row r="2004" spans="1:20" x14ac:dyDescent="0.3">
      <c r="A2004">
        <v>26432</v>
      </c>
      <c r="B2004" s="1">
        <v>40177</v>
      </c>
      <c r="C2004" t="s">
        <v>18</v>
      </c>
      <c r="D2004" t="str">
        <f t="shared" si="62"/>
        <v>30-Dec-2009</v>
      </c>
      <c r="E2004">
        <v>37</v>
      </c>
      <c r="F2004" s="13">
        <v>1420.89</v>
      </c>
      <c r="G2004">
        <v>0.06</v>
      </c>
      <c r="H2004" t="s">
        <v>19</v>
      </c>
      <c r="I2004" s="13">
        <v>389.67</v>
      </c>
      <c r="J2004">
        <v>38.06</v>
      </c>
      <c r="K2004">
        <v>4.5</v>
      </c>
      <c r="L2004" t="s">
        <v>100</v>
      </c>
      <c r="M2004" t="s">
        <v>258</v>
      </c>
      <c r="N2004" s="5" t="s">
        <v>258</v>
      </c>
      <c r="O2004" t="s">
        <v>28</v>
      </c>
      <c r="P2004" t="s">
        <v>21</v>
      </c>
      <c r="Q2004" t="s">
        <v>25</v>
      </c>
      <c r="R2004">
        <v>0.56000000000000005</v>
      </c>
      <c r="S2004" s="1">
        <v>40184</v>
      </c>
      <c r="T2004" t="str">
        <f t="shared" si="63"/>
        <v>06-Jan-2010</v>
      </c>
    </row>
    <row r="2005" spans="1:20" x14ac:dyDescent="0.3">
      <c r="A2005">
        <v>30279</v>
      </c>
      <c r="B2005" s="1">
        <v>40884</v>
      </c>
      <c r="C2005" t="s">
        <v>43</v>
      </c>
      <c r="D2005" t="str">
        <f t="shared" si="62"/>
        <v>07-Dec-2011</v>
      </c>
      <c r="E2005">
        <v>25</v>
      </c>
      <c r="F2005" s="13">
        <v>1412.98</v>
      </c>
      <c r="G2005">
        <v>0.1</v>
      </c>
      <c r="H2005" t="s">
        <v>19</v>
      </c>
      <c r="I2005" s="13">
        <v>324.95999999999998</v>
      </c>
      <c r="J2005">
        <v>60.97</v>
      </c>
      <c r="K2005">
        <v>4.5</v>
      </c>
      <c r="L2005" t="s">
        <v>269</v>
      </c>
      <c r="M2005" t="s">
        <v>258</v>
      </c>
      <c r="N2005" s="5" t="s">
        <v>258</v>
      </c>
      <c r="O2005" t="s">
        <v>28</v>
      </c>
      <c r="P2005" t="s">
        <v>21</v>
      </c>
      <c r="Q2005" t="s">
        <v>25</v>
      </c>
      <c r="R2005">
        <v>0.56000000000000005</v>
      </c>
      <c r="S2005" s="1">
        <v>40884</v>
      </c>
      <c r="T2005" t="str">
        <f t="shared" si="63"/>
        <v>07-Dec-2011</v>
      </c>
    </row>
    <row r="2006" spans="1:20" x14ac:dyDescent="0.3">
      <c r="A2006">
        <v>34657</v>
      </c>
      <c r="B2006" s="1">
        <v>40303</v>
      </c>
      <c r="C2006" t="s">
        <v>18</v>
      </c>
      <c r="D2006" t="str">
        <f t="shared" si="62"/>
        <v>05-May-2010</v>
      </c>
      <c r="E2006">
        <v>46</v>
      </c>
      <c r="F2006" s="13">
        <v>1396.75</v>
      </c>
      <c r="G2006">
        <v>0.04</v>
      </c>
      <c r="H2006" t="s">
        <v>35</v>
      </c>
      <c r="I2006" s="13">
        <v>-75.7</v>
      </c>
      <c r="J2006">
        <v>30.98</v>
      </c>
      <c r="K2006">
        <v>19.510000000000002</v>
      </c>
      <c r="L2006" t="s">
        <v>276</v>
      </c>
      <c r="M2006" t="s">
        <v>258</v>
      </c>
      <c r="N2006" s="5" t="s">
        <v>258</v>
      </c>
      <c r="O2006" t="s">
        <v>28</v>
      </c>
      <c r="P2006" t="s">
        <v>21</v>
      </c>
      <c r="Q2006" t="s">
        <v>42</v>
      </c>
      <c r="R2006">
        <v>0.36</v>
      </c>
      <c r="S2006" s="1">
        <v>40312</v>
      </c>
      <c r="T2006" t="str">
        <f t="shared" si="63"/>
        <v>14-May-2010</v>
      </c>
    </row>
    <row r="2007" spans="1:20" x14ac:dyDescent="0.3">
      <c r="A2007">
        <v>43907</v>
      </c>
      <c r="B2007" s="1">
        <v>41108</v>
      </c>
      <c r="C2007" t="s">
        <v>43</v>
      </c>
      <c r="D2007" t="str">
        <f t="shared" si="62"/>
        <v>18-Jul-2012</v>
      </c>
      <c r="E2007">
        <v>42</v>
      </c>
      <c r="F2007" s="13">
        <v>1392.77</v>
      </c>
      <c r="G2007">
        <v>0</v>
      </c>
      <c r="H2007" t="s">
        <v>24</v>
      </c>
      <c r="I2007" s="13">
        <v>-1981.55</v>
      </c>
      <c r="J2007">
        <v>31.76</v>
      </c>
      <c r="K2007">
        <v>45.51</v>
      </c>
      <c r="L2007" t="s">
        <v>271</v>
      </c>
      <c r="M2007" t="s">
        <v>258</v>
      </c>
      <c r="N2007" s="5" t="s">
        <v>258</v>
      </c>
      <c r="O2007" t="s">
        <v>28</v>
      </c>
      <c r="P2007" t="s">
        <v>32</v>
      </c>
      <c r="Q2007" t="s">
        <v>46</v>
      </c>
      <c r="R2007">
        <v>0.65</v>
      </c>
      <c r="S2007" s="1">
        <v>41110</v>
      </c>
      <c r="T2007" t="str">
        <f t="shared" si="63"/>
        <v>20-Jul-2012</v>
      </c>
    </row>
    <row r="2008" spans="1:20" x14ac:dyDescent="0.3">
      <c r="A2008">
        <v>43745</v>
      </c>
      <c r="B2008" s="1">
        <v>40483</v>
      </c>
      <c r="C2008" t="s">
        <v>18</v>
      </c>
      <c r="D2008" t="str">
        <f t="shared" si="62"/>
        <v>01-Nov-2010</v>
      </c>
      <c r="E2008">
        <v>26</v>
      </c>
      <c r="F2008" s="13">
        <v>1368.03</v>
      </c>
      <c r="G2008">
        <v>0.04</v>
      </c>
      <c r="H2008" t="s">
        <v>19</v>
      </c>
      <c r="I2008" s="13">
        <v>27.51</v>
      </c>
      <c r="J2008">
        <v>50.98</v>
      </c>
      <c r="K2008">
        <v>6.5</v>
      </c>
      <c r="L2008" t="s">
        <v>280</v>
      </c>
      <c r="M2008" t="s">
        <v>258</v>
      </c>
      <c r="N2008" s="5" t="s">
        <v>258</v>
      </c>
      <c r="O2008" t="s">
        <v>28</v>
      </c>
      <c r="P2008" t="s">
        <v>29</v>
      </c>
      <c r="Q2008" t="s">
        <v>41</v>
      </c>
      <c r="R2008">
        <v>0.73</v>
      </c>
      <c r="S2008" s="1">
        <v>40485</v>
      </c>
      <c r="T2008" t="str">
        <f t="shared" si="63"/>
        <v>03-Nov-2010</v>
      </c>
    </row>
    <row r="2009" spans="1:20" x14ac:dyDescent="0.3">
      <c r="A2009">
        <v>16036</v>
      </c>
      <c r="B2009" s="1">
        <v>40913</v>
      </c>
      <c r="C2009" t="s">
        <v>38</v>
      </c>
      <c r="D2009" t="str">
        <f t="shared" si="62"/>
        <v>05-Jan-2012</v>
      </c>
      <c r="E2009">
        <v>10</v>
      </c>
      <c r="F2009" s="13">
        <v>1319.421</v>
      </c>
      <c r="G2009">
        <v>7.0000000000000007E-2</v>
      </c>
      <c r="H2009" t="s">
        <v>19</v>
      </c>
      <c r="I2009" s="13">
        <v>-268.87</v>
      </c>
      <c r="J2009">
        <v>155.99</v>
      </c>
      <c r="K2009">
        <v>8.08</v>
      </c>
      <c r="L2009" t="s">
        <v>225</v>
      </c>
      <c r="M2009" t="s">
        <v>258</v>
      </c>
      <c r="N2009" s="5" t="s">
        <v>258</v>
      </c>
      <c r="O2009" t="s">
        <v>28</v>
      </c>
      <c r="P2009" t="s">
        <v>29</v>
      </c>
      <c r="Q2009" t="s">
        <v>30</v>
      </c>
      <c r="R2009">
        <v>0.6</v>
      </c>
      <c r="S2009" s="1">
        <v>40914</v>
      </c>
      <c r="T2009" t="str">
        <f t="shared" si="63"/>
        <v>06-Jan-2012</v>
      </c>
    </row>
    <row r="2010" spans="1:20" x14ac:dyDescent="0.3">
      <c r="A2010">
        <v>20934</v>
      </c>
      <c r="B2010" s="1">
        <v>40198</v>
      </c>
      <c r="C2010" t="s">
        <v>43</v>
      </c>
      <c r="D2010" t="str">
        <f t="shared" si="62"/>
        <v>20-Jan-2010</v>
      </c>
      <c r="E2010">
        <v>5</v>
      </c>
      <c r="F2010" s="13">
        <v>1253.8900000000001</v>
      </c>
      <c r="G2010">
        <v>0.09</v>
      </c>
      <c r="H2010" t="s">
        <v>24</v>
      </c>
      <c r="I2010" s="13">
        <v>-577.48</v>
      </c>
      <c r="J2010">
        <v>264.98</v>
      </c>
      <c r="K2010">
        <v>17.86</v>
      </c>
      <c r="L2010" t="s">
        <v>133</v>
      </c>
      <c r="M2010" t="s">
        <v>258</v>
      </c>
      <c r="N2010" s="5" t="s">
        <v>258</v>
      </c>
      <c r="O2010" t="s">
        <v>28</v>
      </c>
      <c r="P2010" t="s">
        <v>29</v>
      </c>
      <c r="Q2010" t="s">
        <v>74</v>
      </c>
      <c r="R2010">
        <v>0.57999999999999996</v>
      </c>
      <c r="S2010" s="1">
        <v>40199</v>
      </c>
      <c r="T2010" t="str">
        <f t="shared" si="63"/>
        <v>21-Jan-2010</v>
      </c>
    </row>
    <row r="2011" spans="1:20" x14ac:dyDescent="0.3">
      <c r="A2011">
        <v>43745</v>
      </c>
      <c r="B2011" s="1">
        <v>40483</v>
      </c>
      <c r="C2011" t="s">
        <v>18</v>
      </c>
      <c r="D2011" t="str">
        <f t="shared" si="62"/>
        <v>01-Nov-2010</v>
      </c>
      <c r="E2011">
        <v>32</v>
      </c>
      <c r="F2011" s="13">
        <v>1250.4265</v>
      </c>
      <c r="G2011">
        <v>0.02</v>
      </c>
      <c r="H2011" t="s">
        <v>19</v>
      </c>
      <c r="I2011" s="13">
        <v>303.3</v>
      </c>
      <c r="J2011">
        <v>45.99</v>
      </c>
      <c r="K2011">
        <v>2.5</v>
      </c>
      <c r="L2011" t="s">
        <v>280</v>
      </c>
      <c r="M2011" t="s">
        <v>258</v>
      </c>
      <c r="N2011" s="5" t="s">
        <v>258</v>
      </c>
      <c r="O2011" t="s">
        <v>28</v>
      </c>
      <c r="P2011" t="s">
        <v>29</v>
      </c>
      <c r="Q2011" t="s">
        <v>30</v>
      </c>
      <c r="R2011">
        <v>0.56000000000000005</v>
      </c>
      <c r="S2011" s="1">
        <v>40483</v>
      </c>
      <c r="T2011" t="str">
        <f t="shared" si="63"/>
        <v>01-Nov-2010</v>
      </c>
    </row>
    <row r="2012" spans="1:20" x14ac:dyDescent="0.3">
      <c r="A2012">
        <v>40454</v>
      </c>
      <c r="B2012" s="1">
        <v>40654</v>
      </c>
      <c r="C2012" t="s">
        <v>31</v>
      </c>
      <c r="D2012" t="str">
        <f t="shared" si="62"/>
        <v>21-Apr-2011</v>
      </c>
      <c r="E2012">
        <v>43</v>
      </c>
      <c r="F2012" s="13">
        <v>1243.8800000000001</v>
      </c>
      <c r="G2012">
        <v>0.1</v>
      </c>
      <c r="H2012" t="s">
        <v>19</v>
      </c>
      <c r="I2012" s="13">
        <v>22.71</v>
      </c>
      <c r="J2012">
        <v>30.98</v>
      </c>
      <c r="K2012">
        <v>8.99</v>
      </c>
      <c r="L2012" t="s">
        <v>265</v>
      </c>
      <c r="M2012" t="s">
        <v>258</v>
      </c>
      <c r="N2012" s="5" t="s">
        <v>258</v>
      </c>
      <c r="O2012" t="s">
        <v>28</v>
      </c>
      <c r="P2012" t="s">
        <v>21</v>
      </c>
      <c r="Q2012" t="s">
        <v>50</v>
      </c>
      <c r="R2012">
        <v>0.57999999999999996</v>
      </c>
      <c r="S2012" s="1">
        <v>40657</v>
      </c>
      <c r="T2012" t="str">
        <f t="shared" si="63"/>
        <v>24-Apr-2011</v>
      </c>
    </row>
    <row r="2013" spans="1:20" x14ac:dyDescent="0.3">
      <c r="A2013">
        <v>56768</v>
      </c>
      <c r="B2013" s="1">
        <v>40751</v>
      </c>
      <c r="C2013" t="s">
        <v>43</v>
      </c>
      <c r="D2013" t="str">
        <f t="shared" si="62"/>
        <v>27-Jul-2011</v>
      </c>
      <c r="E2013">
        <v>13</v>
      </c>
      <c r="F2013" s="13">
        <v>1207.02</v>
      </c>
      <c r="G2013">
        <v>0.03</v>
      </c>
      <c r="H2013" t="s">
        <v>24</v>
      </c>
      <c r="I2013" s="13">
        <v>235.4</v>
      </c>
      <c r="J2013">
        <v>90.97</v>
      </c>
      <c r="K2013">
        <v>14</v>
      </c>
      <c r="L2013" t="s">
        <v>229</v>
      </c>
      <c r="M2013" t="s">
        <v>258</v>
      </c>
      <c r="N2013" s="5" t="s">
        <v>258</v>
      </c>
      <c r="O2013" t="s">
        <v>28</v>
      </c>
      <c r="P2013" t="s">
        <v>29</v>
      </c>
      <c r="Q2013" t="s">
        <v>74</v>
      </c>
      <c r="R2013">
        <v>0.36</v>
      </c>
      <c r="S2013" s="1">
        <v>40752</v>
      </c>
      <c r="T2013" t="str">
        <f t="shared" si="63"/>
        <v>28-Jul-2011</v>
      </c>
    </row>
    <row r="2014" spans="1:20" x14ac:dyDescent="0.3">
      <c r="A2014">
        <v>39040</v>
      </c>
      <c r="B2014" s="1">
        <v>39954</v>
      </c>
      <c r="C2014" t="s">
        <v>43</v>
      </c>
      <c r="D2014" t="str">
        <f t="shared" si="62"/>
        <v>21-May-2009</v>
      </c>
      <c r="E2014">
        <v>26</v>
      </c>
      <c r="F2014" s="13">
        <v>1204.5094999999999</v>
      </c>
      <c r="G2014">
        <v>0.03</v>
      </c>
      <c r="H2014" t="s">
        <v>19</v>
      </c>
      <c r="I2014" s="13">
        <v>-221.25</v>
      </c>
      <c r="J2014">
        <v>55.99</v>
      </c>
      <c r="K2014">
        <v>5</v>
      </c>
      <c r="L2014" t="s">
        <v>228</v>
      </c>
      <c r="M2014" t="s">
        <v>258</v>
      </c>
      <c r="N2014" s="5" t="s">
        <v>258</v>
      </c>
      <c r="O2014" t="s">
        <v>28</v>
      </c>
      <c r="P2014" t="s">
        <v>29</v>
      </c>
      <c r="Q2014" t="s">
        <v>30</v>
      </c>
      <c r="R2014">
        <v>0.83</v>
      </c>
      <c r="S2014" s="1">
        <v>39955</v>
      </c>
      <c r="T2014" t="str">
        <f t="shared" si="63"/>
        <v>22-May-2009</v>
      </c>
    </row>
    <row r="2015" spans="1:20" x14ac:dyDescent="0.3">
      <c r="A2015">
        <v>56291</v>
      </c>
      <c r="B2015" s="1">
        <v>41169</v>
      </c>
      <c r="C2015" t="s">
        <v>31</v>
      </c>
      <c r="D2015" t="str">
        <f t="shared" si="62"/>
        <v>17-Sep-2012</v>
      </c>
      <c r="E2015">
        <v>47</v>
      </c>
      <c r="F2015" s="13">
        <v>1200.7</v>
      </c>
      <c r="G2015">
        <v>0.06</v>
      </c>
      <c r="H2015" t="s">
        <v>19</v>
      </c>
      <c r="I2015" s="13">
        <v>-37.270000000000003</v>
      </c>
      <c r="J2015">
        <v>24.98</v>
      </c>
      <c r="K2015">
        <v>8.7899999999999991</v>
      </c>
      <c r="L2015" t="s">
        <v>286</v>
      </c>
      <c r="M2015" t="s">
        <v>258</v>
      </c>
      <c r="N2015" s="5" t="s">
        <v>258</v>
      </c>
      <c r="O2015" t="s">
        <v>28</v>
      </c>
      <c r="P2015" t="s">
        <v>21</v>
      </c>
      <c r="Q2015" t="s">
        <v>22</v>
      </c>
      <c r="R2015">
        <v>0.66</v>
      </c>
      <c r="S2015" s="1">
        <v>41170</v>
      </c>
      <c r="T2015" t="str">
        <f t="shared" si="63"/>
        <v>18-Sep-2012</v>
      </c>
    </row>
    <row r="2016" spans="1:20" x14ac:dyDescent="0.3">
      <c r="A2016">
        <v>19841</v>
      </c>
      <c r="B2016" s="1">
        <v>40538</v>
      </c>
      <c r="C2016" t="s">
        <v>18</v>
      </c>
      <c r="D2016" t="str">
        <f t="shared" si="62"/>
        <v>26-Dec-2010</v>
      </c>
      <c r="E2016">
        <v>7</v>
      </c>
      <c r="F2016" s="13">
        <v>1126.4880000000001</v>
      </c>
      <c r="G2016">
        <v>0.08</v>
      </c>
      <c r="H2016" t="s">
        <v>19</v>
      </c>
      <c r="I2016" s="13">
        <v>-557.95000000000005</v>
      </c>
      <c r="J2016">
        <v>195.99</v>
      </c>
      <c r="K2016">
        <v>4.2</v>
      </c>
      <c r="L2016" t="s">
        <v>266</v>
      </c>
      <c r="M2016" t="s">
        <v>258</v>
      </c>
      <c r="N2016" s="5" t="s">
        <v>258</v>
      </c>
      <c r="O2016" t="s">
        <v>28</v>
      </c>
      <c r="P2016" t="s">
        <v>29</v>
      </c>
      <c r="Q2016" t="s">
        <v>30</v>
      </c>
      <c r="R2016">
        <v>0.6</v>
      </c>
      <c r="S2016" s="1">
        <v>40569</v>
      </c>
      <c r="T2016" t="str">
        <f t="shared" si="63"/>
        <v>26-Jan-2011</v>
      </c>
    </row>
    <row r="2017" spans="1:20" x14ac:dyDescent="0.3">
      <c r="A2017">
        <v>55492</v>
      </c>
      <c r="B2017" s="1">
        <v>40805</v>
      </c>
      <c r="C2017" t="s">
        <v>43</v>
      </c>
      <c r="D2017" t="str">
        <f t="shared" si="62"/>
        <v>19-Sep-2011</v>
      </c>
      <c r="E2017">
        <v>10</v>
      </c>
      <c r="F2017" s="13">
        <v>1124.2439999999999</v>
      </c>
      <c r="G2017">
        <v>0.03</v>
      </c>
      <c r="H2017" t="s">
        <v>35</v>
      </c>
      <c r="I2017" s="13">
        <v>-126.45</v>
      </c>
      <c r="J2017">
        <v>125.99</v>
      </c>
      <c r="K2017">
        <v>7.69</v>
      </c>
      <c r="L2017" t="s">
        <v>279</v>
      </c>
      <c r="M2017" t="s">
        <v>258</v>
      </c>
      <c r="N2017" s="5" t="s">
        <v>258</v>
      </c>
      <c r="O2017" t="s">
        <v>28</v>
      </c>
      <c r="P2017" t="s">
        <v>29</v>
      </c>
      <c r="Q2017" t="s">
        <v>30</v>
      </c>
      <c r="R2017">
        <v>0.57999999999999996</v>
      </c>
      <c r="S2017" s="1">
        <v>40807</v>
      </c>
      <c r="T2017" t="str">
        <f t="shared" si="63"/>
        <v>21-Sep-2011</v>
      </c>
    </row>
    <row r="2018" spans="1:20" x14ac:dyDescent="0.3">
      <c r="A2018">
        <v>21057</v>
      </c>
      <c r="B2018" s="1">
        <v>40577</v>
      </c>
      <c r="C2018" t="s">
        <v>18</v>
      </c>
      <c r="D2018" t="str">
        <f t="shared" si="62"/>
        <v>03-Feb-2011</v>
      </c>
      <c r="E2018">
        <v>28</v>
      </c>
      <c r="F2018" s="13">
        <v>1103.67</v>
      </c>
      <c r="G2018">
        <v>0.04</v>
      </c>
      <c r="H2018" t="s">
        <v>19</v>
      </c>
      <c r="I2018" s="13">
        <v>253.61</v>
      </c>
      <c r="J2018">
        <v>39.479999999999997</v>
      </c>
      <c r="K2018">
        <v>1.99</v>
      </c>
      <c r="L2018" t="s">
        <v>283</v>
      </c>
      <c r="M2018" t="s">
        <v>258</v>
      </c>
      <c r="N2018" s="5" t="s">
        <v>258</v>
      </c>
      <c r="O2018" t="s">
        <v>28</v>
      </c>
      <c r="P2018" t="s">
        <v>29</v>
      </c>
      <c r="Q2018" t="s">
        <v>41</v>
      </c>
      <c r="R2018">
        <v>0.54</v>
      </c>
      <c r="S2018" s="1">
        <v>40584</v>
      </c>
      <c r="T2018" t="str">
        <f t="shared" si="63"/>
        <v>10-Feb-2011</v>
      </c>
    </row>
    <row r="2019" spans="1:20" x14ac:dyDescent="0.3">
      <c r="A2019">
        <v>26341</v>
      </c>
      <c r="B2019" s="1">
        <v>40387</v>
      </c>
      <c r="C2019" t="s">
        <v>43</v>
      </c>
      <c r="D2019" t="str">
        <f t="shared" si="62"/>
        <v>28-Jul-2010</v>
      </c>
      <c r="E2019">
        <v>8</v>
      </c>
      <c r="F2019" s="13">
        <v>1095.27</v>
      </c>
      <c r="G2019">
        <v>0.03</v>
      </c>
      <c r="H2019" t="s">
        <v>24</v>
      </c>
      <c r="I2019" s="13">
        <v>-281.22000000000003</v>
      </c>
      <c r="J2019">
        <v>124.49</v>
      </c>
      <c r="K2019">
        <v>51.94</v>
      </c>
      <c r="L2019" t="s">
        <v>250</v>
      </c>
      <c r="M2019" t="s">
        <v>258</v>
      </c>
      <c r="N2019" s="5" t="s">
        <v>258</v>
      </c>
      <c r="O2019" t="s">
        <v>28</v>
      </c>
      <c r="P2019" t="s">
        <v>32</v>
      </c>
      <c r="Q2019" t="s">
        <v>46</v>
      </c>
      <c r="R2019">
        <v>0.63</v>
      </c>
      <c r="S2019" s="1">
        <v>40389</v>
      </c>
      <c r="T2019" t="str">
        <f t="shared" si="63"/>
        <v>30-Jul-2010</v>
      </c>
    </row>
    <row r="2020" spans="1:20" x14ac:dyDescent="0.3">
      <c r="A2020">
        <v>24740</v>
      </c>
      <c r="B2020" s="1">
        <v>40188</v>
      </c>
      <c r="C2020" t="s">
        <v>38</v>
      </c>
      <c r="D2020" t="str">
        <f t="shared" si="62"/>
        <v>10-Jan-2010</v>
      </c>
      <c r="E2020">
        <v>11</v>
      </c>
      <c r="F2020" s="13">
        <v>1091.47</v>
      </c>
      <c r="G2020">
        <v>0.04</v>
      </c>
      <c r="H2020" t="s">
        <v>19</v>
      </c>
      <c r="I2020" s="13">
        <v>160.47999999999999</v>
      </c>
      <c r="J2020">
        <v>92.23</v>
      </c>
      <c r="K2020">
        <v>39.61</v>
      </c>
      <c r="L2020" t="s">
        <v>100</v>
      </c>
      <c r="M2020" t="s">
        <v>258</v>
      </c>
      <c r="N2020" s="5" t="s">
        <v>258</v>
      </c>
      <c r="O2020" t="s">
        <v>28</v>
      </c>
      <c r="P2020" t="s">
        <v>32</v>
      </c>
      <c r="Q2020" t="s">
        <v>33</v>
      </c>
      <c r="R2020">
        <v>0.67</v>
      </c>
      <c r="S2020" s="1">
        <v>40189</v>
      </c>
      <c r="T2020" t="str">
        <f t="shared" si="63"/>
        <v>11-Jan-2010</v>
      </c>
    </row>
    <row r="2021" spans="1:20" x14ac:dyDescent="0.3">
      <c r="A2021">
        <v>7301</v>
      </c>
      <c r="B2021" s="1">
        <v>40540</v>
      </c>
      <c r="C2021" t="s">
        <v>18</v>
      </c>
      <c r="D2021" t="str">
        <f t="shared" si="62"/>
        <v>28-Dec-2010</v>
      </c>
      <c r="E2021">
        <v>17</v>
      </c>
      <c r="F2021" s="13">
        <v>959.08900000000006</v>
      </c>
      <c r="G2021">
        <v>0.06</v>
      </c>
      <c r="H2021" t="s">
        <v>19</v>
      </c>
      <c r="I2021" s="13">
        <v>124.99</v>
      </c>
      <c r="J2021">
        <v>65.989999999999995</v>
      </c>
      <c r="K2021">
        <v>2.5</v>
      </c>
      <c r="L2021" t="s">
        <v>100</v>
      </c>
      <c r="M2021" t="s">
        <v>258</v>
      </c>
      <c r="N2021" s="5" t="s">
        <v>258</v>
      </c>
      <c r="O2021" t="s">
        <v>28</v>
      </c>
      <c r="P2021" t="s">
        <v>29</v>
      </c>
      <c r="Q2021" t="s">
        <v>30</v>
      </c>
      <c r="R2021">
        <v>0.55000000000000004</v>
      </c>
      <c r="S2021" s="1">
        <v>40557</v>
      </c>
      <c r="T2021" t="str">
        <f t="shared" si="63"/>
        <v>14-Jan-2011</v>
      </c>
    </row>
    <row r="2022" spans="1:20" x14ac:dyDescent="0.3">
      <c r="A2022">
        <v>38976</v>
      </c>
      <c r="B2022" s="1">
        <v>40537</v>
      </c>
      <c r="C2022" t="s">
        <v>43</v>
      </c>
      <c r="D2022" t="str">
        <f t="shared" si="62"/>
        <v>25-Dec-2010</v>
      </c>
      <c r="E2022">
        <v>46</v>
      </c>
      <c r="F2022" s="13">
        <v>944.76</v>
      </c>
      <c r="G2022">
        <v>0.03</v>
      </c>
      <c r="H2022" t="s">
        <v>19</v>
      </c>
      <c r="I2022" s="13">
        <v>165.46</v>
      </c>
      <c r="J2022">
        <v>19.98</v>
      </c>
      <c r="K2022">
        <v>8.68</v>
      </c>
      <c r="L2022" t="s">
        <v>237</v>
      </c>
      <c r="M2022" t="s">
        <v>258</v>
      </c>
      <c r="N2022" s="5" t="s">
        <v>258</v>
      </c>
      <c r="O2022" t="s">
        <v>28</v>
      </c>
      <c r="P2022" t="s">
        <v>21</v>
      </c>
      <c r="Q2022" t="s">
        <v>37</v>
      </c>
      <c r="R2022">
        <v>0.37</v>
      </c>
      <c r="S2022" s="1">
        <v>40539</v>
      </c>
      <c r="T2022" t="str">
        <f t="shared" si="63"/>
        <v>27-Dec-2010</v>
      </c>
    </row>
    <row r="2023" spans="1:20" x14ac:dyDescent="0.3">
      <c r="A2023">
        <v>39335</v>
      </c>
      <c r="B2023" s="1">
        <v>39958</v>
      </c>
      <c r="C2023" t="s">
        <v>31</v>
      </c>
      <c r="D2023" t="str">
        <f t="shared" si="62"/>
        <v>25-May-2009</v>
      </c>
      <c r="E2023">
        <v>34</v>
      </c>
      <c r="F2023" s="13">
        <v>889.84</v>
      </c>
      <c r="G2023">
        <v>0.1</v>
      </c>
      <c r="H2023" t="s">
        <v>19</v>
      </c>
      <c r="I2023" s="13">
        <v>204.49</v>
      </c>
      <c r="J2023">
        <v>27.18</v>
      </c>
      <c r="K2023">
        <v>8.23</v>
      </c>
      <c r="L2023" t="s">
        <v>281</v>
      </c>
      <c r="M2023" t="s">
        <v>258</v>
      </c>
      <c r="N2023" s="5" t="s">
        <v>258</v>
      </c>
      <c r="O2023" t="s">
        <v>28</v>
      </c>
      <c r="P2023" t="s">
        <v>21</v>
      </c>
      <c r="Q2023" t="s">
        <v>42</v>
      </c>
      <c r="R2023">
        <v>0.38</v>
      </c>
      <c r="S2023" s="1">
        <v>39960</v>
      </c>
      <c r="T2023" t="str">
        <f t="shared" si="63"/>
        <v>27-May-2009</v>
      </c>
    </row>
    <row r="2024" spans="1:20" x14ac:dyDescent="0.3">
      <c r="A2024">
        <v>31040</v>
      </c>
      <c r="B2024" s="1">
        <v>40435</v>
      </c>
      <c r="C2024" t="s">
        <v>31</v>
      </c>
      <c r="D2024" t="str">
        <f t="shared" si="62"/>
        <v>14-Sep-2010</v>
      </c>
      <c r="E2024">
        <v>23</v>
      </c>
      <c r="F2024" s="13">
        <v>872.97</v>
      </c>
      <c r="G2024">
        <v>0.1</v>
      </c>
      <c r="H2024" t="s">
        <v>19</v>
      </c>
      <c r="I2024" s="13">
        <v>-22.63</v>
      </c>
      <c r="J2024">
        <v>39.979999999999997</v>
      </c>
      <c r="K2024">
        <v>4</v>
      </c>
      <c r="L2024" t="s">
        <v>273</v>
      </c>
      <c r="M2024" t="s">
        <v>258</v>
      </c>
      <c r="N2024" s="5" t="s">
        <v>258</v>
      </c>
      <c r="O2024" t="s">
        <v>28</v>
      </c>
      <c r="P2024" t="s">
        <v>29</v>
      </c>
      <c r="Q2024" t="s">
        <v>41</v>
      </c>
      <c r="R2024">
        <v>0.7</v>
      </c>
      <c r="S2024" s="1">
        <v>40437</v>
      </c>
      <c r="T2024" t="str">
        <f t="shared" si="63"/>
        <v>16-Sep-2010</v>
      </c>
    </row>
    <row r="2025" spans="1:20" x14ac:dyDescent="0.3">
      <c r="A2025">
        <v>36358</v>
      </c>
      <c r="B2025" s="1">
        <v>39946</v>
      </c>
      <c r="C2025" t="s">
        <v>31</v>
      </c>
      <c r="D2025" t="str">
        <f t="shared" si="62"/>
        <v>13-May-2009</v>
      </c>
      <c r="E2025">
        <v>28</v>
      </c>
      <c r="F2025" s="13">
        <v>865.35</v>
      </c>
      <c r="G2025">
        <v>0.06</v>
      </c>
      <c r="H2025" t="s">
        <v>19</v>
      </c>
      <c r="I2025" s="13">
        <v>-159.25</v>
      </c>
      <c r="J2025">
        <v>30.42</v>
      </c>
      <c r="K2025">
        <v>8.65</v>
      </c>
      <c r="L2025" t="s">
        <v>272</v>
      </c>
      <c r="M2025" t="s">
        <v>258</v>
      </c>
      <c r="N2025" s="5" t="s">
        <v>258</v>
      </c>
      <c r="O2025" t="s">
        <v>28</v>
      </c>
      <c r="P2025" t="s">
        <v>29</v>
      </c>
      <c r="Q2025" t="s">
        <v>41</v>
      </c>
      <c r="R2025">
        <v>0.74</v>
      </c>
      <c r="S2025" s="1">
        <v>39948</v>
      </c>
      <c r="T2025" t="str">
        <f t="shared" si="63"/>
        <v>15-May-2009</v>
      </c>
    </row>
    <row r="2026" spans="1:20" x14ac:dyDescent="0.3">
      <c r="A2026">
        <v>24099</v>
      </c>
      <c r="B2026" s="1">
        <v>40683</v>
      </c>
      <c r="C2026" t="s">
        <v>31</v>
      </c>
      <c r="D2026" t="str">
        <f t="shared" si="62"/>
        <v>20-May-2011</v>
      </c>
      <c r="E2026">
        <v>36</v>
      </c>
      <c r="F2026" s="13">
        <v>825.82</v>
      </c>
      <c r="G2026">
        <v>0</v>
      </c>
      <c r="H2026" t="s">
        <v>19</v>
      </c>
      <c r="I2026" s="13">
        <v>-1049.26</v>
      </c>
      <c r="J2026">
        <v>20.34</v>
      </c>
      <c r="K2026">
        <v>35</v>
      </c>
      <c r="L2026" t="s">
        <v>275</v>
      </c>
      <c r="M2026" t="s">
        <v>258</v>
      </c>
      <c r="N2026" s="5" t="s">
        <v>258</v>
      </c>
      <c r="O2026" t="s">
        <v>28</v>
      </c>
      <c r="P2026" t="s">
        <v>21</v>
      </c>
      <c r="Q2026" t="s">
        <v>22</v>
      </c>
      <c r="R2026">
        <v>0.84</v>
      </c>
      <c r="S2026" s="1">
        <v>40684</v>
      </c>
      <c r="T2026" t="str">
        <f t="shared" si="63"/>
        <v>21-May-2011</v>
      </c>
    </row>
    <row r="2027" spans="1:20" x14ac:dyDescent="0.3">
      <c r="A2027">
        <v>36358</v>
      </c>
      <c r="B2027" s="1">
        <v>39946</v>
      </c>
      <c r="C2027" t="s">
        <v>31</v>
      </c>
      <c r="D2027" t="str">
        <f t="shared" si="62"/>
        <v>13-May-2009</v>
      </c>
      <c r="E2027">
        <v>22</v>
      </c>
      <c r="F2027" s="13">
        <v>823.07</v>
      </c>
      <c r="G2027">
        <v>0.02</v>
      </c>
      <c r="H2027" t="s">
        <v>19</v>
      </c>
      <c r="I2027" s="13">
        <v>318.25</v>
      </c>
      <c r="J2027">
        <v>37.94</v>
      </c>
      <c r="K2027">
        <v>5.08</v>
      </c>
      <c r="L2027" t="s">
        <v>272</v>
      </c>
      <c r="M2027" t="s">
        <v>258</v>
      </c>
      <c r="N2027" s="5" t="s">
        <v>258</v>
      </c>
      <c r="O2027" t="s">
        <v>28</v>
      </c>
      <c r="P2027" t="s">
        <v>21</v>
      </c>
      <c r="Q2027" t="s">
        <v>37</v>
      </c>
      <c r="R2027">
        <v>0.38</v>
      </c>
      <c r="S2027" s="1">
        <v>39947</v>
      </c>
      <c r="T2027" t="str">
        <f t="shared" si="63"/>
        <v>14-May-2009</v>
      </c>
    </row>
    <row r="2028" spans="1:20" x14ac:dyDescent="0.3">
      <c r="A2028">
        <v>5543</v>
      </c>
      <c r="B2028" s="1">
        <v>40445</v>
      </c>
      <c r="C2028" t="s">
        <v>38</v>
      </c>
      <c r="D2028" t="str">
        <f t="shared" si="62"/>
        <v>24-Sep-2010</v>
      </c>
      <c r="E2028">
        <v>15</v>
      </c>
      <c r="F2028" s="13">
        <v>703.54</v>
      </c>
      <c r="G2028">
        <v>0.04</v>
      </c>
      <c r="H2028" t="s">
        <v>19</v>
      </c>
      <c r="I2028" s="13">
        <v>138.46</v>
      </c>
      <c r="J2028">
        <v>48.58</v>
      </c>
      <c r="K2028">
        <v>3.99</v>
      </c>
      <c r="L2028" t="s">
        <v>276</v>
      </c>
      <c r="M2028" t="s">
        <v>258</v>
      </c>
      <c r="N2028" s="5" t="s">
        <v>258</v>
      </c>
      <c r="O2028" t="s">
        <v>28</v>
      </c>
      <c r="P2028" t="s">
        <v>21</v>
      </c>
      <c r="Q2028" t="s">
        <v>25</v>
      </c>
      <c r="R2028">
        <v>0.56000000000000005</v>
      </c>
      <c r="S2028" s="1">
        <v>40447</v>
      </c>
      <c r="T2028" t="str">
        <f t="shared" si="63"/>
        <v>26-Sep-2010</v>
      </c>
    </row>
    <row r="2029" spans="1:20" x14ac:dyDescent="0.3">
      <c r="A2029">
        <v>3877</v>
      </c>
      <c r="B2029" s="1">
        <v>40318</v>
      </c>
      <c r="C2029" t="s">
        <v>18</v>
      </c>
      <c r="D2029" t="str">
        <f t="shared" si="62"/>
        <v>20-May-2010</v>
      </c>
      <c r="E2029">
        <v>14</v>
      </c>
      <c r="F2029" s="13">
        <v>700.46</v>
      </c>
      <c r="G2029">
        <v>0.02</v>
      </c>
      <c r="H2029" t="s">
        <v>35</v>
      </c>
      <c r="I2029" s="13">
        <v>254.31</v>
      </c>
      <c r="J2029">
        <v>48.04</v>
      </c>
      <c r="K2029">
        <v>7.23</v>
      </c>
      <c r="L2029" t="s">
        <v>237</v>
      </c>
      <c r="M2029" t="s">
        <v>258</v>
      </c>
      <c r="N2029" s="5" t="s">
        <v>258</v>
      </c>
      <c r="O2029" t="s">
        <v>28</v>
      </c>
      <c r="P2029" t="s">
        <v>21</v>
      </c>
      <c r="Q2029" t="s">
        <v>37</v>
      </c>
      <c r="R2029">
        <v>0.37</v>
      </c>
      <c r="S2029" s="1">
        <v>40318</v>
      </c>
      <c r="T2029" t="str">
        <f t="shared" si="63"/>
        <v>20-May-2010</v>
      </c>
    </row>
    <row r="2030" spans="1:20" x14ac:dyDescent="0.3">
      <c r="A2030">
        <v>46787</v>
      </c>
      <c r="B2030" s="1">
        <v>40997</v>
      </c>
      <c r="C2030" t="s">
        <v>38</v>
      </c>
      <c r="D2030" t="str">
        <f t="shared" si="62"/>
        <v>29-Mar-2012</v>
      </c>
      <c r="E2030">
        <v>32</v>
      </c>
      <c r="F2030" s="13">
        <v>693.17</v>
      </c>
      <c r="G2030">
        <v>7.0000000000000007E-2</v>
      </c>
      <c r="H2030" t="s">
        <v>19</v>
      </c>
      <c r="I2030" s="13">
        <v>-59.83</v>
      </c>
      <c r="J2030">
        <v>22.99</v>
      </c>
      <c r="K2030">
        <v>8.99</v>
      </c>
      <c r="L2030" t="s">
        <v>273</v>
      </c>
      <c r="M2030" t="s">
        <v>258</v>
      </c>
      <c r="N2030" s="5" t="s">
        <v>258</v>
      </c>
      <c r="O2030" t="s">
        <v>28</v>
      </c>
      <c r="P2030" t="s">
        <v>21</v>
      </c>
      <c r="Q2030" t="s">
        <v>50</v>
      </c>
      <c r="R2030">
        <v>0.56999999999999995</v>
      </c>
      <c r="S2030" s="1">
        <v>40999</v>
      </c>
      <c r="T2030" t="str">
        <f t="shared" si="63"/>
        <v>31-Mar-2012</v>
      </c>
    </row>
    <row r="2031" spans="1:20" x14ac:dyDescent="0.3">
      <c r="A2031">
        <v>44196</v>
      </c>
      <c r="B2031" s="1">
        <v>40047</v>
      </c>
      <c r="C2031" t="s">
        <v>31</v>
      </c>
      <c r="D2031" t="str">
        <f t="shared" si="62"/>
        <v>22-Aug-2009</v>
      </c>
      <c r="E2031">
        <v>12</v>
      </c>
      <c r="F2031" s="13">
        <v>653.78599999999994</v>
      </c>
      <c r="G2031">
        <v>0.09</v>
      </c>
      <c r="H2031" t="s">
        <v>19</v>
      </c>
      <c r="I2031" s="13">
        <v>-83.47</v>
      </c>
      <c r="J2031">
        <v>65.989999999999995</v>
      </c>
      <c r="K2031">
        <v>5.31</v>
      </c>
      <c r="L2031" t="s">
        <v>265</v>
      </c>
      <c r="M2031" t="s">
        <v>258</v>
      </c>
      <c r="N2031" s="5" t="s">
        <v>258</v>
      </c>
      <c r="O2031" t="s">
        <v>28</v>
      </c>
      <c r="P2031" t="s">
        <v>29</v>
      </c>
      <c r="Q2031" t="s">
        <v>30</v>
      </c>
      <c r="R2031">
        <v>0.56999999999999995</v>
      </c>
      <c r="S2031" s="1">
        <v>40048</v>
      </c>
      <c r="T2031" t="str">
        <f t="shared" si="63"/>
        <v>23-Aug-2009</v>
      </c>
    </row>
    <row r="2032" spans="1:20" x14ac:dyDescent="0.3">
      <c r="A2032">
        <v>16640</v>
      </c>
      <c r="B2032" s="1">
        <v>40386</v>
      </c>
      <c r="C2032" t="s">
        <v>18</v>
      </c>
      <c r="D2032" t="str">
        <f t="shared" si="62"/>
        <v>27-Jul-2010</v>
      </c>
      <c r="E2032">
        <v>6</v>
      </c>
      <c r="F2032" s="13">
        <v>652.33000000000004</v>
      </c>
      <c r="G2032">
        <v>0.09</v>
      </c>
      <c r="H2032" t="s">
        <v>24</v>
      </c>
      <c r="I2032" s="13">
        <v>-227.51</v>
      </c>
      <c r="J2032">
        <v>113.98</v>
      </c>
      <c r="K2032">
        <v>30</v>
      </c>
      <c r="L2032" t="s">
        <v>279</v>
      </c>
      <c r="M2032" t="s">
        <v>258</v>
      </c>
      <c r="N2032" s="5" t="s">
        <v>258</v>
      </c>
      <c r="O2032" t="s">
        <v>28</v>
      </c>
      <c r="P2032" t="s">
        <v>32</v>
      </c>
      <c r="Q2032" t="s">
        <v>56</v>
      </c>
      <c r="R2032">
        <v>0.69</v>
      </c>
      <c r="S2032" s="1">
        <v>40388</v>
      </c>
      <c r="T2032" t="str">
        <f t="shared" si="63"/>
        <v>29-Jul-2010</v>
      </c>
    </row>
    <row r="2033" spans="1:20" x14ac:dyDescent="0.3">
      <c r="A2033">
        <v>54020</v>
      </c>
      <c r="B2033" s="1">
        <v>40939</v>
      </c>
      <c r="C2033" t="s">
        <v>18</v>
      </c>
      <c r="D2033" t="str">
        <f t="shared" si="62"/>
        <v>31-Jan-2012</v>
      </c>
      <c r="E2033">
        <v>35</v>
      </c>
      <c r="F2033" s="13">
        <v>648.58000000000004</v>
      </c>
      <c r="G2033">
        <v>0.05</v>
      </c>
      <c r="H2033" t="s">
        <v>19</v>
      </c>
      <c r="I2033" s="13">
        <v>182.63</v>
      </c>
      <c r="J2033">
        <v>18.97</v>
      </c>
      <c r="K2033">
        <v>5.21</v>
      </c>
      <c r="L2033" t="s">
        <v>277</v>
      </c>
      <c r="M2033" t="s">
        <v>258</v>
      </c>
      <c r="N2033" s="5" t="s">
        <v>258</v>
      </c>
      <c r="O2033" t="s">
        <v>28</v>
      </c>
      <c r="P2033" t="s">
        <v>21</v>
      </c>
      <c r="Q2033" t="s">
        <v>37</v>
      </c>
      <c r="R2033">
        <v>0.37</v>
      </c>
      <c r="S2033" s="1">
        <v>40943</v>
      </c>
      <c r="T2033" t="str">
        <f t="shared" si="63"/>
        <v>04-Feb-2012</v>
      </c>
    </row>
    <row r="2034" spans="1:20" x14ac:dyDescent="0.3">
      <c r="A2034">
        <v>614</v>
      </c>
      <c r="B2034" s="1">
        <v>41243</v>
      </c>
      <c r="C2034" t="s">
        <v>23</v>
      </c>
      <c r="D2034" t="str">
        <f t="shared" si="62"/>
        <v>30-Nov-2012</v>
      </c>
      <c r="E2034">
        <v>41</v>
      </c>
      <c r="F2034" s="13">
        <v>628.22</v>
      </c>
      <c r="G2034">
        <v>0</v>
      </c>
      <c r="H2034" t="s">
        <v>19</v>
      </c>
      <c r="I2034" s="13">
        <v>163.81</v>
      </c>
      <c r="J2034">
        <v>14.34</v>
      </c>
      <c r="K2034">
        <v>5</v>
      </c>
      <c r="L2034" t="s">
        <v>197</v>
      </c>
      <c r="M2034" t="s">
        <v>258</v>
      </c>
      <c r="N2034" s="5" t="s">
        <v>258</v>
      </c>
      <c r="O2034" t="s">
        <v>28</v>
      </c>
      <c r="P2034" t="s">
        <v>32</v>
      </c>
      <c r="Q2034" t="s">
        <v>33</v>
      </c>
      <c r="R2034">
        <v>0.49</v>
      </c>
      <c r="S2034" s="1">
        <v>41245</v>
      </c>
      <c r="T2034" t="str">
        <f t="shared" si="63"/>
        <v>02-Dec-2012</v>
      </c>
    </row>
    <row r="2035" spans="1:20" x14ac:dyDescent="0.3">
      <c r="A2035">
        <v>21344</v>
      </c>
      <c r="B2035" s="1">
        <v>41252</v>
      </c>
      <c r="C2035" t="s">
        <v>18</v>
      </c>
      <c r="D2035" t="str">
        <f t="shared" si="62"/>
        <v>09-Dec-2012</v>
      </c>
      <c r="E2035">
        <v>29</v>
      </c>
      <c r="F2035" s="13">
        <v>587.20000000000005</v>
      </c>
      <c r="G2035">
        <v>0.08</v>
      </c>
      <c r="H2035" t="s">
        <v>19</v>
      </c>
      <c r="I2035" s="13">
        <v>134.25</v>
      </c>
      <c r="J2035">
        <v>20.89</v>
      </c>
      <c r="K2035">
        <v>1.99</v>
      </c>
      <c r="L2035" t="s">
        <v>224</v>
      </c>
      <c r="M2035" t="s">
        <v>258</v>
      </c>
      <c r="N2035" s="5" t="s">
        <v>258</v>
      </c>
      <c r="O2035" t="s">
        <v>28</v>
      </c>
      <c r="P2035" t="s">
        <v>29</v>
      </c>
      <c r="Q2035" t="s">
        <v>41</v>
      </c>
      <c r="R2035">
        <v>0.48</v>
      </c>
      <c r="S2035" s="1">
        <v>41256</v>
      </c>
      <c r="T2035" t="str">
        <f t="shared" si="63"/>
        <v>13-Dec-2012</v>
      </c>
    </row>
    <row r="2036" spans="1:20" x14ac:dyDescent="0.3">
      <c r="A2036">
        <v>18816</v>
      </c>
      <c r="B2036" s="1">
        <v>39868</v>
      </c>
      <c r="C2036" t="s">
        <v>43</v>
      </c>
      <c r="D2036" t="str">
        <f t="shared" si="62"/>
        <v>24-Feb-2009</v>
      </c>
      <c r="E2036">
        <v>12</v>
      </c>
      <c r="F2036" s="13">
        <v>580.46</v>
      </c>
      <c r="G2036">
        <v>0.03</v>
      </c>
      <c r="H2036" t="s">
        <v>35</v>
      </c>
      <c r="I2036" s="13">
        <v>108.96</v>
      </c>
      <c r="J2036">
        <v>48.58</v>
      </c>
      <c r="K2036">
        <v>3.99</v>
      </c>
      <c r="L2036" t="s">
        <v>81</v>
      </c>
      <c r="M2036" t="s">
        <v>258</v>
      </c>
      <c r="N2036" s="5" t="s">
        <v>258</v>
      </c>
      <c r="O2036" t="s">
        <v>28</v>
      </c>
      <c r="P2036" t="s">
        <v>21</v>
      </c>
      <c r="Q2036" t="s">
        <v>25</v>
      </c>
      <c r="R2036">
        <v>0.56000000000000005</v>
      </c>
      <c r="S2036" s="1">
        <v>39870</v>
      </c>
      <c r="T2036" t="str">
        <f t="shared" si="63"/>
        <v>26-Feb-2009</v>
      </c>
    </row>
    <row r="2037" spans="1:20" x14ac:dyDescent="0.3">
      <c r="A2037">
        <v>43877</v>
      </c>
      <c r="B2037" s="1">
        <v>40252</v>
      </c>
      <c r="C2037" t="s">
        <v>18</v>
      </c>
      <c r="D2037" t="str">
        <f t="shared" si="62"/>
        <v>15-Mar-2010</v>
      </c>
      <c r="E2037">
        <v>36</v>
      </c>
      <c r="F2037" s="13">
        <v>580.04</v>
      </c>
      <c r="G2037">
        <v>0.09</v>
      </c>
      <c r="H2037" t="s">
        <v>35</v>
      </c>
      <c r="I2037" s="13">
        <v>-31.86</v>
      </c>
      <c r="J2037">
        <v>16.91</v>
      </c>
      <c r="K2037">
        <v>6.25</v>
      </c>
      <c r="L2037" t="s">
        <v>272</v>
      </c>
      <c r="M2037" t="s">
        <v>258</v>
      </c>
      <c r="N2037" s="5" t="s">
        <v>258</v>
      </c>
      <c r="O2037" t="s">
        <v>28</v>
      </c>
      <c r="P2037" t="s">
        <v>21</v>
      </c>
      <c r="Q2037" t="s">
        <v>22</v>
      </c>
      <c r="R2037">
        <v>0.57999999999999996</v>
      </c>
      <c r="S2037" s="1">
        <v>40252</v>
      </c>
      <c r="T2037" t="str">
        <f t="shared" si="63"/>
        <v>15-Mar-2010</v>
      </c>
    </row>
    <row r="2038" spans="1:20" x14ac:dyDescent="0.3">
      <c r="A2038">
        <v>5155</v>
      </c>
      <c r="B2038" s="1">
        <v>39975</v>
      </c>
      <c r="C2038" t="s">
        <v>23</v>
      </c>
      <c r="D2038" t="str">
        <f t="shared" si="62"/>
        <v>11-Jun-2009</v>
      </c>
      <c r="E2038">
        <v>14</v>
      </c>
      <c r="F2038" s="13">
        <v>569.21</v>
      </c>
      <c r="G2038">
        <v>0.01</v>
      </c>
      <c r="H2038" t="s">
        <v>19</v>
      </c>
      <c r="I2038" s="13">
        <v>-38.51</v>
      </c>
      <c r="J2038">
        <v>39.979999999999997</v>
      </c>
      <c r="K2038">
        <v>4</v>
      </c>
      <c r="L2038" t="s">
        <v>262</v>
      </c>
      <c r="M2038" t="s">
        <v>258</v>
      </c>
      <c r="N2038" s="5" t="s">
        <v>258</v>
      </c>
      <c r="O2038" t="s">
        <v>28</v>
      </c>
      <c r="P2038" t="s">
        <v>29</v>
      </c>
      <c r="Q2038" t="s">
        <v>41</v>
      </c>
      <c r="R2038">
        <v>0.7</v>
      </c>
      <c r="S2038" s="1">
        <v>39976</v>
      </c>
      <c r="T2038" t="str">
        <f t="shared" si="63"/>
        <v>12-Jun-2009</v>
      </c>
    </row>
    <row r="2039" spans="1:20" x14ac:dyDescent="0.3">
      <c r="A2039">
        <v>738</v>
      </c>
      <c r="B2039" s="1">
        <v>40238</v>
      </c>
      <c r="C2039" t="s">
        <v>31</v>
      </c>
      <c r="D2039" t="str">
        <f t="shared" si="62"/>
        <v>01-Mar-2010</v>
      </c>
      <c r="E2039">
        <v>7</v>
      </c>
      <c r="F2039" s="13">
        <v>560.51</v>
      </c>
      <c r="G2039">
        <v>0.04</v>
      </c>
      <c r="H2039" t="s">
        <v>19</v>
      </c>
      <c r="I2039" s="13">
        <v>32.6</v>
      </c>
      <c r="J2039">
        <v>80.98</v>
      </c>
      <c r="K2039">
        <v>4.5</v>
      </c>
      <c r="L2039" t="s">
        <v>273</v>
      </c>
      <c r="M2039" t="s">
        <v>258</v>
      </c>
      <c r="N2039" s="5" t="s">
        <v>258</v>
      </c>
      <c r="O2039" t="s">
        <v>28</v>
      </c>
      <c r="P2039" t="s">
        <v>21</v>
      </c>
      <c r="Q2039" t="s">
        <v>25</v>
      </c>
      <c r="R2039">
        <v>0.59</v>
      </c>
      <c r="S2039" s="1">
        <v>40240</v>
      </c>
      <c r="T2039" t="str">
        <f t="shared" si="63"/>
        <v>03-Mar-2010</v>
      </c>
    </row>
    <row r="2040" spans="1:20" x14ac:dyDescent="0.3">
      <c r="A2040">
        <v>44487</v>
      </c>
      <c r="B2040" s="1">
        <v>40067</v>
      </c>
      <c r="C2040" t="s">
        <v>43</v>
      </c>
      <c r="D2040" t="str">
        <f t="shared" si="62"/>
        <v>11-Sep-2009</v>
      </c>
      <c r="E2040">
        <v>37</v>
      </c>
      <c r="F2040" s="13">
        <v>558.77</v>
      </c>
      <c r="G2040">
        <v>0.03</v>
      </c>
      <c r="H2040" t="s">
        <v>19</v>
      </c>
      <c r="I2040" s="13">
        <v>-92.87</v>
      </c>
      <c r="J2040">
        <v>15.14</v>
      </c>
      <c r="K2040">
        <v>4.53</v>
      </c>
      <c r="L2040" t="s">
        <v>263</v>
      </c>
      <c r="M2040" t="s">
        <v>258</v>
      </c>
      <c r="N2040" s="5" t="s">
        <v>258</v>
      </c>
      <c r="O2040" t="s">
        <v>28</v>
      </c>
      <c r="P2040" t="s">
        <v>21</v>
      </c>
      <c r="Q2040" t="s">
        <v>22</v>
      </c>
      <c r="R2040">
        <v>0.81</v>
      </c>
      <c r="S2040" s="1">
        <v>40069</v>
      </c>
      <c r="T2040" t="str">
        <f t="shared" si="63"/>
        <v>13-Sep-2009</v>
      </c>
    </row>
    <row r="2041" spans="1:20" x14ac:dyDescent="0.3">
      <c r="A2041">
        <v>7846</v>
      </c>
      <c r="B2041" s="1">
        <v>40719</v>
      </c>
      <c r="C2041" t="s">
        <v>18</v>
      </c>
      <c r="D2041" t="str">
        <f t="shared" si="62"/>
        <v>25-Jun-2011</v>
      </c>
      <c r="E2041">
        <v>20</v>
      </c>
      <c r="F2041" s="13">
        <v>552.87</v>
      </c>
      <c r="G2041">
        <v>0.01</v>
      </c>
      <c r="H2041" t="s">
        <v>19</v>
      </c>
      <c r="I2041" s="13">
        <v>-64.819999999999993</v>
      </c>
      <c r="J2041">
        <v>26.31</v>
      </c>
      <c r="K2041">
        <v>5.89</v>
      </c>
      <c r="L2041" t="s">
        <v>197</v>
      </c>
      <c r="M2041" t="s">
        <v>258</v>
      </c>
      <c r="N2041" s="5" t="s">
        <v>258</v>
      </c>
      <c r="O2041" t="s">
        <v>28</v>
      </c>
      <c r="P2041" t="s">
        <v>29</v>
      </c>
      <c r="Q2041" t="s">
        <v>41</v>
      </c>
      <c r="R2041">
        <v>0.75</v>
      </c>
      <c r="S2041" s="1">
        <v>40726</v>
      </c>
      <c r="T2041" t="str">
        <f t="shared" si="63"/>
        <v>02-Jul-2011</v>
      </c>
    </row>
    <row r="2042" spans="1:20" x14ac:dyDescent="0.3">
      <c r="A2042">
        <v>16036</v>
      </c>
      <c r="B2042" s="1">
        <v>40913</v>
      </c>
      <c r="C2042" t="s">
        <v>38</v>
      </c>
      <c r="D2042" t="str">
        <f t="shared" si="62"/>
        <v>05-Jan-2012</v>
      </c>
      <c r="E2042">
        <v>33</v>
      </c>
      <c r="F2042" s="13">
        <v>550.92999999999995</v>
      </c>
      <c r="G2042">
        <v>0.1</v>
      </c>
      <c r="H2042" t="s">
        <v>19</v>
      </c>
      <c r="I2042" s="13">
        <v>-141.6</v>
      </c>
      <c r="J2042">
        <v>17.7</v>
      </c>
      <c r="K2042">
        <v>9.4700000000000006</v>
      </c>
      <c r="L2042" t="s">
        <v>225</v>
      </c>
      <c r="M2042" t="s">
        <v>258</v>
      </c>
      <c r="N2042" s="5" t="s">
        <v>258</v>
      </c>
      <c r="O2042" t="s">
        <v>28</v>
      </c>
      <c r="P2042" t="s">
        <v>21</v>
      </c>
      <c r="Q2042" t="s">
        <v>22</v>
      </c>
      <c r="R2042">
        <v>0.59</v>
      </c>
      <c r="S2042" s="1">
        <v>40914</v>
      </c>
      <c r="T2042" t="str">
        <f t="shared" si="63"/>
        <v>06-Jan-2012</v>
      </c>
    </row>
    <row r="2043" spans="1:20" x14ac:dyDescent="0.3">
      <c r="A2043">
        <v>31040</v>
      </c>
      <c r="B2043" s="1">
        <v>40435</v>
      </c>
      <c r="C2043" t="s">
        <v>31</v>
      </c>
      <c r="D2043" t="str">
        <f t="shared" si="62"/>
        <v>14-Sep-2010</v>
      </c>
      <c r="E2043">
        <v>19</v>
      </c>
      <c r="F2043" s="13">
        <v>545.71</v>
      </c>
      <c r="G2043">
        <v>0.1</v>
      </c>
      <c r="H2043" t="s">
        <v>19</v>
      </c>
      <c r="I2043" s="13">
        <v>-35.47</v>
      </c>
      <c r="J2043">
        <v>29.74</v>
      </c>
      <c r="K2043">
        <v>6.64</v>
      </c>
      <c r="L2043" t="s">
        <v>273</v>
      </c>
      <c r="M2043" t="s">
        <v>258</v>
      </c>
      <c r="N2043" s="5" t="s">
        <v>258</v>
      </c>
      <c r="O2043" t="s">
        <v>28</v>
      </c>
      <c r="P2043" t="s">
        <v>21</v>
      </c>
      <c r="Q2043" t="s">
        <v>22</v>
      </c>
      <c r="R2043">
        <v>0.7</v>
      </c>
      <c r="S2043" s="1">
        <v>40437</v>
      </c>
      <c r="T2043" t="str">
        <f t="shared" si="63"/>
        <v>16-Sep-2010</v>
      </c>
    </row>
    <row r="2044" spans="1:20" x14ac:dyDescent="0.3">
      <c r="A2044">
        <v>13156</v>
      </c>
      <c r="B2044" s="1">
        <v>40821</v>
      </c>
      <c r="C2044" t="s">
        <v>18</v>
      </c>
      <c r="D2044" t="str">
        <f t="shared" si="62"/>
        <v>05-Oct-2011</v>
      </c>
      <c r="E2044">
        <v>12</v>
      </c>
      <c r="F2044" s="13">
        <v>502.01</v>
      </c>
      <c r="G2044">
        <v>0.04</v>
      </c>
      <c r="H2044" t="s">
        <v>19</v>
      </c>
      <c r="I2044" s="13">
        <v>159.72999999999999</v>
      </c>
      <c r="J2044">
        <v>39.979999999999997</v>
      </c>
      <c r="K2044">
        <v>9.1999999999999993</v>
      </c>
      <c r="L2044" t="s">
        <v>277</v>
      </c>
      <c r="M2044" t="s">
        <v>258</v>
      </c>
      <c r="N2044" s="5" t="s">
        <v>258</v>
      </c>
      <c r="O2044" t="s">
        <v>28</v>
      </c>
      <c r="P2044" t="s">
        <v>32</v>
      </c>
      <c r="Q2044" t="s">
        <v>33</v>
      </c>
      <c r="R2044">
        <v>0.65</v>
      </c>
      <c r="S2044" s="1">
        <v>40826</v>
      </c>
      <c r="T2044" t="str">
        <f t="shared" si="63"/>
        <v>10-Oct-2011</v>
      </c>
    </row>
    <row r="2045" spans="1:20" x14ac:dyDescent="0.3">
      <c r="A2045">
        <v>4647</v>
      </c>
      <c r="B2045" s="1">
        <v>39946</v>
      </c>
      <c r="C2045" t="s">
        <v>38</v>
      </c>
      <c r="D2045" t="str">
        <f t="shared" si="62"/>
        <v>13-May-2009</v>
      </c>
      <c r="E2045">
        <v>34</v>
      </c>
      <c r="F2045" s="13">
        <v>482.93</v>
      </c>
      <c r="G2045">
        <v>0.06</v>
      </c>
      <c r="H2045" t="s">
        <v>19</v>
      </c>
      <c r="I2045" s="13">
        <v>-67.59</v>
      </c>
      <c r="J2045">
        <v>13.9</v>
      </c>
      <c r="K2045">
        <v>7.59</v>
      </c>
      <c r="L2045" t="s">
        <v>218</v>
      </c>
      <c r="M2045" t="s">
        <v>258</v>
      </c>
      <c r="N2045" s="5" t="s">
        <v>258</v>
      </c>
      <c r="O2045" t="s">
        <v>28</v>
      </c>
      <c r="P2045" t="s">
        <v>21</v>
      </c>
      <c r="Q2045" t="s">
        <v>67</v>
      </c>
      <c r="R2045">
        <v>0.56000000000000005</v>
      </c>
      <c r="S2045" s="1">
        <v>39947</v>
      </c>
      <c r="T2045" t="str">
        <f t="shared" si="63"/>
        <v>14-May-2009</v>
      </c>
    </row>
    <row r="2046" spans="1:20" x14ac:dyDescent="0.3">
      <c r="A2046">
        <v>42918</v>
      </c>
      <c r="B2046" s="1">
        <v>40685</v>
      </c>
      <c r="C2046" t="s">
        <v>23</v>
      </c>
      <c r="D2046" t="str">
        <f t="shared" si="62"/>
        <v>22-May-2011</v>
      </c>
      <c r="E2046">
        <v>38</v>
      </c>
      <c r="F2046" s="13">
        <v>468.95</v>
      </c>
      <c r="G2046">
        <v>0.02</v>
      </c>
      <c r="H2046" t="s">
        <v>35</v>
      </c>
      <c r="I2046" s="13">
        <v>-2.38</v>
      </c>
      <c r="J2046">
        <v>11.5</v>
      </c>
      <c r="K2046">
        <v>7.19</v>
      </c>
      <c r="L2046" t="s">
        <v>100</v>
      </c>
      <c r="M2046" t="s">
        <v>258</v>
      </c>
      <c r="N2046" s="5" t="s">
        <v>258</v>
      </c>
      <c r="O2046" t="s">
        <v>28</v>
      </c>
      <c r="P2046" t="s">
        <v>21</v>
      </c>
      <c r="Q2046" t="s">
        <v>26</v>
      </c>
      <c r="R2046">
        <v>0.4</v>
      </c>
      <c r="S2046" s="1">
        <v>40687</v>
      </c>
      <c r="T2046" t="str">
        <f t="shared" si="63"/>
        <v>24-May-2011</v>
      </c>
    </row>
    <row r="2047" spans="1:20" x14ac:dyDescent="0.3">
      <c r="A2047">
        <v>35492</v>
      </c>
      <c r="B2047" s="1">
        <v>40949</v>
      </c>
      <c r="C2047" t="s">
        <v>38</v>
      </c>
      <c r="D2047" t="str">
        <f t="shared" si="62"/>
        <v>10-Feb-2012</v>
      </c>
      <c r="E2047">
        <v>36</v>
      </c>
      <c r="F2047" s="13">
        <v>455.93</v>
      </c>
      <c r="G2047">
        <v>0.02</v>
      </c>
      <c r="H2047" t="s">
        <v>35</v>
      </c>
      <c r="I2047" s="13">
        <v>83.51</v>
      </c>
      <c r="J2047">
        <v>12.64</v>
      </c>
      <c r="K2047">
        <v>4.9800000000000004</v>
      </c>
      <c r="L2047" t="s">
        <v>211</v>
      </c>
      <c r="M2047" t="s">
        <v>258</v>
      </c>
      <c r="N2047" s="5" t="s">
        <v>258</v>
      </c>
      <c r="O2047" t="s">
        <v>28</v>
      </c>
      <c r="P2047" t="s">
        <v>32</v>
      </c>
      <c r="Q2047" t="s">
        <v>33</v>
      </c>
      <c r="R2047">
        <v>0.48</v>
      </c>
      <c r="S2047" s="1">
        <v>40951</v>
      </c>
      <c r="T2047" t="str">
        <f t="shared" si="63"/>
        <v>12-Feb-2012</v>
      </c>
    </row>
    <row r="2048" spans="1:20" x14ac:dyDescent="0.3">
      <c r="A2048">
        <v>19811</v>
      </c>
      <c r="B2048" s="1">
        <v>40763</v>
      </c>
      <c r="C2048" t="s">
        <v>18</v>
      </c>
      <c r="D2048" t="str">
        <f t="shared" si="62"/>
        <v>08-Aug-2011</v>
      </c>
      <c r="E2048">
        <v>49</v>
      </c>
      <c r="F2048" s="13">
        <v>450.66</v>
      </c>
      <c r="G2048">
        <v>0.01</v>
      </c>
      <c r="H2048" t="s">
        <v>35</v>
      </c>
      <c r="I2048" s="13">
        <v>-115.1</v>
      </c>
      <c r="J2048">
        <v>8.57</v>
      </c>
      <c r="K2048">
        <v>6.14</v>
      </c>
      <c r="L2048" t="s">
        <v>281</v>
      </c>
      <c r="M2048" t="s">
        <v>258</v>
      </c>
      <c r="N2048" s="5" t="s">
        <v>258</v>
      </c>
      <c r="O2048" t="s">
        <v>28</v>
      </c>
      <c r="P2048" t="s">
        <v>21</v>
      </c>
      <c r="Q2048" t="s">
        <v>67</v>
      </c>
      <c r="R2048">
        <v>0.59</v>
      </c>
      <c r="S2048" s="1">
        <v>40768</v>
      </c>
      <c r="T2048" t="str">
        <f t="shared" si="63"/>
        <v>13-Aug-2011</v>
      </c>
    </row>
    <row r="2049" spans="1:20" x14ac:dyDescent="0.3">
      <c r="A2049">
        <v>32065</v>
      </c>
      <c r="B2049" s="1">
        <v>40879</v>
      </c>
      <c r="C2049" t="s">
        <v>38</v>
      </c>
      <c r="D2049" t="str">
        <f t="shared" si="62"/>
        <v>02-Dec-2011</v>
      </c>
      <c r="E2049">
        <v>25</v>
      </c>
      <c r="F2049" s="13">
        <v>450.28</v>
      </c>
      <c r="G2049">
        <v>0.09</v>
      </c>
      <c r="H2049" t="s">
        <v>19</v>
      </c>
      <c r="I2049" s="13">
        <v>-12.35</v>
      </c>
      <c r="J2049">
        <v>17.98</v>
      </c>
      <c r="K2049">
        <v>8.51</v>
      </c>
      <c r="L2049" t="s">
        <v>280</v>
      </c>
      <c r="M2049" t="s">
        <v>258</v>
      </c>
      <c r="N2049" s="5" t="s">
        <v>258</v>
      </c>
      <c r="O2049" t="s">
        <v>28</v>
      </c>
      <c r="P2049" t="s">
        <v>29</v>
      </c>
      <c r="Q2049" t="s">
        <v>74</v>
      </c>
      <c r="R2049">
        <v>0.4</v>
      </c>
      <c r="S2049" s="1">
        <v>40880</v>
      </c>
      <c r="T2049" t="str">
        <f t="shared" si="63"/>
        <v>03-Dec-2011</v>
      </c>
    </row>
    <row r="2050" spans="1:20" x14ac:dyDescent="0.3">
      <c r="A2050">
        <v>37893</v>
      </c>
      <c r="B2050" s="1">
        <v>40871</v>
      </c>
      <c r="C2050" t="s">
        <v>31</v>
      </c>
      <c r="D2050" t="str">
        <f t="shared" ref="D2050:D2113" si="64">TEXT(B2050, "dd-mmm-yyyy" )</f>
        <v>24-Nov-2011</v>
      </c>
      <c r="E2050">
        <v>14</v>
      </c>
      <c r="F2050" s="13">
        <v>436.78</v>
      </c>
      <c r="G2050">
        <v>0.04</v>
      </c>
      <c r="H2050" t="s">
        <v>19</v>
      </c>
      <c r="I2050" s="13">
        <v>25.69</v>
      </c>
      <c r="J2050">
        <v>29.99</v>
      </c>
      <c r="K2050">
        <v>5.5</v>
      </c>
      <c r="L2050" t="s">
        <v>270</v>
      </c>
      <c r="M2050" t="s">
        <v>258</v>
      </c>
      <c r="N2050" s="5" t="s">
        <v>258</v>
      </c>
      <c r="O2050" t="s">
        <v>28</v>
      </c>
      <c r="P2050" t="s">
        <v>29</v>
      </c>
      <c r="Q2050" t="s">
        <v>41</v>
      </c>
      <c r="R2050">
        <v>0.51</v>
      </c>
      <c r="S2050" s="1">
        <v>40872</v>
      </c>
      <c r="T2050" t="str">
        <f t="shared" ref="T2050:T2113" si="65">TEXT(S2050, "dd-mmm-yyyy")</f>
        <v>25-Nov-2011</v>
      </c>
    </row>
    <row r="2051" spans="1:20" x14ac:dyDescent="0.3">
      <c r="A2051">
        <v>25927</v>
      </c>
      <c r="B2051" s="1">
        <v>39925</v>
      </c>
      <c r="C2051" t="s">
        <v>38</v>
      </c>
      <c r="D2051" t="str">
        <f t="shared" si="64"/>
        <v>22-Apr-2009</v>
      </c>
      <c r="E2051">
        <v>14</v>
      </c>
      <c r="F2051" s="13">
        <v>422.83</v>
      </c>
      <c r="G2051">
        <v>0.02</v>
      </c>
      <c r="H2051" t="s">
        <v>19</v>
      </c>
      <c r="I2051" s="13">
        <v>-21.06</v>
      </c>
      <c r="J2051">
        <v>29.74</v>
      </c>
      <c r="K2051">
        <v>6.64</v>
      </c>
      <c r="L2051" t="s">
        <v>116</v>
      </c>
      <c r="M2051" t="s">
        <v>258</v>
      </c>
      <c r="N2051" s="5" t="s">
        <v>258</v>
      </c>
      <c r="O2051" t="s">
        <v>28</v>
      </c>
      <c r="P2051" t="s">
        <v>21</v>
      </c>
      <c r="Q2051" t="s">
        <v>22</v>
      </c>
      <c r="R2051">
        <v>0.7</v>
      </c>
      <c r="S2051" s="1">
        <v>39925</v>
      </c>
      <c r="T2051" t="str">
        <f t="shared" si="65"/>
        <v>22-Apr-2009</v>
      </c>
    </row>
    <row r="2052" spans="1:20" x14ac:dyDescent="0.3">
      <c r="A2052">
        <v>35296</v>
      </c>
      <c r="B2052" s="1">
        <v>40623</v>
      </c>
      <c r="C2052" t="s">
        <v>18</v>
      </c>
      <c r="D2052" t="str">
        <f t="shared" si="64"/>
        <v>21-Mar-2011</v>
      </c>
      <c r="E2052">
        <v>7</v>
      </c>
      <c r="F2052" s="13">
        <v>407.8725</v>
      </c>
      <c r="G2052">
        <v>0.02</v>
      </c>
      <c r="H2052" t="s">
        <v>19</v>
      </c>
      <c r="I2052" s="13">
        <v>-165.63</v>
      </c>
      <c r="J2052">
        <v>65.989999999999995</v>
      </c>
      <c r="K2052">
        <v>3.99</v>
      </c>
      <c r="L2052" t="s">
        <v>241</v>
      </c>
      <c r="M2052" t="s">
        <v>258</v>
      </c>
      <c r="N2052" s="5" t="s">
        <v>258</v>
      </c>
      <c r="O2052" t="s">
        <v>28</v>
      </c>
      <c r="P2052" t="s">
        <v>29</v>
      </c>
      <c r="Q2052" t="s">
        <v>30</v>
      </c>
      <c r="R2052">
        <v>0.59</v>
      </c>
      <c r="S2052" s="1">
        <v>40625</v>
      </c>
      <c r="T2052" t="str">
        <f t="shared" si="65"/>
        <v>23-Mar-2011</v>
      </c>
    </row>
    <row r="2053" spans="1:20" x14ac:dyDescent="0.3">
      <c r="A2053">
        <v>51463</v>
      </c>
      <c r="B2053" s="1">
        <v>40894</v>
      </c>
      <c r="C2053" t="s">
        <v>18</v>
      </c>
      <c r="D2053" t="str">
        <f t="shared" si="64"/>
        <v>17-Dec-2011</v>
      </c>
      <c r="E2053">
        <v>7</v>
      </c>
      <c r="F2053" s="13">
        <v>405.33949999999999</v>
      </c>
      <c r="G2053">
        <v>0.01</v>
      </c>
      <c r="H2053" t="s">
        <v>35</v>
      </c>
      <c r="I2053" s="13">
        <v>-147.88</v>
      </c>
      <c r="J2053">
        <v>65.989999999999995</v>
      </c>
      <c r="K2053">
        <v>3.9</v>
      </c>
      <c r="L2053" t="s">
        <v>253</v>
      </c>
      <c r="M2053" t="s">
        <v>258</v>
      </c>
      <c r="N2053" s="5" t="s">
        <v>258</v>
      </c>
      <c r="O2053" t="s">
        <v>28</v>
      </c>
      <c r="P2053" t="s">
        <v>29</v>
      </c>
      <c r="Q2053" t="s">
        <v>30</v>
      </c>
      <c r="R2053">
        <v>0.55000000000000004</v>
      </c>
      <c r="S2053" s="1">
        <v>40894</v>
      </c>
      <c r="T2053" t="str">
        <f t="shared" si="65"/>
        <v>17-Dec-2011</v>
      </c>
    </row>
    <row r="2054" spans="1:20" x14ac:dyDescent="0.3">
      <c r="A2054">
        <v>20384</v>
      </c>
      <c r="B2054" s="1">
        <v>40841</v>
      </c>
      <c r="C2054" t="s">
        <v>18</v>
      </c>
      <c r="D2054" t="str">
        <f t="shared" si="64"/>
        <v>25-Oct-2011</v>
      </c>
      <c r="E2054">
        <v>30</v>
      </c>
      <c r="F2054" s="13">
        <v>396.6</v>
      </c>
      <c r="G2054">
        <v>0.08</v>
      </c>
      <c r="H2054" t="s">
        <v>19</v>
      </c>
      <c r="I2054" s="13">
        <v>-148.26</v>
      </c>
      <c r="J2054">
        <v>14.03</v>
      </c>
      <c r="K2054">
        <v>9.3699999999999992</v>
      </c>
      <c r="L2054" t="s">
        <v>281</v>
      </c>
      <c r="M2054" t="s">
        <v>258</v>
      </c>
      <c r="N2054" s="5" t="s">
        <v>258</v>
      </c>
      <c r="O2054" t="s">
        <v>28</v>
      </c>
      <c r="P2054" t="s">
        <v>21</v>
      </c>
      <c r="Q2054" t="s">
        <v>22</v>
      </c>
      <c r="R2054">
        <v>0.56000000000000005</v>
      </c>
      <c r="S2054" s="1">
        <v>40848</v>
      </c>
      <c r="T2054" t="str">
        <f t="shared" si="65"/>
        <v>01-Nov-2011</v>
      </c>
    </row>
    <row r="2055" spans="1:20" x14ac:dyDescent="0.3">
      <c r="A2055">
        <v>56291</v>
      </c>
      <c r="B2055" s="1">
        <v>41169</v>
      </c>
      <c r="C2055" t="s">
        <v>31</v>
      </c>
      <c r="D2055" t="str">
        <f t="shared" si="64"/>
        <v>17-Sep-2012</v>
      </c>
      <c r="E2055">
        <v>25</v>
      </c>
      <c r="F2055" s="13">
        <v>377.37</v>
      </c>
      <c r="G2055">
        <v>0.04</v>
      </c>
      <c r="H2055" t="s">
        <v>19</v>
      </c>
      <c r="I2055" s="13">
        <v>151.4</v>
      </c>
      <c r="J2055">
        <v>15.04</v>
      </c>
      <c r="K2055">
        <v>1.97</v>
      </c>
      <c r="L2055" t="s">
        <v>286</v>
      </c>
      <c r="M2055" t="s">
        <v>258</v>
      </c>
      <c r="N2055" s="5" t="s">
        <v>258</v>
      </c>
      <c r="O2055" t="s">
        <v>28</v>
      </c>
      <c r="P2055" t="s">
        <v>21</v>
      </c>
      <c r="Q2055" t="s">
        <v>37</v>
      </c>
      <c r="R2055">
        <v>0.39</v>
      </c>
      <c r="S2055" s="1">
        <v>41169</v>
      </c>
      <c r="T2055" t="str">
        <f t="shared" si="65"/>
        <v>17-Sep-2012</v>
      </c>
    </row>
    <row r="2056" spans="1:20" x14ac:dyDescent="0.3">
      <c r="A2056">
        <v>39238</v>
      </c>
      <c r="B2056" s="1">
        <v>40447</v>
      </c>
      <c r="C2056" t="s">
        <v>43</v>
      </c>
      <c r="D2056" t="str">
        <f t="shared" si="64"/>
        <v>26-Sep-2010</v>
      </c>
      <c r="E2056">
        <v>9</v>
      </c>
      <c r="F2056" s="13">
        <v>373.48</v>
      </c>
      <c r="G2056">
        <v>0.1</v>
      </c>
      <c r="H2056" t="s">
        <v>35</v>
      </c>
      <c r="I2056" s="13">
        <v>112.06</v>
      </c>
      <c r="J2056">
        <v>40.98</v>
      </c>
      <c r="K2056">
        <v>2.99</v>
      </c>
      <c r="L2056" t="s">
        <v>235</v>
      </c>
      <c r="M2056" t="s">
        <v>258</v>
      </c>
      <c r="N2056" s="5" t="s">
        <v>258</v>
      </c>
      <c r="O2056" t="s">
        <v>28</v>
      </c>
      <c r="P2056" t="s">
        <v>21</v>
      </c>
      <c r="Q2056" t="s">
        <v>26</v>
      </c>
      <c r="R2056">
        <v>0.36</v>
      </c>
      <c r="S2056" s="1">
        <v>40448</v>
      </c>
      <c r="T2056" t="str">
        <f t="shared" si="65"/>
        <v>27-Sep-2010</v>
      </c>
    </row>
    <row r="2057" spans="1:20" x14ac:dyDescent="0.3">
      <c r="A2057">
        <v>33154</v>
      </c>
      <c r="B2057" s="1">
        <v>40393</v>
      </c>
      <c r="C2057" t="s">
        <v>43</v>
      </c>
      <c r="D2057" t="str">
        <f t="shared" si="64"/>
        <v>03-Aug-2010</v>
      </c>
      <c r="E2057">
        <v>7</v>
      </c>
      <c r="F2057" s="13">
        <v>368.02449999999999</v>
      </c>
      <c r="G2057">
        <v>0.09</v>
      </c>
      <c r="H2057" t="s">
        <v>19</v>
      </c>
      <c r="I2057" s="13">
        <v>-218.81</v>
      </c>
      <c r="J2057">
        <v>65.989999999999995</v>
      </c>
      <c r="K2057">
        <v>4.2</v>
      </c>
      <c r="L2057" t="s">
        <v>225</v>
      </c>
      <c r="M2057" t="s">
        <v>258</v>
      </c>
      <c r="N2057" s="5" t="s">
        <v>258</v>
      </c>
      <c r="O2057" t="s">
        <v>28</v>
      </c>
      <c r="P2057" t="s">
        <v>29</v>
      </c>
      <c r="Q2057" t="s">
        <v>30</v>
      </c>
      <c r="R2057">
        <v>0.59</v>
      </c>
      <c r="S2057" s="1">
        <v>40396</v>
      </c>
      <c r="T2057" t="str">
        <f t="shared" si="65"/>
        <v>06-Aug-2010</v>
      </c>
    </row>
    <row r="2058" spans="1:20" x14ac:dyDescent="0.3">
      <c r="A2058">
        <v>17414</v>
      </c>
      <c r="B2058" s="1">
        <v>41089</v>
      </c>
      <c r="C2058" t="s">
        <v>23</v>
      </c>
      <c r="D2058" t="str">
        <f t="shared" si="64"/>
        <v>29-Jun-2012</v>
      </c>
      <c r="E2058">
        <v>32</v>
      </c>
      <c r="F2058" s="13">
        <v>347.93</v>
      </c>
      <c r="G2058">
        <v>0.1</v>
      </c>
      <c r="H2058" t="s">
        <v>19</v>
      </c>
      <c r="I2058" s="13">
        <v>34.29</v>
      </c>
      <c r="J2058">
        <v>11.34</v>
      </c>
      <c r="K2058">
        <v>5.01</v>
      </c>
      <c r="L2058" t="s">
        <v>278</v>
      </c>
      <c r="M2058" t="s">
        <v>258</v>
      </c>
      <c r="N2058" s="5" t="s">
        <v>258</v>
      </c>
      <c r="O2058" t="s">
        <v>28</v>
      </c>
      <c r="P2058" t="s">
        <v>21</v>
      </c>
      <c r="Q2058" t="s">
        <v>37</v>
      </c>
      <c r="R2058">
        <v>0.36</v>
      </c>
      <c r="S2058" s="1">
        <v>41091</v>
      </c>
      <c r="T2058" t="str">
        <f t="shared" si="65"/>
        <v>01-Jul-2012</v>
      </c>
    </row>
    <row r="2059" spans="1:20" x14ac:dyDescent="0.3">
      <c r="A2059">
        <v>10629</v>
      </c>
      <c r="B2059" s="1">
        <v>40067</v>
      </c>
      <c r="C2059" t="s">
        <v>43</v>
      </c>
      <c r="D2059" t="str">
        <f t="shared" si="64"/>
        <v>11-Sep-2009</v>
      </c>
      <c r="E2059">
        <v>39</v>
      </c>
      <c r="F2059" s="13">
        <v>341.55</v>
      </c>
      <c r="G2059">
        <v>0.06</v>
      </c>
      <c r="H2059" t="s">
        <v>19</v>
      </c>
      <c r="I2059" s="13">
        <v>-255.65</v>
      </c>
      <c r="J2059">
        <v>8.3699999999999992</v>
      </c>
      <c r="K2059">
        <v>10.16</v>
      </c>
      <c r="L2059" t="s">
        <v>263</v>
      </c>
      <c r="M2059" t="s">
        <v>258</v>
      </c>
      <c r="N2059" s="5" t="s">
        <v>258</v>
      </c>
      <c r="O2059" t="s">
        <v>28</v>
      </c>
      <c r="P2059" t="s">
        <v>32</v>
      </c>
      <c r="Q2059" t="s">
        <v>33</v>
      </c>
      <c r="R2059">
        <v>0.59</v>
      </c>
      <c r="S2059" s="1">
        <v>40069</v>
      </c>
      <c r="T2059" t="str">
        <f t="shared" si="65"/>
        <v>13-Sep-2009</v>
      </c>
    </row>
    <row r="2060" spans="1:20" x14ac:dyDescent="0.3">
      <c r="A2060">
        <v>50692</v>
      </c>
      <c r="B2060" s="1">
        <v>40438</v>
      </c>
      <c r="C2060" t="s">
        <v>23</v>
      </c>
      <c r="D2060" t="str">
        <f t="shared" si="64"/>
        <v>17-Sep-2010</v>
      </c>
      <c r="E2060">
        <v>28</v>
      </c>
      <c r="F2060" s="13">
        <v>327.95</v>
      </c>
      <c r="G2060">
        <v>0</v>
      </c>
      <c r="H2060" t="s">
        <v>19</v>
      </c>
      <c r="I2060" s="13">
        <v>43.68</v>
      </c>
      <c r="J2060">
        <v>10.98</v>
      </c>
      <c r="K2060">
        <v>5.14</v>
      </c>
      <c r="L2060" t="s">
        <v>172</v>
      </c>
      <c r="M2060" t="s">
        <v>258</v>
      </c>
      <c r="N2060" s="5" t="s">
        <v>258</v>
      </c>
      <c r="O2060" t="s">
        <v>28</v>
      </c>
      <c r="P2060" t="s">
        <v>21</v>
      </c>
      <c r="Q2060" t="s">
        <v>26</v>
      </c>
      <c r="R2060">
        <v>0.36</v>
      </c>
      <c r="S2060" s="1">
        <v>40440</v>
      </c>
      <c r="T2060" t="str">
        <f t="shared" si="65"/>
        <v>19-Sep-2010</v>
      </c>
    </row>
    <row r="2061" spans="1:20" x14ac:dyDescent="0.3">
      <c r="A2061">
        <v>44583</v>
      </c>
      <c r="B2061" s="1">
        <v>40090</v>
      </c>
      <c r="C2061" t="s">
        <v>18</v>
      </c>
      <c r="D2061" t="str">
        <f t="shared" si="64"/>
        <v>04-Oct-2009</v>
      </c>
      <c r="E2061">
        <v>21</v>
      </c>
      <c r="F2061" s="13">
        <v>315.07</v>
      </c>
      <c r="G2061">
        <v>0.02</v>
      </c>
      <c r="H2061" t="s">
        <v>19</v>
      </c>
      <c r="I2061" s="13">
        <v>95</v>
      </c>
      <c r="J2061">
        <v>14.2</v>
      </c>
      <c r="K2061">
        <v>5.3</v>
      </c>
      <c r="L2061" t="s">
        <v>245</v>
      </c>
      <c r="M2061" t="s">
        <v>258</v>
      </c>
      <c r="N2061" s="5" t="s">
        <v>258</v>
      </c>
      <c r="O2061" t="s">
        <v>28</v>
      </c>
      <c r="P2061" t="s">
        <v>32</v>
      </c>
      <c r="Q2061" t="s">
        <v>33</v>
      </c>
      <c r="R2061">
        <v>0.46</v>
      </c>
      <c r="S2061" s="1">
        <v>40092</v>
      </c>
      <c r="T2061" t="str">
        <f t="shared" si="65"/>
        <v>06-Oct-2009</v>
      </c>
    </row>
    <row r="2062" spans="1:20" x14ac:dyDescent="0.3">
      <c r="A2062">
        <v>964</v>
      </c>
      <c r="B2062" s="1">
        <v>40682</v>
      </c>
      <c r="C2062" t="s">
        <v>38</v>
      </c>
      <c r="D2062" t="str">
        <f t="shared" si="64"/>
        <v>19-May-2011</v>
      </c>
      <c r="E2062">
        <v>50</v>
      </c>
      <c r="F2062" s="13">
        <v>315.02</v>
      </c>
      <c r="G2062">
        <v>0.02</v>
      </c>
      <c r="H2062" t="s">
        <v>19</v>
      </c>
      <c r="I2062" s="13">
        <v>95.16</v>
      </c>
      <c r="J2062">
        <v>5.98</v>
      </c>
      <c r="K2062">
        <v>1.49</v>
      </c>
      <c r="L2062" t="s">
        <v>239</v>
      </c>
      <c r="M2062" t="s">
        <v>258</v>
      </c>
      <c r="N2062" s="5" t="s">
        <v>258</v>
      </c>
      <c r="O2062" t="s">
        <v>28</v>
      </c>
      <c r="P2062" t="s">
        <v>21</v>
      </c>
      <c r="Q2062" t="s">
        <v>26</v>
      </c>
      <c r="R2062">
        <v>0.39</v>
      </c>
      <c r="S2062" s="1">
        <v>40684</v>
      </c>
      <c r="T2062" t="str">
        <f t="shared" si="65"/>
        <v>21-May-2011</v>
      </c>
    </row>
    <row r="2063" spans="1:20" x14ac:dyDescent="0.3">
      <c r="A2063">
        <v>44647</v>
      </c>
      <c r="B2063" s="1">
        <v>40932</v>
      </c>
      <c r="C2063" t="s">
        <v>18</v>
      </c>
      <c r="D2063" t="str">
        <f t="shared" si="64"/>
        <v>24-Jan-2012</v>
      </c>
      <c r="E2063">
        <v>24</v>
      </c>
      <c r="F2063" s="13">
        <v>302.91000000000003</v>
      </c>
      <c r="G2063">
        <v>0.05</v>
      </c>
      <c r="H2063" t="s">
        <v>19</v>
      </c>
      <c r="I2063" s="13">
        <v>-36.76</v>
      </c>
      <c r="J2063">
        <v>12.28</v>
      </c>
      <c r="K2063">
        <v>6.13</v>
      </c>
      <c r="L2063" t="s">
        <v>264</v>
      </c>
      <c r="M2063" t="s">
        <v>258</v>
      </c>
      <c r="N2063" s="5" t="s">
        <v>258</v>
      </c>
      <c r="O2063" t="s">
        <v>28</v>
      </c>
      <c r="P2063" t="s">
        <v>21</v>
      </c>
      <c r="Q2063" t="s">
        <v>22</v>
      </c>
      <c r="R2063">
        <v>0.56999999999999995</v>
      </c>
      <c r="S2063" s="1">
        <v>40936</v>
      </c>
      <c r="T2063" t="str">
        <f t="shared" si="65"/>
        <v>28-Jan-2012</v>
      </c>
    </row>
    <row r="2064" spans="1:20" x14ac:dyDescent="0.3">
      <c r="A2064">
        <v>27271</v>
      </c>
      <c r="B2064" s="1">
        <v>40800</v>
      </c>
      <c r="C2064" t="s">
        <v>31</v>
      </c>
      <c r="D2064" t="str">
        <f t="shared" si="64"/>
        <v>14-Sep-2011</v>
      </c>
      <c r="E2064">
        <v>8</v>
      </c>
      <c r="F2064" s="13">
        <v>301.57</v>
      </c>
      <c r="G2064">
        <v>0</v>
      </c>
      <c r="H2064" t="s">
        <v>24</v>
      </c>
      <c r="I2064" s="13">
        <v>-77.31</v>
      </c>
      <c r="J2064">
        <v>33.94</v>
      </c>
      <c r="K2064">
        <v>19.190000000000001</v>
      </c>
      <c r="L2064" t="s">
        <v>268</v>
      </c>
      <c r="M2064" t="s">
        <v>258</v>
      </c>
      <c r="N2064" s="5" t="s">
        <v>258</v>
      </c>
      <c r="O2064" t="s">
        <v>28</v>
      </c>
      <c r="P2064" t="s">
        <v>32</v>
      </c>
      <c r="Q2064" t="s">
        <v>56</v>
      </c>
      <c r="R2064">
        <v>0.57999999999999996</v>
      </c>
      <c r="S2064" s="1">
        <v>40801</v>
      </c>
      <c r="T2064" t="str">
        <f t="shared" si="65"/>
        <v>15-Sep-2011</v>
      </c>
    </row>
    <row r="2065" spans="1:20" x14ac:dyDescent="0.3">
      <c r="A2065">
        <v>8292</v>
      </c>
      <c r="B2065" s="1">
        <v>40210</v>
      </c>
      <c r="C2065" t="s">
        <v>31</v>
      </c>
      <c r="D2065" t="str">
        <f t="shared" si="64"/>
        <v>01-Feb-2010</v>
      </c>
      <c r="E2065">
        <v>18</v>
      </c>
      <c r="F2065" s="13">
        <v>299.87</v>
      </c>
      <c r="G2065">
        <v>0.02</v>
      </c>
      <c r="H2065" t="s">
        <v>19</v>
      </c>
      <c r="I2065" s="13">
        <v>130.04</v>
      </c>
      <c r="J2065">
        <v>15.74</v>
      </c>
      <c r="K2065">
        <v>1.39</v>
      </c>
      <c r="L2065" t="s">
        <v>269</v>
      </c>
      <c r="M2065" t="s">
        <v>258</v>
      </c>
      <c r="N2065" s="5" t="s">
        <v>258</v>
      </c>
      <c r="O2065" t="s">
        <v>28</v>
      </c>
      <c r="P2065" t="s">
        <v>21</v>
      </c>
      <c r="Q2065" t="s">
        <v>42</v>
      </c>
      <c r="R2065">
        <v>0.4</v>
      </c>
      <c r="S2065" s="1">
        <v>40211</v>
      </c>
      <c r="T2065" t="str">
        <f t="shared" si="65"/>
        <v>02-Feb-2010</v>
      </c>
    </row>
    <row r="2066" spans="1:20" x14ac:dyDescent="0.3">
      <c r="A2066">
        <v>52291</v>
      </c>
      <c r="B2066" s="1">
        <v>40115</v>
      </c>
      <c r="C2066" t="s">
        <v>43</v>
      </c>
      <c r="D2066" t="str">
        <f t="shared" si="64"/>
        <v>29-Oct-2009</v>
      </c>
      <c r="E2066">
        <v>48</v>
      </c>
      <c r="F2066" s="13">
        <v>287.54000000000002</v>
      </c>
      <c r="G2066">
        <v>0.04</v>
      </c>
      <c r="H2066" t="s">
        <v>19</v>
      </c>
      <c r="I2066" s="13">
        <v>57.28</v>
      </c>
      <c r="J2066">
        <v>5.98</v>
      </c>
      <c r="K2066">
        <v>0.96</v>
      </c>
      <c r="L2066" t="s">
        <v>257</v>
      </c>
      <c r="M2066" t="s">
        <v>258</v>
      </c>
      <c r="N2066" s="5" t="s">
        <v>258</v>
      </c>
      <c r="O2066" t="s">
        <v>28</v>
      </c>
      <c r="P2066" t="s">
        <v>21</v>
      </c>
      <c r="Q2066" t="s">
        <v>50</v>
      </c>
      <c r="R2066">
        <v>0.6</v>
      </c>
      <c r="S2066" s="1">
        <v>40117</v>
      </c>
      <c r="T2066" t="str">
        <f t="shared" si="65"/>
        <v>31-Oct-2009</v>
      </c>
    </row>
    <row r="2067" spans="1:20" x14ac:dyDescent="0.3">
      <c r="A2067">
        <v>5414</v>
      </c>
      <c r="B2067" s="1">
        <v>40261</v>
      </c>
      <c r="C2067" t="s">
        <v>31</v>
      </c>
      <c r="D2067" t="str">
        <f t="shared" si="64"/>
        <v>24-Mar-2010</v>
      </c>
      <c r="E2067">
        <v>14</v>
      </c>
      <c r="F2067" s="13">
        <v>284.62</v>
      </c>
      <c r="G2067">
        <v>0.1</v>
      </c>
      <c r="H2067" t="s">
        <v>35</v>
      </c>
      <c r="I2067" s="13">
        <v>-27.08</v>
      </c>
      <c r="J2067">
        <v>20.98</v>
      </c>
      <c r="K2067">
        <v>5.42</v>
      </c>
      <c r="L2067" t="s">
        <v>257</v>
      </c>
      <c r="M2067" t="s">
        <v>258</v>
      </c>
      <c r="N2067" s="5" t="s">
        <v>258</v>
      </c>
      <c r="O2067" t="s">
        <v>28</v>
      </c>
      <c r="P2067" t="s">
        <v>21</v>
      </c>
      <c r="Q2067" t="s">
        <v>22</v>
      </c>
      <c r="R2067">
        <v>0.66</v>
      </c>
      <c r="S2067" s="1">
        <v>40262</v>
      </c>
      <c r="T2067" t="str">
        <f t="shared" si="65"/>
        <v>25-Mar-2010</v>
      </c>
    </row>
    <row r="2068" spans="1:20" x14ac:dyDescent="0.3">
      <c r="A2068">
        <v>19329</v>
      </c>
      <c r="B2068" s="1">
        <v>40244</v>
      </c>
      <c r="C2068" t="s">
        <v>31</v>
      </c>
      <c r="D2068" t="str">
        <f t="shared" si="64"/>
        <v>07-Mar-2010</v>
      </c>
      <c r="E2068">
        <v>37</v>
      </c>
      <c r="F2068" s="13">
        <v>281.58999999999997</v>
      </c>
      <c r="G2068">
        <v>7.0000000000000007E-2</v>
      </c>
      <c r="H2068" t="s">
        <v>19</v>
      </c>
      <c r="I2068" s="13">
        <v>-6.39</v>
      </c>
      <c r="J2068">
        <v>7.96</v>
      </c>
      <c r="K2068">
        <v>4.95</v>
      </c>
      <c r="L2068" t="s">
        <v>275</v>
      </c>
      <c r="M2068" t="s">
        <v>258</v>
      </c>
      <c r="N2068" s="5" t="s">
        <v>258</v>
      </c>
      <c r="O2068" t="s">
        <v>28</v>
      </c>
      <c r="P2068" t="s">
        <v>32</v>
      </c>
      <c r="Q2068" t="s">
        <v>33</v>
      </c>
      <c r="R2068">
        <v>0.41</v>
      </c>
      <c r="S2068" s="1">
        <v>40246</v>
      </c>
      <c r="T2068" t="str">
        <f t="shared" si="65"/>
        <v>09-Mar-2010</v>
      </c>
    </row>
    <row r="2069" spans="1:20" x14ac:dyDescent="0.3">
      <c r="A2069">
        <v>38048</v>
      </c>
      <c r="B2069" s="1">
        <v>40202</v>
      </c>
      <c r="C2069" t="s">
        <v>23</v>
      </c>
      <c r="D2069" t="str">
        <f t="shared" si="64"/>
        <v>24-Jan-2010</v>
      </c>
      <c r="E2069">
        <v>47</v>
      </c>
      <c r="F2069" s="13">
        <v>279.01</v>
      </c>
      <c r="G2069">
        <v>0.05</v>
      </c>
      <c r="H2069" t="s">
        <v>19</v>
      </c>
      <c r="I2069" s="13">
        <v>-136.84</v>
      </c>
      <c r="J2069">
        <v>5.77</v>
      </c>
      <c r="K2069">
        <v>5.92</v>
      </c>
      <c r="L2069" t="s">
        <v>285</v>
      </c>
      <c r="M2069" t="s">
        <v>258</v>
      </c>
      <c r="N2069" s="5" t="s">
        <v>258</v>
      </c>
      <c r="O2069" t="s">
        <v>28</v>
      </c>
      <c r="P2069" t="s">
        <v>32</v>
      </c>
      <c r="Q2069" t="s">
        <v>33</v>
      </c>
      <c r="R2069">
        <v>0.55000000000000004</v>
      </c>
      <c r="S2069" s="1">
        <v>40203</v>
      </c>
      <c r="T2069" t="str">
        <f t="shared" si="65"/>
        <v>25-Jan-2010</v>
      </c>
    </row>
    <row r="2070" spans="1:20" x14ac:dyDescent="0.3">
      <c r="A2070">
        <v>54020</v>
      </c>
      <c r="B2070" s="1">
        <v>40939</v>
      </c>
      <c r="C2070" t="s">
        <v>18</v>
      </c>
      <c r="D2070" t="str">
        <f t="shared" si="64"/>
        <v>31-Jan-2012</v>
      </c>
      <c r="E2070">
        <v>43</v>
      </c>
      <c r="F2070" s="13">
        <v>270.56</v>
      </c>
      <c r="G2070">
        <v>0.09</v>
      </c>
      <c r="H2070" t="s">
        <v>19</v>
      </c>
      <c r="I2070" s="13">
        <v>-140.47999999999999</v>
      </c>
      <c r="J2070">
        <v>6.48</v>
      </c>
      <c r="K2070">
        <v>6.86</v>
      </c>
      <c r="L2070" t="s">
        <v>277</v>
      </c>
      <c r="M2070" t="s">
        <v>258</v>
      </c>
      <c r="N2070" s="5" t="s">
        <v>258</v>
      </c>
      <c r="O2070" t="s">
        <v>28</v>
      </c>
      <c r="P2070" t="s">
        <v>21</v>
      </c>
      <c r="Q2070" t="s">
        <v>37</v>
      </c>
      <c r="R2070">
        <v>0.37</v>
      </c>
      <c r="S2070" s="1">
        <v>40944</v>
      </c>
      <c r="T2070" t="str">
        <f t="shared" si="65"/>
        <v>05-Feb-2012</v>
      </c>
    </row>
    <row r="2071" spans="1:20" x14ac:dyDescent="0.3">
      <c r="A2071">
        <v>54659</v>
      </c>
      <c r="B2071" s="1">
        <v>40770</v>
      </c>
      <c r="C2071" t="s">
        <v>23</v>
      </c>
      <c r="D2071" t="str">
        <f t="shared" si="64"/>
        <v>15-Aug-2011</v>
      </c>
      <c r="E2071">
        <v>38</v>
      </c>
      <c r="F2071" s="13">
        <v>262.89999999999998</v>
      </c>
      <c r="G2071">
        <v>0.06</v>
      </c>
      <c r="H2071" t="s">
        <v>19</v>
      </c>
      <c r="I2071" s="13">
        <v>-41.98</v>
      </c>
      <c r="J2071">
        <v>6.68</v>
      </c>
      <c r="K2071">
        <v>5.2</v>
      </c>
      <c r="L2071" t="s">
        <v>260</v>
      </c>
      <c r="M2071" t="s">
        <v>258</v>
      </c>
      <c r="N2071" s="5" t="s">
        <v>258</v>
      </c>
      <c r="O2071" t="s">
        <v>28</v>
      </c>
      <c r="P2071" t="s">
        <v>21</v>
      </c>
      <c r="Q2071" t="s">
        <v>37</v>
      </c>
      <c r="R2071">
        <v>0.37</v>
      </c>
      <c r="S2071" s="1">
        <v>40770</v>
      </c>
      <c r="T2071" t="str">
        <f t="shared" si="65"/>
        <v>15-Aug-2011</v>
      </c>
    </row>
    <row r="2072" spans="1:20" x14ac:dyDescent="0.3">
      <c r="A2072">
        <v>43745</v>
      </c>
      <c r="B2072" s="1">
        <v>40483</v>
      </c>
      <c r="C2072" t="s">
        <v>18</v>
      </c>
      <c r="D2072" t="str">
        <f t="shared" si="64"/>
        <v>01-Nov-2010</v>
      </c>
      <c r="E2072">
        <v>41</v>
      </c>
      <c r="F2072" s="13">
        <v>260.64</v>
      </c>
      <c r="G2072">
        <v>0.08</v>
      </c>
      <c r="H2072" t="s">
        <v>19</v>
      </c>
      <c r="I2072" s="13">
        <v>-106.21</v>
      </c>
      <c r="J2072">
        <v>6.68</v>
      </c>
      <c r="K2072">
        <v>6.15</v>
      </c>
      <c r="L2072" t="s">
        <v>280</v>
      </c>
      <c r="M2072" t="s">
        <v>258</v>
      </c>
      <c r="N2072" s="5" t="s">
        <v>258</v>
      </c>
      <c r="O2072" t="s">
        <v>28</v>
      </c>
      <c r="P2072" t="s">
        <v>21</v>
      </c>
      <c r="Q2072" t="s">
        <v>37</v>
      </c>
      <c r="R2072">
        <v>0.37</v>
      </c>
      <c r="S2072" s="1">
        <v>40485</v>
      </c>
      <c r="T2072" t="str">
        <f t="shared" si="65"/>
        <v>03-Nov-2010</v>
      </c>
    </row>
    <row r="2073" spans="1:20" x14ac:dyDescent="0.3">
      <c r="A2073">
        <v>7075</v>
      </c>
      <c r="B2073" s="1">
        <v>40826</v>
      </c>
      <c r="C2073" t="s">
        <v>18</v>
      </c>
      <c r="D2073" t="str">
        <f t="shared" si="64"/>
        <v>10-Oct-2011</v>
      </c>
      <c r="E2073">
        <v>15</v>
      </c>
      <c r="F2073" s="13">
        <v>241.89</v>
      </c>
      <c r="G2073">
        <v>0.02</v>
      </c>
      <c r="H2073" t="s">
        <v>19</v>
      </c>
      <c r="I2073" s="13">
        <v>-83.3</v>
      </c>
      <c r="J2073">
        <v>15.42</v>
      </c>
      <c r="K2073">
        <v>10.68</v>
      </c>
      <c r="L2073" t="s">
        <v>242</v>
      </c>
      <c r="M2073" t="s">
        <v>258</v>
      </c>
      <c r="N2073" s="5" t="s">
        <v>258</v>
      </c>
      <c r="O2073" t="s">
        <v>28</v>
      </c>
      <c r="P2073" t="s">
        <v>21</v>
      </c>
      <c r="Q2073" t="s">
        <v>22</v>
      </c>
      <c r="R2073">
        <v>0.57999999999999996</v>
      </c>
      <c r="S2073" s="1">
        <v>40828</v>
      </c>
      <c r="T2073" t="str">
        <f t="shared" si="65"/>
        <v>12-Oct-2011</v>
      </c>
    </row>
    <row r="2074" spans="1:20" x14ac:dyDescent="0.3">
      <c r="A2074">
        <v>24647</v>
      </c>
      <c r="B2074" s="1">
        <v>39968</v>
      </c>
      <c r="C2074" t="s">
        <v>31</v>
      </c>
      <c r="D2074" t="str">
        <f t="shared" si="64"/>
        <v>04-Jun-2009</v>
      </c>
      <c r="E2074">
        <v>34</v>
      </c>
      <c r="F2074" s="13">
        <v>241.04</v>
      </c>
      <c r="G2074">
        <v>0.05</v>
      </c>
      <c r="H2074" t="s">
        <v>35</v>
      </c>
      <c r="I2074" s="13">
        <v>-28.2</v>
      </c>
      <c r="J2074">
        <v>6.48</v>
      </c>
      <c r="K2074">
        <v>5.14</v>
      </c>
      <c r="L2074" t="s">
        <v>281</v>
      </c>
      <c r="M2074" t="s">
        <v>258</v>
      </c>
      <c r="N2074" s="5" t="s">
        <v>258</v>
      </c>
      <c r="O2074" t="s">
        <v>28</v>
      </c>
      <c r="P2074" t="s">
        <v>21</v>
      </c>
      <c r="Q2074" t="s">
        <v>37</v>
      </c>
      <c r="R2074">
        <v>0.37</v>
      </c>
      <c r="S2074" s="1">
        <v>39969</v>
      </c>
      <c r="T2074" t="str">
        <f t="shared" si="65"/>
        <v>05-Jun-2009</v>
      </c>
    </row>
    <row r="2075" spans="1:20" x14ac:dyDescent="0.3">
      <c r="A2075">
        <v>19329</v>
      </c>
      <c r="B2075" s="1">
        <v>40244</v>
      </c>
      <c r="C2075" t="s">
        <v>31</v>
      </c>
      <c r="D2075" t="str">
        <f t="shared" si="64"/>
        <v>07-Mar-2010</v>
      </c>
      <c r="E2075">
        <v>6</v>
      </c>
      <c r="F2075" s="13">
        <v>231.7525</v>
      </c>
      <c r="G2075">
        <v>0.03</v>
      </c>
      <c r="H2075" t="s">
        <v>19</v>
      </c>
      <c r="I2075" s="13">
        <v>-155.94999999999999</v>
      </c>
      <c r="J2075">
        <v>45.99</v>
      </c>
      <c r="K2075">
        <v>4.99</v>
      </c>
      <c r="L2075" t="s">
        <v>275</v>
      </c>
      <c r="M2075" t="s">
        <v>258</v>
      </c>
      <c r="N2075" s="5" t="s">
        <v>258</v>
      </c>
      <c r="O2075" t="s">
        <v>28</v>
      </c>
      <c r="P2075" t="s">
        <v>29</v>
      </c>
      <c r="Q2075" t="s">
        <v>30</v>
      </c>
      <c r="R2075">
        <v>0.56000000000000005</v>
      </c>
      <c r="S2075" s="1">
        <v>40245</v>
      </c>
      <c r="T2075" t="str">
        <f t="shared" si="65"/>
        <v>08-Mar-2010</v>
      </c>
    </row>
    <row r="2076" spans="1:20" x14ac:dyDescent="0.3">
      <c r="A2076">
        <v>39972</v>
      </c>
      <c r="B2076" s="1">
        <v>41177</v>
      </c>
      <c r="C2076" t="s">
        <v>31</v>
      </c>
      <c r="D2076" t="str">
        <f t="shared" si="64"/>
        <v>25-Sep-2012</v>
      </c>
      <c r="E2076">
        <v>35</v>
      </c>
      <c r="F2076" s="13">
        <v>224.58</v>
      </c>
      <c r="G2076">
        <v>0.03</v>
      </c>
      <c r="H2076" t="s">
        <v>19</v>
      </c>
      <c r="I2076" s="13">
        <v>108.49</v>
      </c>
      <c r="J2076">
        <v>6.3</v>
      </c>
      <c r="K2076">
        <v>0.5</v>
      </c>
      <c r="L2076" t="s">
        <v>274</v>
      </c>
      <c r="M2076" t="s">
        <v>258</v>
      </c>
      <c r="N2076" s="5" t="s">
        <v>258</v>
      </c>
      <c r="O2076" t="s">
        <v>28</v>
      </c>
      <c r="P2076" t="s">
        <v>21</v>
      </c>
      <c r="Q2076" t="s">
        <v>48</v>
      </c>
      <c r="R2076">
        <v>0.39</v>
      </c>
      <c r="S2076" s="1">
        <v>41178</v>
      </c>
      <c r="T2076" t="str">
        <f t="shared" si="65"/>
        <v>26-Sep-2012</v>
      </c>
    </row>
    <row r="2077" spans="1:20" x14ac:dyDescent="0.3">
      <c r="A2077">
        <v>56260</v>
      </c>
      <c r="B2077" s="1">
        <v>40040</v>
      </c>
      <c r="C2077" t="s">
        <v>31</v>
      </c>
      <c r="D2077" t="str">
        <f t="shared" si="64"/>
        <v>15-Aug-2009</v>
      </c>
      <c r="E2077">
        <v>34</v>
      </c>
      <c r="F2077" s="13">
        <v>223.76</v>
      </c>
      <c r="G2077">
        <v>0.03</v>
      </c>
      <c r="H2077" t="s">
        <v>19</v>
      </c>
      <c r="I2077" s="13">
        <v>-139.66</v>
      </c>
      <c r="J2077">
        <v>6.48</v>
      </c>
      <c r="K2077">
        <v>7.91</v>
      </c>
      <c r="L2077" t="s">
        <v>255</v>
      </c>
      <c r="M2077" t="s">
        <v>258</v>
      </c>
      <c r="N2077" s="5" t="s">
        <v>258</v>
      </c>
      <c r="O2077" t="s">
        <v>28</v>
      </c>
      <c r="P2077" t="s">
        <v>21</v>
      </c>
      <c r="Q2077" t="s">
        <v>37</v>
      </c>
      <c r="R2077">
        <v>0.37</v>
      </c>
      <c r="S2077" s="1">
        <v>40041</v>
      </c>
      <c r="T2077" t="str">
        <f t="shared" si="65"/>
        <v>16-Aug-2009</v>
      </c>
    </row>
    <row r="2078" spans="1:20" x14ac:dyDescent="0.3">
      <c r="A2078">
        <v>39076</v>
      </c>
      <c r="B2078" s="1">
        <v>40158</v>
      </c>
      <c r="C2078" t="s">
        <v>43</v>
      </c>
      <c r="D2078" t="str">
        <f t="shared" si="64"/>
        <v>11-Dec-2009</v>
      </c>
      <c r="E2078">
        <v>41</v>
      </c>
      <c r="F2078" s="13">
        <v>222.65</v>
      </c>
      <c r="G2078">
        <v>0.02</v>
      </c>
      <c r="H2078" t="s">
        <v>19</v>
      </c>
      <c r="I2078" s="13">
        <v>-131.16</v>
      </c>
      <c r="J2078">
        <v>5.28</v>
      </c>
      <c r="K2078">
        <v>6.26</v>
      </c>
      <c r="L2078" t="s">
        <v>266</v>
      </c>
      <c r="M2078" t="s">
        <v>258</v>
      </c>
      <c r="N2078" s="5" t="s">
        <v>258</v>
      </c>
      <c r="O2078" t="s">
        <v>28</v>
      </c>
      <c r="P2078" t="s">
        <v>21</v>
      </c>
      <c r="Q2078" t="s">
        <v>37</v>
      </c>
      <c r="R2078">
        <v>0.4</v>
      </c>
      <c r="S2078" s="1">
        <v>40159</v>
      </c>
      <c r="T2078" t="str">
        <f t="shared" si="65"/>
        <v>12-Dec-2009</v>
      </c>
    </row>
    <row r="2079" spans="1:20" x14ac:dyDescent="0.3">
      <c r="A2079">
        <v>41441</v>
      </c>
      <c r="B2079" s="1">
        <v>40931</v>
      </c>
      <c r="C2079" t="s">
        <v>38</v>
      </c>
      <c r="D2079" t="str">
        <f t="shared" si="64"/>
        <v>23-Jan-2012</v>
      </c>
      <c r="E2079">
        <v>41</v>
      </c>
      <c r="F2079" s="13">
        <v>221.08</v>
      </c>
      <c r="G2079">
        <v>0</v>
      </c>
      <c r="H2079" t="s">
        <v>19</v>
      </c>
      <c r="I2079" s="13">
        <v>-108.2</v>
      </c>
      <c r="J2079">
        <v>4.91</v>
      </c>
      <c r="K2079">
        <v>5.68</v>
      </c>
      <c r="L2079" t="s">
        <v>266</v>
      </c>
      <c r="M2079" t="s">
        <v>258</v>
      </c>
      <c r="N2079" s="5" t="s">
        <v>258</v>
      </c>
      <c r="O2079" t="s">
        <v>28</v>
      </c>
      <c r="P2079" t="s">
        <v>21</v>
      </c>
      <c r="Q2079" t="s">
        <v>26</v>
      </c>
      <c r="R2079">
        <v>0.36</v>
      </c>
      <c r="S2079" s="1">
        <v>40932</v>
      </c>
      <c r="T2079" t="str">
        <f t="shared" si="65"/>
        <v>24-Jan-2012</v>
      </c>
    </row>
    <row r="2080" spans="1:20" x14ac:dyDescent="0.3">
      <c r="A2080">
        <v>19841</v>
      </c>
      <c r="B2080" s="1">
        <v>40538</v>
      </c>
      <c r="C2080" t="s">
        <v>18</v>
      </c>
      <c r="D2080" t="str">
        <f t="shared" si="64"/>
        <v>26-Dec-2010</v>
      </c>
      <c r="E2080">
        <v>17</v>
      </c>
      <c r="F2080" s="13">
        <v>213.06</v>
      </c>
      <c r="G2080">
        <v>0.03</v>
      </c>
      <c r="H2080" t="s">
        <v>19</v>
      </c>
      <c r="I2080" s="13">
        <v>-31.74</v>
      </c>
      <c r="J2080">
        <v>11.97</v>
      </c>
      <c r="K2080">
        <v>5.81</v>
      </c>
      <c r="L2080" t="s">
        <v>266</v>
      </c>
      <c r="M2080" t="s">
        <v>258</v>
      </c>
      <c r="N2080" s="5" t="s">
        <v>258</v>
      </c>
      <c r="O2080" t="s">
        <v>28</v>
      </c>
      <c r="P2080" t="s">
        <v>21</v>
      </c>
      <c r="Q2080" t="s">
        <v>50</v>
      </c>
      <c r="R2080">
        <v>0.6</v>
      </c>
      <c r="S2080" s="1">
        <v>40565</v>
      </c>
      <c r="T2080" t="str">
        <f t="shared" si="65"/>
        <v>22-Jan-2011</v>
      </c>
    </row>
    <row r="2081" spans="1:20" x14ac:dyDescent="0.3">
      <c r="A2081">
        <v>25479</v>
      </c>
      <c r="B2081" s="1">
        <v>40661</v>
      </c>
      <c r="C2081" t="s">
        <v>43</v>
      </c>
      <c r="D2081" t="str">
        <f t="shared" si="64"/>
        <v>28-Apr-2011</v>
      </c>
      <c r="E2081">
        <v>3</v>
      </c>
      <c r="F2081" s="13">
        <v>210.5025</v>
      </c>
      <c r="G2081">
        <v>0.04</v>
      </c>
      <c r="H2081" t="s">
        <v>19</v>
      </c>
      <c r="I2081" s="13">
        <v>-315.33</v>
      </c>
      <c r="J2081">
        <v>85.99</v>
      </c>
      <c r="K2081">
        <v>1.25</v>
      </c>
      <c r="L2081" t="s">
        <v>133</v>
      </c>
      <c r="M2081" t="s">
        <v>258</v>
      </c>
      <c r="N2081" s="5" t="s">
        <v>258</v>
      </c>
      <c r="O2081" t="s">
        <v>28</v>
      </c>
      <c r="P2081" t="s">
        <v>29</v>
      </c>
      <c r="Q2081" t="s">
        <v>30</v>
      </c>
      <c r="R2081">
        <v>0.39</v>
      </c>
      <c r="S2081" s="1">
        <v>40661</v>
      </c>
      <c r="T2081" t="str">
        <f t="shared" si="65"/>
        <v>28-Apr-2011</v>
      </c>
    </row>
    <row r="2082" spans="1:20" x14ac:dyDescent="0.3">
      <c r="A2082">
        <v>24099</v>
      </c>
      <c r="B2082" s="1">
        <v>40683</v>
      </c>
      <c r="C2082" t="s">
        <v>31</v>
      </c>
      <c r="D2082" t="str">
        <f t="shared" si="64"/>
        <v>20-May-2011</v>
      </c>
      <c r="E2082">
        <v>6</v>
      </c>
      <c r="F2082" s="13">
        <v>205.24</v>
      </c>
      <c r="G2082">
        <v>0.01</v>
      </c>
      <c r="H2082" t="s">
        <v>19</v>
      </c>
      <c r="I2082" s="13">
        <v>-135.51</v>
      </c>
      <c r="J2082">
        <v>30.98</v>
      </c>
      <c r="K2082">
        <v>6.5</v>
      </c>
      <c r="L2082" t="s">
        <v>275</v>
      </c>
      <c r="M2082" t="s">
        <v>258</v>
      </c>
      <c r="N2082" s="5" t="s">
        <v>258</v>
      </c>
      <c r="O2082" t="s">
        <v>28</v>
      </c>
      <c r="P2082" t="s">
        <v>29</v>
      </c>
      <c r="Q2082" t="s">
        <v>41</v>
      </c>
      <c r="R2082">
        <v>0.79</v>
      </c>
      <c r="S2082" s="1">
        <v>40684</v>
      </c>
      <c r="T2082" t="str">
        <f t="shared" si="65"/>
        <v>21-May-2011</v>
      </c>
    </row>
    <row r="2083" spans="1:20" x14ac:dyDescent="0.3">
      <c r="A2083">
        <v>58145</v>
      </c>
      <c r="B2083" s="1">
        <v>41045</v>
      </c>
      <c r="C2083" t="s">
        <v>38</v>
      </c>
      <c r="D2083" t="str">
        <f t="shared" si="64"/>
        <v>16-May-2012</v>
      </c>
      <c r="E2083">
        <v>33</v>
      </c>
      <c r="F2083" s="13">
        <v>203.49</v>
      </c>
      <c r="G2083">
        <v>0</v>
      </c>
      <c r="H2083" t="s">
        <v>35</v>
      </c>
      <c r="I2083" s="13">
        <v>46.21</v>
      </c>
      <c r="J2083">
        <v>5.84</v>
      </c>
      <c r="K2083">
        <v>1.2</v>
      </c>
      <c r="L2083" t="s">
        <v>192</v>
      </c>
      <c r="M2083" t="s">
        <v>258</v>
      </c>
      <c r="N2083" s="5" t="s">
        <v>258</v>
      </c>
      <c r="O2083" t="s">
        <v>28</v>
      </c>
      <c r="P2083" t="s">
        <v>32</v>
      </c>
      <c r="Q2083" t="s">
        <v>33</v>
      </c>
      <c r="R2083">
        <v>0.74</v>
      </c>
      <c r="S2083" s="1">
        <v>41045</v>
      </c>
      <c r="T2083" t="str">
        <f t="shared" si="65"/>
        <v>16-May-2012</v>
      </c>
    </row>
    <row r="2084" spans="1:20" x14ac:dyDescent="0.3">
      <c r="A2084">
        <v>40356</v>
      </c>
      <c r="B2084" s="1">
        <v>40166</v>
      </c>
      <c r="C2084" t="s">
        <v>31</v>
      </c>
      <c r="D2084" t="str">
        <f t="shared" si="64"/>
        <v>19-Dec-2009</v>
      </c>
      <c r="E2084">
        <v>48</v>
      </c>
      <c r="F2084" s="13">
        <v>201.98</v>
      </c>
      <c r="G2084">
        <v>0.05</v>
      </c>
      <c r="H2084" t="s">
        <v>35</v>
      </c>
      <c r="I2084" s="13">
        <v>-245.67</v>
      </c>
      <c r="J2084">
        <v>4.0599999999999996</v>
      </c>
      <c r="K2084">
        <v>6.89</v>
      </c>
      <c r="L2084" t="s">
        <v>44</v>
      </c>
      <c r="M2084" t="s">
        <v>258</v>
      </c>
      <c r="N2084" s="5" t="s">
        <v>258</v>
      </c>
      <c r="O2084" t="s">
        <v>28</v>
      </c>
      <c r="P2084" t="s">
        <v>21</v>
      </c>
      <c r="Q2084" t="s">
        <v>25</v>
      </c>
      <c r="R2084">
        <v>0.6</v>
      </c>
      <c r="S2084" s="1">
        <v>40168</v>
      </c>
      <c r="T2084" t="str">
        <f t="shared" si="65"/>
        <v>21-Dec-2009</v>
      </c>
    </row>
    <row r="2085" spans="1:20" x14ac:dyDescent="0.3">
      <c r="A2085">
        <v>58854</v>
      </c>
      <c r="B2085" s="1">
        <v>40292</v>
      </c>
      <c r="C2085" t="s">
        <v>43</v>
      </c>
      <c r="D2085" t="str">
        <f t="shared" si="64"/>
        <v>24-Apr-2010</v>
      </c>
      <c r="E2085">
        <v>10</v>
      </c>
      <c r="F2085" s="13">
        <v>193.20500000000001</v>
      </c>
      <c r="G2085">
        <v>0</v>
      </c>
      <c r="H2085" t="s">
        <v>19</v>
      </c>
      <c r="I2085" s="13">
        <v>-52.24</v>
      </c>
      <c r="J2085">
        <v>20.99</v>
      </c>
      <c r="K2085">
        <v>4.8099999999999996</v>
      </c>
      <c r="L2085" t="s">
        <v>287</v>
      </c>
      <c r="M2085" t="s">
        <v>258</v>
      </c>
      <c r="N2085" s="5" t="s">
        <v>258</v>
      </c>
      <c r="O2085" t="s">
        <v>28</v>
      </c>
      <c r="P2085" t="s">
        <v>29</v>
      </c>
      <c r="Q2085" t="s">
        <v>30</v>
      </c>
      <c r="R2085">
        <v>0.57999999999999996</v>
      </c>
      <c r="S2085" s="1">
        <v>40294</v>
      </c>
      <c r="T2085" t="str">
        <f t="shared" si="65"/>
        <v>26-Apr-2010</v>
      </c>
    </row>
    <row r="2086" spans="1:20" x14ac:dyDescent="0.3">
      <c r="A2086">
        <v>738</v>
      </c>
      <c r="B2086" s="1">
        <v>40238</v>
      </c>
      <c r="C2086" t="s">
        <v>31</v>
      </c>
      <c r="D2086" t="str">
        <f t="shared" si="64"/>
        <v>01-Mar-2010</v>
      </c>
      <c r="E2086">
        <v>31</v>
      </c>
      <c r="F2086" s="13">
        <v>189.95</v>
      </c>
      <c r="G2086">
        <v>0.08</v>
      </c>
      <c r="H2086" t="s">
        <v>19</v>
      </c>
      <c r="I2086" s="13">
        <v>-56.68</v>
      </c>
      <c r="J2086">
        <v>6.48</v>
      </c>
      <c r="K2086">
        <v>5.14</v>
      </c>
      <c r="L2086" t="s">
        <v>273</v>
      </c>
      <c r="M2086" t="s">
        <v>258</v>
      </c>
      <c r="N2086" s="5" t="s">
        <v>258</v>
      </c>
      <c r="O2086" t="s">
        <v>28</v>
      </c>
      <c r="P2086" t="s">
        <v>21</v>
      </c>
      <c r="Q2086" t="s">
        <v>37</v>
      </c>
      <c r="R2086">
        <v>0.37</v>
      </c>
      <c r="S2086" s="1">
        <v>40239</v>
      </c>
      <c r="T2086" t="str">
        <f t="shared" si="65"/>
        <v>02-Mar-2010</v>
      </c>
    </row>
    <row r="2087" spans="1:20" x14ac:dyDescent="0.3">
      <c r="A2087">
        <v>34881</v>
      </c>
      <c r="B2087" s="1">
        <v>40581</v>
      </c>
      <c r="C2087" t="s">
        <v>38</v>
      </c>
      <c r="D2087" t="str">
        <f t="shared" si="64"/>
        <v>07-Feb-2011</v>
      </c>
      <c r="E2087">
        <v>37</v>
      </c>
      <c r="F2087" s="13">
        <v>187.37</v>
      </c>
      <c r="G2087">
        <v>0.01</v>
      </c>
      <c r="H2087" t="s">
        <v>19</v>
      </c>
      <c r="I2087" s="13">
        <v>-85.01</v>
      </c>
      <c r="J2087">
        <v>4.9800000000000004</v>
      </c>
      <c r="K2087">
        <v>4.95</v>
      </c>
      <c r="L2087" t="s">
        <v>273</v>
      </c>
      <c r="M2087" t="s">
        <v>258</v>
      </c>
      <c r="N2087" s="5" t="s">
        <v>258</v>
      </c>
      <c r="O2087" t="s">
        <v>28</v>
      </c>
      <c r="P2087" t="s">
        <v>21</v>
      </c>
      <c r="Q2087" t="s">
        <v>26</v>
      </c>
      <c r="R2087">
        <v>0.37</v>
      </c>
      <c r="S2087" s="1">
        <v>40583</v>
      </c>
      <c r="T2087" t="str">
        <f t="shared" si="65"/>
        <v>09-Feb-2011</v>
      </c>
    </row>
    <row r="2088" spans="1:20" x14ac:dyDescent="0.3">
      <c r="A2088">
        <v>56514</v>
      </c>
      <c r="B2088" s="1">
        <v>40950</v>
      </c>
      <c r="C2088" t="s">
        <v>18</v>
      </c>
      <c r="D2088" t="str">
        <f t="shared" si="64"/>
        <v>11-Feb-2012</v>
      </c>
      <c r="E2088">
        <v>35</v>
      </c>
      <c r="F2088" s="13">
        <v>186.89</v>
      </c>
      <c r="G2088">
        <v>0.02</v>
      </c>
      <c r="H2088" t="s">
        <v>19</v>
      </c>
      <c r="I2088" s="13">
        <v>-153.19999999999999</v>
      </c>
      <c r="J2088">
        <v>4.9800000000000004</v>
      </c>
      <c r="K2088">
        <v>7.54</v>
      </c>
      <c r="L2088" t="s">
        <v>286</v>
      </c>
      <c r="M2088" t="s">
        <v>258</v>
      </c>
      <c r="N2088" s="5" t="s">
        <v>258</v>
      </c>
      <c r="O2088" t="s">
        <v>28</v>
      </c>
      <c r="P2088" t="s">
        <v>21</v>
      </c>
      <c r="Q2088" t="s">
        <v>37</v>
      </c>
      <c r="R2088">
        <v>0.38</v>
      </c>
      <c r="S2088" s="1">
        <v>40957</v>
      </c>
      <c r="T2088" t="str">
        <f t="shared" si="65"/>
        <v>18-Feb-2012</v>
      </c>
    </row>
    <row r="2089" spans="1:20" x14ac:dyDescent="0.3">
      <c r="A2089">
        <v>7936</v>
      </c>
      <c r="B2089" s="1">
        <v>40273</v>
      </c>
      <c r="C2089" t="s">
        <v>18</v>
      </c>
      <c r="D2089" t="str">
        <f t="shared" si="64"/>
        <v>05-Apr-2010</v>
      </c>
      <c r="E2089">
        <v>15</v>
      </c>
      <c r="F2089" s="13">
        <v>183.43</v>
      </c>
      <c r="G2089">
        <v>0.06</v>
      </c>
      <c r="H2089" t="s">
        <v>19</v>
      </c>
      <c r="I2089" s="13">
        <v>-41.86</v>
      </c>
      <c r="J2089">
        <v>12.44</v>
      </c>
      <c r="K2089">
        <v>6.27</v>
      </c>
      <c r="L2089" t="s">
        <v>262</v>
      </c>
      <c r="M2089" t="s">
        <v>258</v>
      </c>
      <c r="N2089" s="5" t="s">
        <v>258</v>
      </c>
      <c r="O2089" t="s">
        <v>28</v>
      </c>
      <c r="P2089" t="s">
        <v>21</v>
      </c>
      <c r="Q2089" t="s">
        <v>22</v>
      </c>
      <c r="R2089">
        <v>0.56999999999999995</v>
      </c>
      <c r="S2089" s="1">
        <v>40278</v>
      </c>
      <c r="T2089" t="str">
        <f t="shared" si="65"/>
        <v>10-Apr-2010</v>
      </c>
    </row>
    <row r="2090" spans="1:20" x14ac:dyDescent="0.3">
      <c r="A2090">
        <v>2307</v>
      </c>
      <c r="B2090" s="1">
        <v>40357</v>
      </c>
      <c r="C2090" t="s">
        <v>18</v>
      </c>
      <c r="D2090" t="str">
        <f t="shared" si="64"/>
        <v>28-Jun-2010</v>
      </c>
      <c r="E2090">
        <v>32</v>
      </c>
      <c r="F2090" s="13">
        <v>182.33</v>
      </c>
      <c r="G2090">
        <v>0.1</v>
      </c>
      <c r="H2090" t="s">
        <v>19</v>
      </c>
      <c r="I2090" s="13">
        <v>40.85</v>
      </c>
      <c r="J2090">
        <v>5.98</v>
      </c>
      <c r="K2090">
        <v>1.49</v>
      </c>
      <c r="L2090" t="s">
        <v>260</v>
      </c>
      <c r="M2090" t="s">
        <v>258</v>
      </c>
      <c r="N2090" s="5" t="s">
        <v>258</v>
      </c>
      <c r="O2090" t="s">
        <v>28</v>
      </c>
      <c r="P2090" t="s">
        <v>21</v>
      </c>
      <c r="Q2090" t="s">
        <v>26</v>
      </c>
      <c r="R2090">
        <v>0.39</v>
      </c>
      <c r="S2090" s="1">
        <v>40357</v>
      </c>
      <c r="T2090" t="str">
        <f t="shared" si="65"/>
        <v>28-Jun-2010</v>
      </c>
    </row>
    <row r="2091" spans="1:20" x14ac:dyDescent="0.3">
      <c r="A2091">
        <v>53730</v>
      </c>
      <c r="B2091" s="1">
        <v>41272</v>
      </c>
      <c r="C2091" t="s">
        <v>23</v>
      </c>
      <c r="D2091" t="str">
        <f t="shared" si="64"/>
        <v>29-Dec-2012</v>
      </c>
      <c r="E2091">
        <v>40</v>
      </c>
      <c r="F2091" s="13">
        <v>181.8</v>
      </c>
      <c r="G2091">
        <v>0.05</v>
      </c>
      <c r="H2091" t="s">
        <v>19</v>
      </c>
      <c r="I2091" s="13">
        <v>-144.74</v>
      </c>
      <c r="J2091">
        <v>4.54</v>
      </c>
      <c r="K2091">
        <v>5.83</v>
      </c>
      <c r="L2091" t="s">
        <v>172</v>
      </c>
      <c r="M2091" t="s">
        <v>258</v>
      </c>
      <c r="N2091" s="5" t="s">
        <v>258</v>
      </c>
      <c r="O2091" t="s">
        <v>28</v>
      </c>
      <c r="P2091" t="s">
        <v>21</v>
      </c>
      <c r="Q2091" t="s">
        <v>26</v>
      </c>
      <c r="R2091">
        <v>0.36</v>
      </c>
      <c r="S2091" s="1">
        <v>41273</v>
      </c>
      <c r="T2091" t="str">
        <f t="shared" si="65"/>
        <v>30-Dec-2012</v>
      </c>
    </row>
    <row r="2092" spans="1:20" x14ac:dyDescent="0.3">
      <c r="A2092">
        <v>4708</v>
      </c>
      <c r="B2092" s="1">
        <v>40086</v>
      </c>
      <c r="C2092" t="s">
        <v>43</v>
      </c>
      <c r="D2092" t="str">
        <f t="shared" si="64"/>
        <v>30-Sep-2009</v>
      </c>
      <c r="E2092">
        <v>29</v>
      </c>
      <c r="F2092" s="13">
        <v>180.38</v>
      </c>
      <c r="G2092">
        <v>0.08</v>
      </c>
      <c r="H2092" t="s">
        <v>19</v>
      </c>
      <c r="I2092" s="13">
        <v>-119.32</v>
      </c>
      <c r="J2092">
        <v>6.48</v>
      </c>
      <c r="K2092">
        <v>7.49</v>
      </c>
      <c r="L2092" t="s">
        <v>257</v>
      </c>
      <c r="M2092" t="s">
        <v>258</v>
      </c>
      <c r="N2092" s="5" t="s">
        <v>258</v>
      </c>
      <c r="O2092" t="s">
        <v>28</v>
      </c>
      <c r="P2092" t="s">
        <v>21</v>
      </c>
      <c r="Q2092" t="s">
        <v>37</v>
      </c>
      <c r="R2092">
        <v>0.37</v>
      </c>
      <c r="S2092" s="1">
        <v>40088</v>
      </c>
      <c r="T2092" t="str">
        <f t="shared" si="65"/>
        <v>02-Oct-2009</v>
      </c>
    </row>
    <row r="2093" spans="1:20" x14ac:dyDescent="0.3">
      <c r="A2093">
        <v>22183</v>
      </c>
      <c r="B2093" s="1">
        <v>41022</v>
      </c>
      <c r="C2093" t="s">
        <v>38</v>
      </c>
      <c r="D2093" t="str">
        <f t="shared" si="64"/>
        <v>23-Apr-2012</v>
      </c>
      <c r="E2093">
        <v>30</v>
      </c>
      <c r="F2093" s="13">
        <v>177.22</v>
      </c>
      <c r="G2093">
        <v>0.06</v>
      </c>
      <c r="H2093" t="s">
        <v>19</v>
      </c>
      <c r="I2093" s="13">
        <v>68.959999999999994</v>
      </c>
      <c r="J2093">
        <v>5.84</v>
      </c>
      <c r="K2093">
        <v>1</v>
      </c>
      <c r="L2093" t="s">
        <v>268</v>
      </c>
      <c r="M2093" t="s">
        <v>258</v>
      </c>
      <c r="N2093" s="5" t="s">
        <v>258</v>
      </c>
      <c r="O2093" t="s">
        <v>28</v>
      </c>
      <c r="P2093" t="s">
        <v>21</v>
      </c>
      <c r="Q2093" t="s">
        <v>50</v>
      </c>
      <c r="R2093">
        <v>0.38</v>
      </c>
      <c r="S2093" s="1">
        <v>41023</v>
      </c>
      <c r="T2093" t="str">
        <f t="shared" si="65"/>
        <v>24-Apr-2012</v>
      </c>
    </row>
    <row r="2094" spans="1:20" x14ac:dyDescent="0.3">
      <c r="A2094">
        <v>46787</v>
      </c>
      <c r="B2094" s="1">
        <v>40997</v>
      </c>
      <c r="C2094" t="s">
        <v>38</v>
      </c>
      <c r="D2094" t="str">
        <f t="shared" si="64"/>
        <v>29-Mar-2012</v>
      </c>
      <c r="E2094">
        <v>28</v>
      </c>
      <c r="F2094" s="13">
        <v>174.1</v>
      </c>
      <c r="G2094">
        <v>0.1</v>
      </c>
      <c r="H2094" t="s">
        <v>19</v>
      </c>
      <c r="I2094" s="13">
        <v>-162.75</v>
      </c>
      <c r="J2094">
        <v>6.48</v>
      </c>
      <c r="K2094">
        <v>9.17</v>
      </c>
      <c r="L2094" t="s">
        <v>273</v>
      </c>
      <c r="M2094" t="s">
        <v>258</v>
      </c>
      <c r="N2094" s="5" t="s">
        <v>258</v>
      </c>
      <c r="O2094" t="s">
        <v>28</v>
      </c>
      <c r="P2094" t="s">
        <v>21</v>
      </c>
      <c r="Q2094" t="s">
        <v>37</v>
      </c>
      <c r="R2094">
        <v>0.37</v>
      </c>
      <c r="S2094" s="1">
        <v>40999</v>
      </c>
      <c r="T2094" t="str">
        <f t="shared" si="65"/>
        <v>31-Mar-2012</v>
      </c>
    </row>
    <row r="2095" spans="1:20" x14ac:dyDescent="0.3">
      <c r="A2095">
        <v>51620</v>
      </c>
      <c r="B2095" s="1">
        <v>40976</v>
      </c>
      <c r="C2095" t="s">
        <v>38</v>
      </c>
      <c r="D2095" t="str">
        <f t="shared" si="64"/>
        <v>08-Mar-2012</v>
      </c>
      <c r="E2095">
        <v>12</v>
      </c>
      <c r="F2095" s="13">
        <v>173.97</v>
      </c>
      <c r="G2095">
        <v>0.03</v>
      </c>
      <c r="H2095" t="s">
        <v>19</v>
      </c>
      <c r="I2095" s="13">
        <v>-2.5499999999999998</v>
      </c>
      <c r="J2095">
        <v>13.48</v>
      </c>
      <c r="K2095">
        <v>4.51</v>
      </c>
      <c r="L2095" t="s">
        <v>234</v>
      </c>
      <c r="M2095" t="s">
        <v>258</v>
      </c>
      <c r="N2095" s="5" t="s">
        <v>258</v>
      </c>
      <c r="O2095" t="s">
        <v>28</v>
      </c>
      <c r="P2095" t="s">
        <v>21</v>
      </c>
      <c r="Q2095" t="s">
        <v>22</v>
      </c>
      <c r="R2095">
        <v>0.59</v>
      </c>
      <c r="S2095" s="1">
        <v>40977</v>
      </c>
      <c r="T2095" t="str">
        <f t="shared" si="65"/>
        <v>09-Mar-2012</v>
      </c>
    </row>
    <row r="2096" spans="1:20" x14ac:dyDescent="0.3">
      <c r="A2096">
        <v>49892</v>
      </c>
      <c r="B2096" s="1">
        <v>40584</v>
      </c>
      <c r="C2096" t="s">
        <v>18</v>
      </c>
      <c r="D2096" t="str">
        <f t="shared" si="64"/>
        <v>10-Feb-2011</v>
      </c>
      <c r="E2096">
        <v>26</v>
      </c>
      <c r="F2096" s="13">
        <v>171.14</v>
      </c>
      <c r="G2096">
        <v>0.02</v>
      </c>
      <c r="H2096" t="s">
        <v>19</v>
      </c>
      <c r="I2096" s="13">
        <v>-1172.75</v>
      </c>
      <c r="J2096">
        <v>4.4800000000000004</v>
      </c>
      <c r="K2096">
        <v>49</v>
      </c>
      <c r="L2096" t="s">
        <v>133</v>
      </c>
      <c r="M2096" t="s">
        <v>258</v>
      </c>
      <c r="N2096" s="5" t="s">
        <v>258</v>
      </c>
      <c r="O2096" t="s">
        <v>28</v>
      </c>
      <c r="P2096" t="s">
        <v>21</v>
      </c>
      <c r="Q2096" t="s">
        <v>25</v>
      </c>
      <c r="R2096">
        <v>0.6</v>
      </c>
      <c r="S2096" s="1">
        <v>40584</v>
      </c>
      <c r="T2096" t="str">
        <f t="shared" si="65"/>
        <v>10-Feb-2011</v>
      </c>
    </row>
    <row r="2097" spans="1:20" x14ac:dyDescent="0.3">
      <c r="A2097">
        <v>25955</v>
      </c>
      <c r="B2097" s="1">
        <v>40667</v>
      </c>
      <c r="C2097" t="s">
        <v>31</v>
      </c>
      <c r="D2097" t="str">
        <f t="shared" si="64"/>
        <v>04-May-2011</v>
      </c>
      <c r="E2097">
        <v>10</v>
      </c>
      <c r="F2097" s="13">
        <v>170.35</v>
      </c>
      <c r="G2097">
        <v>0.03</v>
      </c>
      <c r="H2097" t="s">
        <v>19</v>
      </c>
      <c r="I2097" s="13">
        <v>-39.92</v>
      </c>
      <c r="J2097">
        <v>16.059999999999999</v>
      </c>
      <c r="K2097">
        <v>8.34</v>
      </c>
      <c r="L2097" t="s">
        <v>211</v>
      </c>
      <c r="M2097" t="s">
        <v>258</v>
      </c>
      <c r="N2097" s="5" t="s">
        <v>258</v>
      </c>
      <c r="O2097" t="s">
        <v>28</v>
      </c>
      <c r="P2097" t="s">
        <v>21</v>
      </c>
      <c r="Q2097" t="s">
        <v>22</v>
      </c>
      <c r="R2097">
        <v>0.59</v>
      </c>
      <c r="S2097" s="1">
        <v>40669</v>
      </c>
      <c r="T2097" t="str">
        <f t="shared" si="65"/>
        <v>06-May-2011</v>
      </c>
    </row>
    <row r="2098" spans="1:20" x14ac:dyDescent="0.3">
      <c r="A2098">
        <v>23782</v>
      </c>
      <c r="B2098" s="1">
        <v>40188</v>
      </c>
      <c r="C2098" t="s">
        <v>18</v>
      </c>
      <c r="D2098" t="str">
        <f t="shared" si="64"/>
        <v>10-Jan-2010</v>
      </c>
      <c r="E2098">
        <v>7</v>
      </c>
      <c r="F2098" s="13">
        <v>169.75</v>
      </c>
      <c r="G2098">
        <v>0.09</v>
      </c>
      <c r="H2098" t="s">
        <v>19</v>
      </c>
      <c r="I2098" s="13">
        <v>-194.85</v>
      </c>
      <c r="J2098">
        <v>20.34</v>
      </c>
      <c r="K2098">
        <v>35</v>
      </c>
      <c r="L2098" t="s">
        <v>283</v>
      </c>
      <c r="M2098" t="s">
        <v>258</v>
      </c>
      <c r="N2098" s="5" t="s">
        <v>258</v>
      </c>
      <c r="O2098" t="s">
        <v>28</v>
      </c>
      <c r="P2098" t="s">
        <v>21</v>
      </c>
      <c r="Q2098" t="s">
        <v>22</v>
      </c>
      <c r="R2098">
        <v>0.84</v>
      </c>
      <c r="S2098" s="1">
        <v>40193</v>
      </c>
      <c r="T2098" t="str">
        <f t="shared" si="65"/>
        <v>15-Jan-2010</v>
      </c>
    </row>
    <row r="2099" spans="1:20" x14ac:dyDescent="0.3">
      <c r="A2099">
        <v>16036</v>
      </c>
      <c r="B2099" s="1">
        <v>40913</v>
      </c>
      <c r="C2099" t="s">
        <v>38</v>
      </c>
      <c r="D2099" t="str">
        <f t="shared" si="64"/>
        <v>05-Jan-2012</v>
      </c>
      <c r="E2099">
        <v>28</v>
      </c>
      <c r="F2099" s="13">
        <v>169.22</v>
      </c>
      <c r="G2099">
        <v>0.05</v>
      </c>
      <c r="H2099" t="s">
        <v>19</v>
      </c>
      <c r="I2099" s="13">
        <v>-165.11</v>
      </c>
      <c r="J2099">
        <v>5.81</v>
      </c>
      <c r="K2099">
        <v>8.49</v>
      </c>
      <c r="L2099" t="s">
        <v>225</v>
      </c>
      <c r="M2099" t="s">
        <v>258</v>
      </c>
      <c r="N2099" s="5" t="s">
        <v>258</v>
      </c>
      <c r="O2099" t="s">
        <v>28</v>
      </c>
      <c r="P2099" t="s">
        <v>21</v>
      </c>
      <c r="Q2099" t="s">
        <v>26</v>
      </c>
      <c r="R2099">
        <v>0.39</v>
      </c>
      <c r="S2099" s="1">
        <v>40915</v>
      </c>
      <c r="T2099" t="str">
        <f t="shared" si="65"/>
        <v>07-Jan-2012</v>
      </c>
    </row>
    <row r="2100" spans="1:20" x14ac:dyDescent="0.3">
      <c r="A2100">
        <v>46368</v>
      </c>
      <c r="B2100" s="1">
        <v>41023</v>
      </c>
      <c r="C2100" t="s">
        <v>23</v>
      </c>
      <c r="D2100" t="str">
        <f t="shared" si="64"/>
        <v>24-Apr-2012</v>
      </c>
      <c r="E2100">
        <v>48</v>
      </c>
      <c r="F2100" s="13">
        <v>166.13</v>
      </c>
      <c r="G2100">
        <v>0</v>
      </c>
      <c r="H2100" t="s">
        <v>19</v>
      </c>
      <c r="I2100" s="13">
        <v>-119.16</v>
      </c>
      <c r="J2100">
        <v>3.28</v>
      </c>
      <c r="K2100">
        <v>3.97</v>
      </c>
      <c r="L2100" t="s">
        <v>233</v>
      </c>
      <c r="M2100" t="s">
        <v>258</v>
      </c>
      <c r="N2100" s="5" t="s">
        <v>258</v>
      </c>
      <c r="O2100" t="s">
        <v>28</v>
      </c>
      <c r="P2100" t="s">
        <v>21</v>
      </c>
      <c r="Q2100" t="s">
        <v>50</v>
      </c>
      <c r="R2100">
        <v>0.56000000000000005</v>
      </c>
      <c r="S2100" s="1">
        <v>41025</v>
      </c>
      <c r="T2100" t="str">
        <f t="shared" si="65"/>
        <v>26-Apr-2012</v>
      </c>
    </row>
    <row r="2101" spans="1:20" x14ac:dyDescent="0.3">
      <c r="A2101">
        <v>34727</v>
      </c>
      <c r="B2101" s="1">
        <v>40615</v>
      </c>
      <c r="C2101" t="s">
        <v>18</v>
      </c>
      <c r="D2101" t="str">
        <f t="shared" si="64"/>
        <v>13-Mar-2011</v>
      </c>
      <c r="E2101">
        <v>20</v>
      </c>
      <c r="F2101" s="13">
        <v>159.71</v>
      </c>
      <c r="G2101">
        <v>0.1</v>
      </c>
      <c r="H2101" t="s">
        <v>35</v>
      </c>
      <c r="I2101" s="13">
        <v>-114.41</v>
      </c>
      <c r="J2101">
        <v>8.0399999999999991</v>
      </c>
      <c r="K2101">
        <v>8.94</v>
      </c>
      <c r="L2101" t="s">
        <v>272</v>
      </c>
      <c r="M2101" t="s">
        <v>258</v>
      </c>
      <c r="N2101" s="5" t="s">
        <v>258</v>
      </c>
      <c r="O2101" t="s">
        <v>28</v>
      </c>
      <c r="P2101" t="s">
        <v>21</v>
      </c>
      <c r="Q2101" t="s">
        <v>26</v>
      </c>
      <c r="R2101">
        <v>0.4</v>
      </c>
      <c r="S2101" s="1">
        <v>40619</v>
      </c>
      <c r="T2101" t="str">
        <f t="shared" si="65"/>
        <v>17-Mar-2011</v>
      </c>
    </row>
    <row r="2102" spans="1:20" x14ac:dyDescent="0.3">
      <c r="A2102">
        <v>40870</v>
      </c>
      <c r="B2102" s="1">
        <v>40888</v>
      </c>
      <c r="C2102" t="s">
        <v>43</v>
      </c>
      <c r="D2102" t="str">
        <f t="shared" si="64"/>
        <v>11-Dec-2011</v>
      </c>
      <c r="E2102">
        <v>28</v>
      </c>
      <c r="F2102" s="13">
        <v>146.69</v>
      </c>
      <c r="G2102">
        <v>0</v>
      </c>
      <c r="H2102" t="s">
        <v>19</v>
      </c>
      <c r="I2102" s="13">
        <v>-64.05</v>
      </c>
      <c r="J2102">
        <v>4.95</v>
      </c>
      <c r="K2102">
        <v>5.32</v>
      </c>
      <c r="L2102" t="s">
        <v>283</v>
      </c>
      <c r="M2102" t="s">
        <v>258</v>
      </c>
      <c r="N2102" s="5" t="s">
        <v>258</v>
      </c>
      <c r="O2102" t="s">
        <v>28</v>
      </c>
      <c r="P2102" t="s">
        <v>32</v>
      </c>
      <c r="Q2102" t="s">
        <v>33</v>
      </c>
      <c r="R2102">
        <v>0.41</v>
      </c>
      <c r="S2102" s="1">
        <v>40890</v>
      </c>
      <c r="T2102" t="str">
        <f t="shared" si="65"/>
        <v>13-Dec-2011</v>
      </c>
    </row>
    <row r="2103" spans="1:20" x14ac:dyDescent="0.3">
      <c r="A2103">
        <v>55077</v>
      </c>
      <c r="B2103" s="1">
        <v>40820</v>
      </c>
      <c r="C2103" t="s">
        <v>43</v>
      </c>
      <c r="D2103" t="str">
        <f t="shared" si="64"/>
        <v>04-Oct-2011</v>
      </c>
      <c r="E2103">
        <v>3</v>
      </c>
      <c r="F2103" s="13">
        <v>143.98150000000001</v>
      </c>
      <c r="G2103">
        <v>0.08</v>
      </c>
      <c r="H2103" t="s">
        <v>19</v>
      </c>
      <c r="I2103" s="13">
        <v>-283.23</v>
      </c>
      <c r="J2103">
        <v>55.99</v>
      </c>
      <c r="K2103">
        <v>2.5</v>
      </c>
      <c r="L2103" t="s">
        <v>279</v>
      </c>
      <c r="M2103" t="s">
        <v>258</v>
      </c>
      <c r="N2103" s="5" t="s">
        <v>258</v>
      </c>
      <c r="O2103" t="s">
        <v>28</v>
      </c>
      <c r="P2103" t="s">
        <v>29</v>
      </c>
      <c r="Q2103" t="s">
        <v>30</v>
      </c>
      <c r="R2103">
        <v>0.83</v>
      </c>
      <c r="S2103" s="1">
        <v>40822</v>
      </c>
      <c r="T2103" t="str">
        <f t="shared" si="65"/>
        <v>06-Oct-2011</v>
      </c>
    </row>
    <row r="2104" spans="1:20" x14ac:dyDescent="0.3">
      <c r="A2104">
        <v>43553</v>
      </c>
      <c r="B2104" s="1">
        <v>39947</v>
      </c>
      <c r="C2104" t="s">
        <v>31</v>
      </c>
      <c r="D2104" t="str">
        <f t="shared" si="64"/>
        <v>14-May-2009</v>
      </c>
      <c r="E2104">
        <v>29</v>
      </c>
      <c r="F2104" s="13">
        <v>143.29</v>
      </c>
      <c r="G2104">
        <v>0.05</v>
      </c>
      <c r="H2104" t="s">
        <v>19</v>
      </c>
      <c r="I2104" s="13">
        <v>-55.54</v>
      </c>
      <c r="J2104">
        <v>4.9800000000000004</v>
      </c>
      <c r="K2104">
        <v>4.72</v>
      </c>
      <c r="L2104" t="s">
        <v>270</v>
      </c>
      <c r="M2104" t="s">
        <v>258</v>
      </c>
      <c r="N2104" s="5" t="s">
        <v>258</v>
      </c>
      <c r="O2104" t="s">
        <v>28</v>
      </c>
      <c r="P2104" t="s">
        <v>21</v>
      </c>
      <c r="Q2104" t="s">
        <v>37</v>
      </c>
      <c r="R2104">
        <v>0.36</v>
      </c>
      <c r="S2104" s="1">
        <v>39948</v>
      </c>
      <c r="T2104" t="str">
        <f t="shared" si="65"/>
        <v>15-May-2009</v>
      </c>
    </row>
    <row r="2105" spans="1:20" x14ac:dyDescent="0.3">
      <c r="A2105">
        <v>20003</v>
      </c>
      <c r="B2105" s="1">
        <v>40938</v>
      </c>
      <c r="C2105" t="s">
        <v>38</v>
      </c>
      <c r="D2105" t="str">
        <f t="shared" si="64"/>
        <v>30-Jan-2012</v>
      </c>
      <c r="E2105">
        <v>5</v>
      </c>
      <c r="F2105" s="13">
        <v>141.97550000000001</v>
      </c>
      <c r="G2105">
        <v>0.09</v>
      </c>
      <c r="H2105" t="s">
        <v>19</v>
      </c>
      <c r="I2105" s="13">
        <v>-88.94</v>
      </c>
      <c r="J2105">
        <v>35.99</v>
      </c>
      <c r="K2105">
        <v>0.99</v>
      </c>
      <c r="L2105" t="s">
        <v>172</v>
      </c>
      <c r="M2105" t="s">
        <v>258</v>
      </c>
      <c r="N2105" s="5" t="s">
        <v>258</v>
      </c>
      <c r="O2105" t="s">
        <v>28</v>
      </c>
      <c r="P2105" t="s">
        <v>29</v>
      </c>
      <c r="Q2105" t="s">
        <v>30</v>
      </c>
      <c r="R2105">
        <v>0.35</v>
      </c>
      <c r="S2105" s="1">
        <v>40940</v>
      </c>
      <c r="T2105" t="str">
        <f t="shared" si="65"/>
        <v>01-Feb-2012</v>
      </c>
    </row>
    <row r="2106" spans="1:20" x14ac:dyDescent="0.3">
      <c r="A2106">
        <v>7938</v>
      </c>
      <c r="B2106" s="1">
        <v>40250</v>
      </c>
      <c r="C2106" t="s">
        <v>38</v>
      </c>
      <c r="D2106" t="str">
        <f t="shared" si="64"/>
        <v>13-Mar-2010</v>
      </c>
      <c r="E2106">
        <v>23</v>
      </c>
      <c r="F2106" s="13">
        <v>139.19</v>
      </c>
      <c r="G2106">
        <v>0.04</v>
      </c>
      <c r="H2106" t="s">
        <v>19</v>
      </c>
      <c r="I2106" s="13">
        <v>-86.73</v>
      </c>
      <c r="J2106">
        <v>5.98</v>
      </c>
      <c r="K2106">
        <v>7.15</v>
      </c>
      <c r="L2106" t="s">
        <v>218</v>
      </c>
      <c r="M2106" t="s">
        <v>258</v>
      </c>
      <c r="N2106" s="5" t="s">
        <v>258</v>
      </c>
      <c r="O2106" t="s">
        <v>28</v>
      </c>
      <c r="P2106" t="s">
        <v>21</v>
      </c>
      <c r="Q2106" t="s">
        <v>37</v>
      </c>
      <c r="R2106">
        <v>0.36</v>
      </c>
      <c r="S2106" s="1">
        <v>40252</v>
      </c>
      <c r="T2106" t="str">
        <f t="shared" si="65"/>
        <v>15-Mar-2010</v>
      </c>
    </row>
    <row r="2107" spans="1:20" x14ac:dyDescent="0.3">
      <c r="A2107">
        <v>10436</v>
      </c>
      <c r="B2107" s="1">
        <v>40545</v>
      </c>
      <c r="C2107" t="s">
        <v>18</v>
      </c>
      <c r="D2107" t="str">
        <f t="shared" si="64"/>
        <v>02-Jan-2011</v>
      </c>
      <c r="E2107">
        <v>24</v>
      </c>
      <c r="F2107" s="13">
        <v>138.75</v>
      </c>
      <c r="G2107">
        <v>0.09</v>
      </c>
      <c r="H2107" t="s">
        <v>19</v>
      </c>
      <c r="I2107" s="13">
        <v>49.81</v>
      </c>
      <c r="J2107">
        <v>5.84</v>
      </c>
      <c r="K2107">
        <v>1</v>
      </c>
      <c r="L2107" t="s">
        <v>219</v>
      </c>
      <c r="M2107" t="s">
        <v>258</v>
      </c>
      <c r="N2107" s="5" t="s">
        <v>258</v>
      </c>
      <c r="O2107" t="s">
        <v>28</v>
      </c>
      <c r="P2107" t="s">
        <v>21</v>
      </c>
      <c r="Q2107" t="s">
        <v>50</v>
      </c>
      <c r="R2107">
        <v>0.38</v>
      </c>
      <c r="S2107" s="1">
        <v>40552</v>
      </c>
      <c r="T2107" t="str">
        <f t="shared" si="65"/>
        <v>09-Jan-2011</v>
      </c>
    </row>
    <row r="2108" spans="1:20" x14ac:dyDescent="0.3">
      <c r="A2108">
        <v>39972</v>
      </c>
      <c r="B2108" s="1">
        <v>41177</v>
      </c>
      <c r="C2108" t="s">
        <v>31</v>
      </c>
      <c r="D2108" t="str">
        <f t="shared" si="64"/>
        <v>25-Sep-2012</v>
      </c>
      <c r="E2108">
        <v>36</v>
      </c>
      <c r="F2108" s="13">
        <v>138.59</v>
      </c>
      <c r="G2108">
        <v>0.01</v>
      </c>
      <c r="H2108" t="s">
        <v>19</v>
      </c>
      <c r="I2108" s="13">
        <v>62.73</v>
      </c>
      <c r="J2108">
        <v>3.69</v>
      </c>
      <c r="K2108">
        <v>0.5</v>
      </c>
      <c r="L2108" t="s">
        <v>274</v>
      </c>
      <c r="M2108" t="s">
        <v>258</v>
      </c>
      <c r="N2108" s="5" t="s">
        <v>258</v>
      </c>
      <c r="O2108" t="s">
        <v>28</v>
      </c>
      <c r="P2108" t="s">
        <v>21</v>
      </c>
      <c r="Q2108" t="s">
        <v>48</v>
      </c>
      <c r="R2108">
        <v>0.38</v>
      </c>
      <c r="S2108" s="1">
        <v>41179</v>
      </c>
      <c r="T2108" t="str">
        <f t="shared" si="65"/>
        <v>27-Sep-2012</v>
      </c>
    </row>
    <row r="2109" spans="1:20" x14ac:dyDescent="0.3">
      <c r="A2109">
        <v>3559</v>
      </c>
      <c r="B2109" s="1">
        <v>41205</v>
      </c>
      <c r="C2109" t="s">
        <v>38</v>
      </c>
      <c r="D2109" t="str">
        <f t="shared" si="64"/>
        <v>23-Oct-2012</v>
      </c>
      <c r="E2109">
        <v>34</v>
      </c>
      <c r="F2109" s="13">
        <v>136.66999999999999</v>
      </c>
      <c r="G2109">
        <v>7.0000000000000007E-2</v>
      </c>
      <c r="H2109" t="s">
        <v>35</v>
      </c>
      <c r="I2109" s="13">
        <v>-117.92</v>
      </c>
      <c r="J2109">
        <v>3.81</v>
      </c>
      <c r="K2109">
        <v>5.44</v>
      </c>
      <c r="L2109" t="s">
        <v>100</v>
      </c>
      <c r="M2109" t="s">
        <v>258</v>
      </c>
      <c r="N2109" s="5" t="s">
        <v>258</v>
      </c>
      <c r="O2109" t="s">
        <v>28</v>
      </c>
      <c r="P2109" t="s">
        <v>21</v>
      </c>
      <c r="Q2109" t="s">
        <v>26</v>
      </c>
      <c r="R2109">
        <v>0.36</v>
      </c>
      <c r="S2109" s="1">
        <v>41206</v>
      </c>
      <c r="T2109" t="str">
        <f t="shared" si="65"/>
        <v>24-Oct-2012</v>
      </c>
    </row>
    <row r="2110" spans="1:20" x14ac:dyDescent="0.3">
      <c r="A2110">
        <v>32741</v>
      </c>
      <c r="B2110" s="1">
        <v>39859</v>
      </c>
      <c r="C2110" t="s">
        <v>18</v>
      </c>
      <c r="D2110" t="str">
        <f t="shared" si="64"/>
        <v>15-Feb-2009</v>
      </c>
      <c r="E2110">
        <v>13</v>
      </c>
      <c r="F2110" s="13">
        <v>136.24</v>
      </c>
      <c r="G2110">
        <v>7.0000000000000007E-2</v>
      </c>
      <c r="H2110" t="s">
        <v>19</v>
      </c>
      <c r="I2110" s="13">
        <v>-81.77</v>
      </c>
      <c r="J2110">
        <v>9.7100000000000009</v>
      </c>
      <c r="K2110">
        <v>9.4499999999999993</v>
      </c>
      <c r="L2110" t="s">
        <v>133</v>
      </c>
      <c r="M2110" t="s">
        <v>258</v>
      </c>
      <c r="N2110" s="5" t="s">
        <v>258</v>
      </c>
      <c r="O2110" t="s">
        <v>28</v>
      </c>
      <c r="P2110" t="s">
        <v>21</v>
      </c>
      <c r="Q2110" t="s">
        <v>22</v>
      </c>
      <c r="R2110">
        <v>0.6</v>
      </c>
      <c r="S2110" s="1">
        <v>39866</v>
      </c>
      <c r="T2110" t="str">
        <f t="shared" si="65"/>
        <v>22-Feb-2009</v>
      </c>
    </row>
    <row r="2111" spans="1:20" x14ac:dyDescent="0.3">
      <c r="A2111">
        <v>9347</v>
      </c>
      <c r="B2111" s="1">
        <v>41130</v>
      </c>
      <c r="C2111" t="s">
        <v>18</v>
      </c>
      <c r="D2111" t="str">
        <f t="shared" si="64"/>
        <v>09-Aug-2012</v>
      </c>
      <c r="E2111">
        <v>31</v>
      </c>
      <c r="F2111" s="13">
        <v>131.19999999999999</v>
      </c>
      <c r="G2111">
        <v>0.01</v>
      </c>
      <c r="H2111" t="s">
        <v>19</v>
      </c>
      <c r="I2111" s="13">
        <v>-107.98</v>
      </c>
      <c r="J2111">
        <v>3.95</v>
      </c>
      <c r="K2111">
        <v>5.13</v>
      </c>
      <c r="L2111" t="s">
        <v>257</v>
      </c>
      <c r="M2111" t="s">
        <v>258</v>
      </c>
      <c r="N2111" s="5" t="s">
        <v>258</v>
      </c>
      <c r="O2111" t="s">
        <v>28</v>
      </c>
      <c r="P2111" t="s">
        <v>21</v>
      </c>
      <c r="Q2111" t="s">
        <v>25</v>
      </c>
      <c r="R2111">
        <v>0.59</v>
      </c>
      <c r="S2111" s="1">
        <v>41139</v>
      </c>
      <c r="T2111" t="str">
        <f t="shared" si="65"/>
        <v>18-Aug-2012</v>
      </c>
    </row>
    <row r="2112" spans="1:20" x14ac:dyDescent="0.3">
      <c r="A2112">
        <v>4096</v>
      </c>
      <c r="B2112" s="1">
        <v>41092</v>
      </c>
      <c r="C2112" t="s">
        <v>31</v>
      </c>
      <c r="D2112" t="str">
        <f t="shared" si="64"/>
        <v>02-Jul-2012</v>
      </c>
      <c r="E2112">
        <v>21</v>
      </c>
      <c r="F2112" s="13">
        <v>128.28</v>
      </c>
      <c r="G2112">
        <v>0.04</v>
      </c>
      <c r="H2112" t="s">
        <v>19</v>
      </c>
      <c r="I2112" s="13">
        <v>53.58</v>
      </c>
      <c r="J2112">
        <v>6.3</v>
      </c>
      <c r="K2112">
        <v>0.5</v>
      </c>
      <c r="L2112" t="s">
        <v>133</v>
      </c>
      <c r="M2112" t="s">
        <v>258</v>
      </c>
      <c r="N2112" s="5" t="s">
        <v>258</v>
      </c>
      <c r="O2112" t="s">
        <v>28</v>
      </c>
      <c r="P2112" t="s">
        <v>21</v>
      </c>
      <c r="Q2112" t="s">
        <v>48</v>
      </c>
      <c r="R2112">
        <v>0.39</v>
      </c>
      <c r="S2112" s="1">
        <v>41093</v>
      </c>
      <c r="T2112" t="str">
        <f t="shared" si="65"/>
        <v>03-Jul-2012</v>
      </c>
    </row>
    <row r="2113" spans="1:20" x14ac:dyDescent="0.3">
      <c r="A2113">
        <v>23968</v>
      </c>
      <c r="B2113" s="1">
        <v>40606</v>
      </c>
      <c r="C2113" t="s">
        <v>43</v>
      </c>
      <c r="D2113" t="str">
        <f t="shared" si="64"/>
        <v>04-Mar-2011</v>
      </c>
      <c r="E2113">
        <v>19</v>
      </c>
      <c r="F2113" s="13">
        <v>127.48</v>
      </c>
      <c r="G2113">
        <v>0.05</v>
      </c>
      <c r="H2113" t="s">
        <v>19</v>
      </c>
      <c r="I2113" s="13">
        <v>-41.99</v>
      </c>
      <c r="J2113">
        <v>6.48</v>
      </c>
      <c r="K2113">
        <v>5.84</v>
      </c>
      <c r="L2113" t="s">
        <v>235</v>
      </c>
      <c r="M2113" t="s">
        <v>258</v>
      </c>
      <c r="N2113" s="5" t="s">
        <v>258</v>
      </c>
      <c r="O2113" t="s">
        <v>28</v>
      </c>
      <c r="P2113" t="s">
        <v>21</v>
      </c>
      <c r="Q2113" t="s">
        <v>37</v>
      </c>
      <c r="R2113">
        <v>0.37</v>
      </c>
      <c r="S2113" s="1">
        <v>40609</v>
      </c>
      <c r="T2113" t="str">
        <f t="shared" si="65"/>
        <v>07-Mar-2011</v>
      </c>
    </row>
    <row r="2114" spans="1:20" x14ac:dyDescent="0.3">
      <c r="A2114">
        <v>23398</v>
      </c>
      <c r="B2114" s="1">
        <v>39885</v>
      </c>
      <c r="C2114" t="s">
        <v>38</v>
      </c>
      <c r="D2114" t="str">
        <f t="shared" ref="D2114:D2177" si="66">TEXT(B2114, "dd-mmm-yyyy" )</f>
        <v>13-Mar-2009</v>
      </c>
      <c r="E2114">
        <v>19</v>
      </c>
      <c r="F2114" s="13">
        <v>123.1</v>
      </c>
      <c r="G2114">
        <v>0.06</v>
      </c>
      <c r="H2114" t="s">
        <v>19</v>
      </c>
      <c r="I2114" s="13">
        <v>-75.44</v>
      </c>
      <c r="J2114">
        <v>6.48</v>
      </c>
      <c r="K2114">
        <v>7.37</v>
      </c>
      <c r="L2114" t="s">
        <v>260</v>
      </c>
      <c r="M2114" t="s">
        <v>258</v>
      </c>
      <c r="N2114" s="5" t="s">
        <v>258</v>
      </c>
      <c r="O2114" t="s">
        <v>28</v>
      </c>
      <c r="P2114" t="s">
        <v>21</v>
      </c>
      <c r="Q2114" t="s">
        <v>37</v>
      </c>
      <c r="R2114">
        <v>0.37</v>
      </c>
      <c r="S2114" s="1">
        <v>39886</v>
      </c>
      <c r="T2114" t="str">
        <f t="shared" ref="T2114:T2177" si="67">TEXT(S2114, "dd-mmm-yyyy")</f>
        <v>14-Mar-2009</v>
      </c>
    </row>
    <row r="2115" spans="1:20" x14ac:dyDescent="0.3">
      <c r="A2115">
        <v>1988</v>
      </c>
      <c r="B2115" s="1">
        <v>40821</v>
      </c>
      <c r="C2115" t="s">
        <v>31</v>
      </c>
      <c r="D2115" t="str">
        <f t="shared" si="66"/>
        <v>05-Oct-2011</v>
      </c>
      <c r="E2115">
        <v>9</v>
      </c>
      <c r="F2115" s="13">
        <v>122.14</v>
      </c>
      <c r="G2115">
        <v>0.04</v>
      </c>
      <c r="H2115" t="s">
        <v>19</v>
      </c>
      <c r="I2115" s="13">
        <v>-16.989999999999998</v>
      </c>
      <c r="J2115">
        <v>13.48</v>
      </c>
      <c r="K2115">
        <v>4.51</v>
      </c>
      <c r="L2115" t="s">
        <v>237</v>
      </c>
      <c r="M2115" t="s">
        <v>258</v>
      </c>
      <c r="N2115" s="5" t="s">
        <v>258</v>
      </c>
      <c r="O2115" t="s">
        <v>28</v>
      </c>
      <c r="P2115" t="s">
        <v>21</v>
      </c>
      <c r="Q2115" t="s">
        <v>22</v>
      </c>
      <c r="R2115">
        <v>0.59</v>
      </c>
      <c r="S2115" s="1">
        <v>40823</v>
      </c>
      <c r="T2115" t="str">
        <f t="shared" si="67"/>
        <v>07-Oct-2011</v>
      </c>
    </row>
    <row r="2116" spans="1:20" x14ac:dyDescent="0.3">
      <c r="A2116">
        <v>58343</v>
      </c>
      <c r="B2116" s="1">
        <v>39822</v>
      </c>
      <c r="C2116" t="s">
        <v>31</v>
      </c>
      <c r="D2116" t="str">
        <f t="shared" si="66"/>
        <v>09-Jan-2009</v>
      </c>
      <c r="E2116">
        <v>39</v>
      </c>
      <c r="F2116" s="13">
        <v>121.87</v>
      </c>
      <c r="G2116">
        <v>7.0000000000000007E-2</v>
      </c>
      <c r="H2116" t="s">
        <v>19</v>
      </c>
      <c r="I2116" s="13">
        <v>11.32</v>
      </c>
      <c r="J2116">
        <v>3.29</v>
      </c>
      <c r="K2116">
        <v>1.35</v>
      </c>
      <c r="L2116" t="s">
        <v>231</v>
      </c>
      <c r="M2116" t="s">
        <v>258</v>
      </c>
      <c r="N2116" s="5" t="s">
        <v>258</v>
      </c>
      <c r="O2116" t="s">
        <v>28</v>
      </c>
      <c r="P2116" t="s">
        <v>21</v>
      </c>
      <c r="Q2116" t="s">
        <v>39</v>
      </c>
      <c r="R2116">
        <v>0.4</v>
      </c>
      <c r="S2116" s="1">
        <v>39824</v>
      </c>
      <c r="T2116" t="str">
        <f t="shared" si="67"/>
        <v>11-Jan-2009</v>
      </c>
    </row>
    <row r="2117" spans="1:20" x14ac:dyDescent="0.3">
      <c r="A2117">
        <v>52519</v>
      </c>
      <c r="B2117" s="1">
        <v>41028</v>
      </c>
      <c r="C2117" t="s">
        <v>23</v>
      </c>
      <c r="D2117" t="str">
        <f t="shared" si="66"/>
        <v>29-Apr-2012</v>
      </c>
      <c r="E2117">
        <v>6</v>
      </c>
      <c r="F2117" s="13">
        <v>120.38</v>
      </c>
      <c r="G2117">
        <v>0.09</v>
      </c>
      <c r="H2117" t="s">
        <v>19</v>
      </c>
      <c r="I2117" s="13">
        <v>-29.77</v>
      </c>
      <c r="J2117">
        <v>20.48</v>
      </c>
      <c r="K2117">
        <v>6.32</v>
      </c>
      <c r="L2117" t="s">
        <v>133</v>
      </c>
      <c r="M2117" t="s">
        <v>258</v>
      </c>
      <c r="N2117" s="5" t="s">
        <v>258</v>
      </c>
      <c r="O2117" t="s">
        <v>28</v>
      </c>
      <c r="P2117" t="s">
        <v>21</v>
      </c>
      <c r="Q2117" t="s">
        <v>25</v>
      </c>
      <c r="R2117">
        <v>0.57999999999999996</v>
      </c>
      <c r="S2117" s="1">
        <v>41030</v>
      </c>
      <c r="T2117" t="str">
        <f t="shared" si="67"/>
        <v>01-May-2012</v>
      </c>
    </row>
    <row r="2118" spans="1:20" x14ac:dyDescent="0.3">
      <c r="A2118">
        <v>16352</v>
      </c>
      <c r="B2118" s="1">
        <v>41120</v>
      </c>
      <c r="C2118" t="s">
        <v>38</v>
      </c>
      <c r="D2118" t="str">
        <f t="shared" si="66"/>
        <v>30-Jul-2012</v>
      </c>
      <c r="E2118">
        <v>16</v>
      </c>
      <c r="F2118" s="13">
        <v>113.25</v>
      </c>
      <c r="G2118">
        <v>0.03</v>
      </c>
      <c r="H2118" t="s">
        <v>19</v>
      </c>
      <c r="I2118" s="13">
        <v>-43.43</v>
      </c>
      <c r="J2118">
        <v>6.48</v>
      </c>
      <c r="K2118">
        <v>6.65</v>
      </c>
      <c r="L2118" t="s">
        <v>100</v>
      </c>
      <c r="M2118" t="s">
        <v>258</v>
      </c>
      <c r="N2118" s="5" t="s">
        <v>258</v>
      </c>
      <c r="O2118" t="s">
        <v>28</v>
      </c>
      <c r="P2118" t="s">
        <v>21</v>
      </c>
      <c r="Q2118" t="s">
        <v>37</v>
      </c>
      <c r="R2118">
        <v>0.36</v>
      </c>
      <c r="S2118" s="1">
        <v>41122</v>
      </c>
      <c r="T2118" t="str">
        <f t="shared" si="67"/>
        <v>01-Aug-2012</v>
      </c>
    </row>
    <row r="2119" spans="1:20" x14ac:dyDescent="0.3">
      <c r="A2119">
        <v>39335</v>
      </c>
      <c r="B2119" s="1">
        <v>39958</v>
      </c>
      <c r="C2119" t="s">
        <v>31</v>
      </c>
      <c r="D2119" t="str">
        <f t="shared" si="66"/>
        <v>25-May-2009</v>
      </c>
      <c r="E2119">
        <v>24</v>
      </c>
      <c r="F2119" s="13">
        <v>113.23</v>
      </c>
      <c r="G2119">
        <v>0.06</v>
      </c>
      <c r="H2119" t="s">
        <v>19</v>
      </c>
      <c r="I2119" s="13">
        <v>-45.64</v>
      </c>
      <c r="J2119">
        <v>4.7699999999999996</v>
      </c>
      <c r="K2119">
        <v>2.39</v>
      </c>
      <c r="L2119" t="s">
        <v>281</v>
      </c>
      <c r="M2119" t="s">
        <v>258</v>
      </c>
      <c r="N2119" s="5" t="s">
        <v>258</v>
      </c>
      <c r="O2119" t="s">
        <v>28</v>
      </c>
      <c r="P2119" t="s">
        <v>29</v>
      </c>
      <c r="Q2119" t="s">
        <v>41</v>
      </c>
      <c r="R2119">
        <v>0.72</v>
      </c>
      <c r="S2119" s="1">
        <v>39959</v>
      </c>
      <c r="T2119" t="str">
        <f t="shared" si="67"/>
        <v>26-May-2009</v>
      </c>
    </row>
    <row r="2120" spans="1:20" x14ac:dyDescent="0.3">
      <c r="A2120">
        <v>24740</v>
      </c>
      <c r="B2120" s="1">
        <v>40188</v>
      </c>
      <c r="C2120" t="s">
        <v>38</v>
      </c>
      <c r="D2120" t="str">
        <f t="shared" si="66"/>
        <v>10-Jan-2010</v>
      </c>
      <c r="E2120">
        <v>35</v>
      </c>
      <c r="F2120" s="13">
        <v>112.59</v>
      </c>
      <c r="G2120">
        <v>0.09</v>
      </c>
      <c r="H2120" t="s">
        <v>35</v>
      </c>
      <c r="I2120" s="13">
        <v>-126.7</v>
      </c>
      <c r="J2120">
        <v>3.28</v>
      </c>
      <c r="K2120">
        <v>5</v>
      </c>
      <c r="L2120" t="s">
        <v>100</v>
      </c>
      <c r="M2120" t="s">
        <v>258</v>
      </c>
      <c r="N2120" s="5" t="s">
        <v>258</v>
      </c>
      <c r="O2120" t="s">
        <v>28</v>
      </c>
      <c r="P2120" t="s">
        <v>21</v>
      </c>
      <c r="Q2120" t="s">
        <v>50</v>
      </c>
      <c r="R2120">
        <v>0.56000000000000005</v>
      </c>
      <c r="S2120" s="1">
        <v>40188</v>
      </c>
      <c r="T2120" t="str">
        <f t="shared" si="67"/>
        <v>10-Jan-2010</v>
      </c>
    </row>
    <row r="2121" spans="1:20" x14ac:dyDescent="0.3">
      <c r="A2121">
        <v>21344</v>
      </c>
      <c r="B2121" s="1">
        <v>41252</v>
      </c>
      <c r="C2121" t="s">
        <v>18</v>
      </c>
      <c r="D2121" t="str">
        <f t="shared" si="66"/>
        <v>09-Dec-2012</v>
      </c>
      <c r="E2121">
        <v>39</v>
      </c>
      <c r="F2121" s="13">
        <v>110.79</v>
      </c>
      <c r="G2121">
        <v>0.05</v>
      </c>
      <c r="H2121" t="s">
        <v>19</v>
      </c>
      <c r="I2121" s="13">
        <v>42.68</v>
      </c>
      <c r="J2121">
        <v>2.89</v>
      </c>
      <c r="K2121">
        <v>0.5</v>
      </c>
      <c r="L2121" t="s">
        <v>224</v>
      </c>
      <c r="M2121" t="s">
        <v>258</v>
      </c>
      <c r="N2121" s="5" t="s">
        <v>258</v>
      </c>
      <c r="O2121" t="s">
        <v>28</v>
      </c>
      <c r="P2121" t="s">
        <v>21</v>
      </c>
      <c r="Q2121" t="s">
        <v>48</v>
      </c>
      <c r="R2121">
        <v>0.38</v>
      </c>
      <c r="S2121" s="1">
        <v>41261</v>
      </c>
      <c r="T2121" t="str">
        <f t="shared" si="67"/>
        <v>18-Dec-2012</v>
      </c>
    </row>
    <row r="2122" spans="1:20" x14ac:dyDescent="0.3">
      <c r="A2122">
        <v>56514</v>
      </c>
      <c r="B2122" s="1">
        <v>40950</v>
      </c>
      <c r="C2122" t="s">
        <v>18</v>
      </c>
      <c r="D2122" t="str">
        <f t="shared" si="66"/>
        <v>11-Feb-2012</v>
      </c>
      <c r="E2122">
        <v>3</v>
      </c>
      <c r="F2122" s="13">
        <v>110</v>
      </c>
      <c r="G2122">
        <v>0.02</v>
      </c>
      <c r="H2122" t="s">
        <v>19</v>
      </c>
      <c r="I2122" s="13">
        <v>-24.43</v>
      </c>
      <c r="J2122">
        <v>30.98</v>
      </c>
      <c r="K2122">
        <v>11.63</v>
      </c>
      <c r="L2122" t="s">
        <v>286</v>
      </c>
      <c r="M2122" t="s">
        <v>258</v>
      </c>
      <c r="N2122" s="5" t="s">
        <v>258</v>
      </c>
      <c r="O2122" t="s">
        <v>28</v>
      </c>
      <c r="P2122" t="s">
        <v>21</v>
      </c>
      <c r="Q2122" t="s">
        <v>26</v>
      </c>
      <c r="R2122">
        <v>0.37</v>
      </c>
      <c r="S2122" s="1">
        <v>40957</v>
      </c>
      <c r="T2122" t="str">
        <f t="shared" si="67"/>
        <v>18-Feb-2012</v>
      </c>
    </row>
    <row r="2123" spans="1:20" x14ac:dyDescent="0.3">
      <c r="A2123">
        <v>58337</v>
      </c>
      <c r="B2123" s="1">
        <v>39961</v>
      </c>
      <c r="C2123" t="s">
        <v>18</v>
      </c>
      <c r="D2123" t="str">
        <f t="shared" si="66"/>
        <v>28-May-2009</v>
      </c>
      <c r="E2123">
        <v>18</v>
      </c>
      <c r="F2123" s="13">
        <v>106.45</v>
      </c>
      <c r="G2123">
        <v>0.03</v>
      </c>
      <c r="H2123" t="s">
        <v>19</v>
      </c>
      <c r="I2123" s="13">
        <v>-5.08</v>
      </c>
      <c r="J2123">
        <v>5.85</v>
      </c>
      <c r="K2123">
        <v>2.27</v>
      </c>
      <c r="L2123" t="s">
        <v>116</v>
      </c>
      <c r="M2123" t="s">
        <v>258</v>
      </c>
      <c r="N2123" s="5" t="s">
        <v>258</v>
      </c>
      <c r="O2123" t="s">
        <v>28</v>
      </c>
      <c r="P2123" t="s">
        <v>21</v>
      </c>
      <c r="Q2123" t="s">
        <v>50</v>
      </c>
      <c r="R2123">
        <v>0.56000000000000005</v>
      </c>
      <c r="S2123" s="1">
        <v>39963</v>
      </c>
      <c r="T2123" t="str">
        <f t="shared" si="67"/>
        <v>30-May-2009</v>
      </c>
    </row>
    <row r="2124" spans="1:20" x14ac:dyDescent="0.3">
      <c r="A2124">
        <v>3680</v>
      </c>
      <c r="B2124" s="1">
        <v>41252</v>
      </c>
      <c r="C2124" t="s">
        <v>31</v>
      </c>
      <c r="D2124" t="str">
        <f t="shared" si="66"/>
        <v>09-Dec-2012</v>
      </c>
      <c r="E2124">
        <v>24</v>
      </c>
      <c r="F2124" s="13">
        <v>99.53</v>
      </c>
      <c r="G2124">
        <v>0.1</v>
      </c>
      <c r="H2124" t="s">
        <v>35</v>
      </c>
      <c r="I2124" s="13">
        <v>18.28</v>
      </c>
      <c r="J2124">
        <v>3.8</v>
      </c>
      <c r="K2124">
        <v>1.49</v>
      </c>
      <c r="L2124" t="s">
        <v>241</v>
      </c>
      <c r="M2124" t="s">
        <v>258</v>
      </c>
      <c r="N2124" s="5" t="s">
        <v>258</v>
      </c>
      <c r="O2124" t="s">
        <v>28</v>
      </c>
      <c r="P2124" t="s">
        <v>21</v>
      </c>
      <c r="Q2124" t="s">
        <v>26</v>
      </c>
      <c r="R2124">
        <v>0.38</v>
      </c>
      <c r="S2124" s="1">
        <v>41254</v>
      </c>
      <c r="T2124" t="str">
        <f t="shared" si="67"/>
        <v>11-Dec-2012</v>
      </c>
    </row>
    <row r="2125" spans="1:20" x14ac:dyDescent="0.3">
      <c r="A2125">
        <v>49762</v>
      </c>
      <c r="B2125" s="1">
        <v>40709</v>
      </c>
      <c r="C2125" t="s">
        <v>23</v>
      </c>
      <c r="D2125" t="str">
        <f t="shared" si="66"/>
        <v>15-Jun-2011</v>
      </c>
      <c r="E2125">
        <v>35</v>
      </c>
      <c r="F2125" s="13">
        <v>99.13</v>
      </c>
      <c r="G2125">
        <v>0.09</v>
      </c>
      <c r="H2125" t="s">
        <v>19</v>
      </c>
      <c r="I2125" s="13">
        <v>23.74</v>
      </c>
      <c r="J2125">
        <v>2.94</v>
      </c>
      <c r="K2125">
        <v>0.81</v>
      </c>
      <c r="L2125" t="s">
        <v>276</v>
      </c>
      <c r="M2125" t="s">
        <v>258</v>
      </c>
      <c r="N2125" s="5" t="s">
        <v>258</v>
      </c>
      <c r="O2125" t="s">
        <v>28</v>
      </c>
      <c r="P2125" t="s">
        <v>21</v>
      </c>
      <c r="Q2125" t="s">
        <v>50</v>
      </c>
      <c r="R2125">
        <v>0.4</v>
      </c>
      <c r="S2125" s="1">
        <v>40711</v>
      </c>
      <c r="T2125" t="str">
        <f t="shared" si="67"/>
        <v>17-Jun-2011</v>
      </c>
    </row>
    <row r="2126" spans="1:20" x14ac:dyDescent="0.3">
      <c r="A2126">
        <v>10629</v>
      </c>
      <c r="B2126" s="1">
        <v>40067</v>
      </c>
      <c r="C2126" t="s">
        <v>43</v>
      </c>
      <c r="D2126" t="str">
        <f t="shared" si="66"/>
        <v>11-Sep-2009</v>
      </c>
      <c r="E2126">
        <v>14</v>
      </c>
      <c r="F2126" s="13">
        <v>98.37</v>
      </c>
      <c r="G2126">
        <v>0.09</v>
      </c>
      <c r="H2126" t="s">
        <v>35</v>
      </c>
      <c r="I2126" s="13">
        <v>-76.540000000000006</v>
      </c>
      <c r="J2126">
        <v>6.48</v>
      </c>
      <c r="K2126">
        <v>9.17</v>
      </c>
      <c r="L2126" t="s">
        <v>263</v>
      </c>
      <c r="M2126" t="s">
        <v>258</v>
      </c>
      <c r="N2126" s="5" t="s">
        <v>258</v>
      </c>
      <c r="O2126" t="s">
        <v>28</v>
      </c>
      <c r="P2126" t="s">
        <v>21</v>
      </c>
      <c r="Q2126" t="s">
        <v>37</v>
      </c>
      <c r="R2126">
        <v>0.37</v>
      </c>
      <c r="S2126" s="1">
        <v>40069</v>
      </c>
      <c r="T2126" t="str">
        <f t="shared" si="67"/>
        <v>13-Sep-2009</v>
      </c>
    </row>
    <row r="2127" spans="1:20" x14ac:dyDescent="0.3">
      <c r="A2127">
        <v>53668</v>
      </c>
      <c r="B2127" s="1">
        <v>40268</v>
      </c>
      <c r="C2127" t="s">
        <v>31</v>
      </c>
      <c r="D2127" t="str">
        <f t="shared" si="66"/>
        <v>31-Mar-2010</v>
      </c>
      <c r="E2127">
        <v>9</v>
      </c>
      <c r="F2127" s="13">
        <v>98.24</v>
      </c>
      <c r="G2127">
        <v>0.04</v>
      </c>
      <c r="H2127" t="s">
        <v>19</v>
      </c>
      <c r="I2127" s="13">
        <v>-10.38</v>
      </c>
      <c r="J2127">
        <v>10.98</v>
      </c>
      <c r="K2127">
        <v>3.37</v>
      </c>
      <c r="L2127" t="s">
        <v>272</v>
      </c>
      <c r="M2127" t="s">
        <v>258</v>
      </c>
      <c r="N2127" s="5" t="s">
        <v>258</v>
      </c>
      <c r="O2127" t="s">
        <v>28</v>
      </c>
      <c r="P2127" t="s">
        <v>21</v>
      </c>
      <c r="Q2127" t="s">
        <v>67</v>
      </c>
      <c r="R2127">
        <v>0.56999999999999995</v>
      </c>
      <c r="S2127" s="1">
        <v>40269</v>
      </c>
      <c r="T2127" t="str">
        <f t="shared" si="67"/>
        <v>01-Apr-2010</v>
      </c>
    </row>
    <row r="2128" spans="1:20" x14ac:dyDescent="0.3">
      <c r="A2128">
        <v>39972</v>
      </c>
      <c r="B2128" s="1">
        <v>41177</v>
      </c>
      <c r="C2128" t="s">
        <v>31</v>
      </c>
      <c r="D2128" t="str">
        <f t="shared" si="66"/>
        <v>25-Sep-2012</v>
      </c>
      <c r="E2128">
        <v>19</v>
      </c>
      <c r="F2128" s="13">
        <v>97.06</v>
      </c>
      <c r="G2128">
        <v>0.05</v>
      </c>
      <c r="H2128" t="s">
        <v>19</v>
      </c>
      <c r="I2128" s="13">
        <v>-7.36</v>
      </c>
      <c r="J2128">
        <v>5.0599999999999996</v>
      </c>
      <c r="K2128">
        <v>2.99</v>
      </c>
      <c r="L2128" t="s">
        <v>274</v>
      </c>
      <c r="M2128" t="s">
        <v>258</v>
      </c>
      <c r="N2128" s="5" t="s">
        <v>258</v>
      </c>
      <c r="O2128" t="s">
        <v>28</v>
      </c>
      <c r="P2128" t="s">
        <v>21</v>
      </c>
      <c r="Q2128" t="s">
        <v>26</v>
      </c>
      <c r="R2128">
        <v>0.38</v>
      </c>
      <c r="S2128" s="1">
        <v>41180</v>
      </c>
      <c r="T2128" t="str">
        <f t="shared" si="67"/>
        <v>28-Sep-2012</v>
      </c>
    </row>
    <row r="2129" spans="1:20" x14ac:dyDescent="0.3">
      <c r="A2129">
        <v>13378</v>
      </c>
      <c r="B2129" s="1">
        <v>40077</v>
      </c>
      <c r="C2129" t="s">
        <v>18</v>
      </c>
      <c r="D2129" t="str">
        <f t="shared" si="66"/>
        <v>21-Sep-2009</v>
      </c>
      <c r="E2129">
        <v>16</v>
      </c>
      <c r="F2129" s="13">
        <v>96.04</v>
      </c>
      <c r="G2129">
        <v>0.05</v>
      </c>
      <c r="H2129" t="s">
        <v>19</v>
      </c>
      <c r="I2129" s="13">
        <v>-50.75</v>
      </c>
      <c r="J2129">
        <v>5.74</v>
      </c>
      <c r="K2129">
        <v>5.3</v>
      </c>
      <c r="L2129" t="s">
        <v>237</v>
      </c>
      <c r="M2129" t="s">
        <v>258</v>
      </c>
      <c r="N2129" s="5" t="s">
        <v>258</v>
      </c>
      <c r="O2129" t="s">
        <v>28</v>
      </c>
      <c r="P2129" t="s">
        <v>21</v>
      </c>
      <c r="Q2129" t="s">
        <v>67</v>
      </c>
      <c r="R2129">
        <v>0.55000000000000004</v>
      </c>
      <c r="S2129" s="1">
        <v>40082</v>
      </c>
      <c r="T2129" t="str">
        <f t="shared" si="67"/>
        <v>26-Sep-2009</v>
      </c>
    </row>
    <row r="2130" spans="1:20" x14ac:dyDescent="0.3">
      <c r="A2130">
        <v>19139</v>
      </c>
      <c r="B2130" s="1">
        <v>40515</v>
      </c>
      <c r="C2130" t="s">
        <v>31</v>
      </c>
      <c r="D2130" t="str">
        <f t="shared" si="66"/>
        <v>03-Dec-2010</v>
      </c>
      <c r="E2130">
        <v>15</v>
      </c>
      <c r="F2130" s="13">
        <v>94.84</v>
      </c>
      <c r="G2130">
        <v>0.01</v>
      </c>
      <c r="H2130" t="s">
        <v>19</v>
      </c>
      <c r="I2130" s="13">
        <v>-26.66</v>
      </c>
      <c r="J2130">
        <v>5.98</v>
      </c>
      <c r="K2130">
        <v>5.15</v>
      </c>
      <c r="L2130" t="s">
        <v>263</v>
      </c>
      <c r="M2130" t="s">
        <v>258</v>
      </c>
      <c r="N2130" s="5" t="s">
        <v>258</v>
      </c>
      <c r="O2130" t="s">
        <v>28</v>
      </c>
      <c r="P2130" t="s">
        <v>21</v>
      </c>
      <c r="Q2130" t="s">
        <v>37</v>
      </c>
      <c r="R2130">
        <v>0.36</v>
      </c>
      <c r="S2130" s="1">
        <v>40516</v>
      </c>
      <c r="T2130" t="str">
        <f t="shared" si="67"/>
        <v>04-Dec-2010</v>
      </c>
    </row>
    <row r="2131" spans="1:20" x14ac:dyDescent="0.3">
      <c r="A2131">
        <v>4800</v>
      </c>
      <c r="B2131" s="1">
        <v>40913</v>
      </c>
      <c r="C2131" t="s">
        <v>18</v>
      </c>
      <c r="D2131" t="str">
        <f t="shared" si="66"/>
        <v>05-Jan-2012</v>
      </c>
      <c r="E2131">
        <v>17</v>
      </c>
      <c r="F2131" s="13">
        <v>89.25</v>
      </c>
      <c r="G2131">
        <v>0.01</v>
      </c>
      <c r="H2131" t="s">
        <v>19</v>
      </c>
      <c r="I2131" s="13">
        <v>40.880000000000003</v>
      </c>
      <c r="J2131">
        <v>4.91</v>
      </c>
      <c r="K2131">
        <v>0.5</v>
      </c>
      <c r="L2131" t="s">
        <v>275</v>
      </c>
      <c r="M2131" t="s">
        <v>258</v>
      </c>
      <c r="N2131" s="5" t="s">
        <v>258</v>
      </c>
      <c r="O2131" t="s">
        <v>28</v>
      </c>
      <c r="P2131" t="s">
        <v>21</v>
      </c>
      <c r="Q2131" t="s">
        <v>48</v>
      </c>
      <c r="R2131">
        <v>0.36</v>
      </c>
      <c r="S2131" s="1">
        <v>40920</v>
      </c>
      <c r="T2131" t="str">
        <f t="shared" si="67"/>
        <v>12-Jan-2012</v>
      </c>
    </row>
    <row r="2132" spans="1:20" x14ac:dyDescent="0.3">
      <c r="A2132">
        <v>52291</v>
      </c>
      <c r="B2132" s="1">
        <v>40115</v>
      </c>
      <c r="C2132" t="s">
        <v>43</v>
      </c>
      <c r="D2132" t="str">
        <f t="shared" si="66"/>
        <v>29-Oct-2009</v>
      </c>
      <c r="E2132">
        <v>5</v>
      </c>
      <c r="F2132" s="13">
        <v>88.314999999999998</v>
      </c>
      <c r="G2132">
        <v>0.01</v>
      </c>
      <c r="H2132" t="s">
        <v>19</v>
      </c>
      <c r="I2132" s="13">
        <v>-72.400000000000006</v>
      </c>
      <c r="J2132">
        <v>20.99</v>
      </c>
      <c r="K2132">
        <v>0.99</v>
      </c>
      <c r="L2132" t="s">
        <v>257</v>
      </c>
      <c r="M2132" t="s">
        <v>258</v>
      </c>
      <c r="N2132" s="5" t="s">
        <v>258</v>
      </c>
      <c r="O2132" t="s">
        <v>28</v>
      </c>
      <c r="P2132" t="s">
        <v>29</v>
      </c>
      <c r="Q2132" t="s">
        <v>30</v>
      </c>
      <c r="R2132">
        <v>0.56999999999999995</v>
      </c>
      <c r="S2132" s="1">
        <v>40116</v>
      </c>
      <c r="T2132" t="str">
        <f t="shared" si="67"/>
        <v>30-Oct-2009</v>
      </c>
    </row>
    <row r="2133" spans="1:20" x14ac:dyDescent="0.3">
      <c r="A2133">
        <v>7075</v>
      </c>
      <c r="B2133" s="1">
        <v>40826</v>
      </c>
      <c r="C2133" t="s">
        <v>18</v>
      </c>
      <c r="D2133" t="str">
        <f t="shared" si="66"/>
        <v>10-Oct-2011</v>
      </c>
      <c r="E2133">
        <v>43</v>
      </c>
      <c r="F2133" s="13">
        <v>83.34</v>
      </c>
      <c r="G2133">
        <v>0.01</v>
      </c>
      <c r="H2133" t="s">
        <v>19</v>
      </c>
      <c r="I2133" s="13">
        <v>-93.18</v>
      </c>
      <c r="J2133">
        <v>1.86</v>
      </c>
      <c r="K2133">
        <v>2.58</v>
      </c>
      <c r="L2133" t="s">
        <v>242</v>
      </c>
      <c r="M2133" t="s">
        <v>258</v>
      </c>
      <c r="N2133" s="5" t="s">
        <v>258</v>
      </c>
      <c r="O2133" t="s">
        <v>28</v>
      </c>
      <c r="P2133" t="s">
        <v>21</v>
      </c>
      <c r="Q2133" t="s">
        <v>39</v>
      </c>
      <c r="R2133">
        <v>0.82</v>
      </c>
      <c r="S2133" s="1">
        <v>40830</v>
      </c>
      <c r="T2133" t="str">
        <f t="shared" si="67"/>
        <v>14-Oct-2011</v>
      </c>
    </row>
    <row r="2134" spans="1:20" x14ac:dyDescent="0.3">
      <c r="A2134">
        <v>4800</v>
      </c>
      <c r="B2134" s="1">
        <v>40913</v>
      </c>
      <c r="C2134" t="s">
        <v>18</v>
      </c>
      <c r="D2134" t="str">
        <f t="shared" si="66"/>
        <v>05-Jan-2012</v>
      </c>
      <c r="E2134">
        <v>7</v>
      </c>
      <c r="F2134" s="13">
        <v>79.81</v>
      </c>
      <c r="G2134">
        <v>7.0000000000000007E-2</v>
      </c>
      <c r="H2134" t="s">
        <v>19</v>
      </c>
      <c r="I2134" s="13">
        <v>-4.28</v>
      </c>
      <c r="J2134">
        <v>11.55</v>
      </c>
      <c r="K2134">
        <v>2.36</v>
      </c>
      <c r="L2134" t="s">
        <v>275</v>
      </c>
      <c r="M2134" t="s">
        <v>258</v>
      </c>
      <c r="N2134" s="5" t="s">
        <v>258</v>
      </c>
      <c r="O2134" t="s">
        <v>28</v>
      </c>
      <c r="P2134" t="s">
        <v>21</v>
      </c>
      <c r="Q2134" t="s">
        <v>50</v>
      </c>
      <c r="R2134">
        <v>0.55000000000000004</v>
      </c>
      <c r="S2134" s="1">
        <v>40918</v>
      </c>
      <c r="T2134" t="str">
        <f t="shared" si="67"/>
        <v>10-Jan-2012</v>
      </c>
    </row>
    <row r="2135" spans="1:20" x14ac:dyDescent="0.3">
      <c r="A2135">
        <v>20354</v>
      </c>
      <c r="B2135" s="1">
        <v>41171</v>
      </c>
      <c r="C2135" t="s">
        <v>43</v>
      </c>
      <c r="D2135" t="str">
        <f t="shared" si="66"/>
        <v>19-Sep-2012</v>
      </c>
      <c r="E2135">
        <v>24</v>
      </c>
      <c r="F2135" s="13">
        <v>76.06</v>
      </c>
      <c r="G2135">
        <v>0.02</v>
      </c>
      <c r="H2135" t="s">
        <v>19</v>
      </c>
      <c r="I2135" s="13">
        <v>30.03</v>
      </c>
      <c r="J2135">
        <v>3.15</v>
      </c>
      <c r="K2135">
        <v>0.49</v>
      </c>
      <c r="L2135" t="s">
        <v>100</v>
      </c>
      <c r="M2135" t="s">
        <v>258</v>
      </c>
      <c r="N2135" s="5" t="s">
        <v>258</v>
      </c>
      <c r="O2135" t="s">
        <v>28</v>
      </c>
      <c r="P2135" t="s">
        <v>21</v>
      </c>
      <c r="Q2135" t="s">
        <v>48</v>
      </c>
      <c r="R2135">
        <v>0.37</v>
      </c>
      <c r="S2135" s="1">
        <v>41173</v>
      </c>
      <c r="T2135" t="str">
        <f t="shared" si="67"/>
        <v>21-Sep-2012</v>
      </c>
    </row>
    <row r="2136" spans="1:20" x14ac:dyDescent="0.3">
      <c r="A2136">
        <v>56486</v>
      </c>
      <c r="B2136" s="1">
        <v>39961</v>
      </c>
      <c r="C2136" t="s">
        <v>43</v>
      </c>
      <c r="D2136" t="str">
        <f t="shared" si="66"/>
        <v>28-May-2009</v>
      </c>
      <c r="E2136">
        <v>11</v>
      </c>
      <c r="F2136" s="13">
        <v>73.62</v>
      </c>
      <c r="G2136">
        <v>0.03</v>
      </c>
      <c r="H2136" t="s">
        <v>19</v>
      </c>
      <c r="I2136" s="13">
        <v>-23.5</v>
      </c>
      <c r="J2136">
        <v>5.98</v>
      </c>
      <c r="K2136">
        <v>5.35</v>
      </c>
      <c r="L2136" t="s">
        <v>274</v>
      </c>
      <c r="M2136" t="s">
        <v>258</v>
      </c>
      <c r="N2136" s="5" t="s">
        <v>258</v>
      </c>
      <c r="O2136" t="s">
        <v>28</v>
      </c>
      <c r="P2136" t="s">
        <v>21</v>
      </c>
      <c r="Q2136" t="s">
        <v>37</v>
      </c>
      <c r="R2136">
        <v>0.4</v>
      </c>
      <c r="S2136" s="1">
        <v>39962</v>
      </c>
      <c r="T2136" t="str">
        <f t="shared" si="67"/>
        <v>29-May-2009</v>
      </c>
    </row>
    <row r="2137" spans="1:20" x14ac:dyDescent="0.3">
      <c r="A2137">
        <v>57025</v>
      </c>
      <c r="B2137" s="1">
        <v>41086</v>
      </c>
      <c r="C2137" t="s">
        <v>38</v>
      </c>
      <c r="D2137" t="str">
        <f t="shared" si="66"/>
        <v>26-Jun-2012</v>
      </c>
      <c r="E2137">
        <v>8</v>
      </c>
      <c r="F2137" s="13">
        <v>71.099999999999994</v>
      </c>
      <c r="G2137">
        <v>0.03</v>
      </c>
      <c r="H2137" t="s">
        <v>19</v>
      </c>
      <c r="I2137" s="13">
        <v>2.29</v>
      </c>
      <c r="J2137">
        <v>8.69</v>
      </c>
      <c r="K2137">
        <v>2.99</v>
      </c>
      <c r="L2137" t="s">
        <v>276</v>
      </c>
      <c r="M2137" t="s">
        <v>258</v>
      </c>
      <c r="N2137" s="5" t="s">
        <v>258</v>
      </c>
      <c r="O2137" t="s">
        <v>28</v>
      </c>
      <c r="P2137" t="s">
        <v>21</v>
      </c>
      <c r="Q2137" t="s">
        <v>26</v>
      </c>
      <c r="R2137">
        <v>0.39</v>
      </c>
      <c r="S2137" s="1">
        <v>41088</v>
      </c>
      <c r="T2137" t="str">
        <f t="shared" si="67"/>
        <v>28-Jun-2012</v>
      </c>
    </row>
    <row r="2138" spans="1:20" x14ac:dyDescent="0.3">
      <c r="A2138">
        <v>14112</v>
      </c>
      <c r="B2138" s="1">
        <v>40018</v>
      </c>
      <c r="C2138" t="s">
        <v>18</v>
      </c>
      <c r="D2138" t="str">
        <f t="shared" si="66"/>
        <v>24-Jul-2009</v>
      </c>
      <c r="E2138">
        <v>1</v>
      </c>
      <c r="F2138" s="13">
        <v>68.45</v>
      </c>
      <c r="G2138">
        <v>0.02</v>
      </c>
      <c r="H2138" t="s">
        <v>35</v>
      </c>
      <c r="I2138" s="13">
        <v>-25.76</v>
      </c>
      <c r="J2138">
        <v>50.98</v>
      </c>
      <c r="K2138">
        <v>13.66</v>
      </c>
      <c r="L2138" t="s">
        <v>240</v>
      </c>
      <c r="M2138" t="s">
        <v>258</v>
      </c>
      <c r="N2138" s="5" t="s">
        <v>258</v>
      </c>
      <c r="O2138" t="s">
        <v>28</v>
      </c>
      <c r="P2138" t="s">
        <v>21</v>
      </c>
      <c r="Q2138" t="s">
        <v>25</v>
      </c>
      <c r="R2138">
        <v>0.57999999999999996</v>
      </c>
      <c r="S2138" s="1">
        <v>40018</v>
      </c>
      <c r="T2138" t="str">
        <f t="shared" si="67"/>
        <v>24-Jul-2009</v>
      </c>
    </row>
    <row r="2139" spans="1:20" x14ac:dyDescent="0.3">
      <c r="A2139">
        <v>27841</v>
      </c>
      <c r="B2139" s="1">
        <v>41168</v>
      </c>
      <c r="C2139" t="s">
        <v>23</v>
      </c>
      <c r="D2139" t="str">
        <f t="shared" si="66"/>
        <v>16-Sep-2012</v>
      </c>
      <c r="E2139">
        <v>33</v>
      </c>
      <c r="F2139" s="13">
        <v>67.849999999999994</v>
      </c>
      <c r="G2139">
        <v>0.05</v>
      </c>
      <c r="H2139" t="s">
        <v>19</v>
      </c>
      <c r="I2139" s="13">
        <v>1.05</v>
      </c>
      <c r="J2139">
        <v>2.1</v>
      </c>
      <c r="K2139">
        <v>0.7</v>
      </c>
      <c r="L2139" t="s">
        <v>273</v>
      </c>
      <c r="M2139" t="s">
        <v>258</v>
      </c>
      <c r="N2139" s="5" t="s">
        <v>258</v>
      </c>
      <c r="O2139" t="s">
        <v>28</v>
      </c>
      <c r="P2139" t="s">
        <v>21</v>
      </c>
      <c r="Q2139" t="s">
        <v>50</v>
      </c>
      <c r="R2139">
        <v>0.56999999999999995</v>
      </c>
      <c r="S2139" s="1">
        <v>41170</v>
      </c>
      <c r="T2139" t="str">
        <f t="shared" si="67"/>
        <v>18-Sep-2012</v>
      </c>
    </row>
    <row r="2140" spans="1:20" x14ac:dyDescent="0.3">
      <c r="A2140">
        <v>5543</v>
      </c>
      <c r="B2140" s="1">
        <v>40445</v>
      </c>
      <c r="C2140" t="s">
        <v>38</v>
      </c>
      <c r="D2140" t="str">
        <f t="shared" si="66"/>
        <v>24-Sep-2010</v>
      </c>
      <c r="E2140">
        <v>27</v>
      </c>
      <c r="F2140" s="13">
        <v>67.3</v>
      </c>
      <c r="G2140">
        <v>0.02</v>
      </c>
      <c r="H2140" t="s">
        <v>19</v>
      </c>
      <c r="I2140" s="13">
        <v>-115.38</v>
      </c>
      <c r="J2140">
        <v>2.1800000000000002</v>
      </c>
      <c r="K2140">
        <v>5</v>
      </c>
      <c r="L2140" t="s">
        <v>276</v>
      </c>
      <c r="M2140" t="s">
        <v>258</v>
      </c>
      <c r="N2140" s="5" t="s">
        <v>258</v>
      </c>
      <c r="O2140" t="s">
        <v>28</v>
      </c>
      <c r="P2140" t="s">
        <v>21</v>
      </c>
      <c r="Q2140" t="s">
        <v>67</v>
      </c>
      <c r="R2140">
        <v>0.81</v>
      </c>
      <c r="S2140" s="1">
        <v>40447</v>
      </c>
      <c r="T2140" t="str">
        <f t="shared" si="67"/>
        <v>26-Sep-2010</v>
      </c>
    </row>
    <row r="2141" spans="1:20" x14ac:dyDescent="0.3">
      <c r="A2141">
        <v>5543</v>
      </c>
      <c r="B2141" s="1">
        <v>40445</v>
      </c>
      <c r="C2141" t="s">
        <v>38</v>
      </c>
      <c r="D2141" t="str">
        <f t="shared" si="66"/>
        <v>24-Sep-2010</v>
      </c>
      <c r="E2141">
        <v>6</v>
      </c>
      <c r="F2141" s="13">
        <v>65.930000000000007</v>
      </c>
      <c r="G2141">
        <v>0.04</v>
      </c>
      <c r="H2141" t="s">
        <v>19</v>
      </c>
      <c r="I2141" s="13">
        <v>11.06</v>
      </c>
      <c r="J2141">
        <v>10.31</v>
      </c>
      <c r="K2141">
        <v>1.79</v>
      </c>
      <c r="L2141" t="s">
        <v>276</v>
      </c>
      <c r="M2141" t="s">
        <v>258</v>
      </c>
      <c r="N2141" s="5" t="s">
        <v>258</v>
      </c>
      <c r="O2141" t="s">
        <v>28</v>
      </c>
      <c r="P2141" t="s">
        <v>21</v>
      </c>
      <c r="Q2141" t="s">
        <v>37</v>
      </c>
      <c r="R2141">
        <v>0.38</v>
      </c>
      <c r="S2141" s="1">
        <v>40448</v>
      </c>
      <c r="T2141" t="str">
        <f t="shared" si="67"/>
        <v>27-Sep-2010</v>
      </c>
    </row>
    <row r="2142" spans="1:20" x14ac:dyDescent="0.3">
      <c r="A2142">
        <v>51047</v>
      </c>
      <c r="B2142" s="1">
        <v>39913</v>
      </c>
      <c r="C2142" t="s">
        <v>38</v>
      </c>
      <c r="D2142" t="str">
        <f t="shared" si="66"/>
        <v>10-Apr-2009</v>
      </c>
      <c r="E2142">
        <v>28</v>
      </c>
      <c r="F2142" s="13">
        <v>65.7</v>
      </c>
      <c r="G2142">
        <v>0.02</v>
      </c>
      <c r="H2142" t="s">
        <v>35</v>
      </c>
      <c r="I2142" s="13">
        <v>-83.54</v>
      </c>
      <c r="J2142">
        <v>1.76</v>
      </c>
      <c r="K2142">
        <v>4.8600000000000003</v>
      </c>
      <c r="L2142" t="s">
        <v>269</v>
      </c>
      <c r="M2142" t="s">
        <v>258</v>
      </c>
      <c r="N2142" s="5" t="s">
        <v>258</v>
      </c>
      <c r="O2142" t="s">
        <v>28</v>
      </c>
      <c r="P2142" t="s">
        <v>32</v>
      </c>
      <c r="Q2142" t="s">
        <v>33</v>
      </c>
      <c r="R2142">
        <v>0.41</v>
      </c>
      <c r="S2142" s="1">
        <v>39914</v>
      </c>
      <c r="T2142" t="str">
        <f t="shared" si="67"/>
        <v>11-Apr-2009</v>
      </c>
    </row>
    <row r="2143" spans="1:20" x14ac:dyDescent="0.3">
      <c r="A2143">
        <v>26630</v>
      </c>
      <c r="B2143" s="1">
        <v>40509</v>
      </c>
      <c r="C2143" t="s">
        <v>23</v>
      </c>
      <c r="D2143" t="str">
        <f t="shared" si="66"/>
        <v>27-Nov-2010</v>
      </c>
      <c r="E2143">
        <v>9</v>
      </c>
      <c r="F2143" s="13">
        <v>65.67</v>
      </c>
      <c r="G2143">
        <v>0.02</v>
      </c>
      <c r="H2143" t="s">
        <v>19</v>
      </c>
      <c r="I2143" s="13">
        <v>-35.200000000000003</v>
      </c>
      <c r="J2143">
        <v>6.48</v>
      </c>
      <c r="K2143">
        <v>7.37</v>
      </c>
      <c r="L2143" t="s">
        <v>100</v>
      </c>
      <c r="M2143" t="s">
        <v>258</v>
      </c>
      <c r="N2143" s="5" t="s">
        <v>258</v>
      </c>
      <c r="O2143" t="s">
        <v>28</v>
      </c>
      <c r="P2143" t="s">
        <v>21</v>
      </c>
      <c r="Q2143" t="s">
        <v>37</v>
      </c>
      <c r="R2143">
        <v>0.37</v>
      </c>
      <c r="S2143" s="1">
        <v>40511</v>
      </c>
      <c r="T2143" t="str">
        <f t="shared" si="67"/>
        <v>29-Nov-2010</v>
      </c>
    </row>
    <row r="2144" spans="1:20" x14ac:dyDescent="0.3">
      <c r="A2144">
        <v>4004</v>
      </c>
      <c r="B2144" s="1">
        <v>40304</v>
      </c>
      <c r="C2144" t="s">
        <v>38</v>
      </c>
      <c r="D2144" t="str">
        <f t="shared" si="66"/>
        <v>06-May-2010</v>
      </c>
      <c r="E2144">
        <v>14</v>
      </c>
      <c r="F2144" s="13">
        <v>63.52</v>
      </c>
      <c r="G2144">
        <v>0.1</v>
      </c>
      <c r="H2144" t="s">
        <v>19</v>
      </c>
      <c r="I2144" s="13">
        <v>8.66</v>
      </c>
      <c r="J2144">
        <v>4.84</v>
      </c>
      <c r="K2144">
        <v>0.71</v>
      </c>
      <c r="L2144" t="s">
        <v>274</v>
      </c>
      <c r="M2144" t="s">
        <v>258</v>
      </c>
      <c r="N2144" s="5" t="s">
        <v>258</v>
      </c>
      <c r="O2144" t="s">
        <v>28</v>
      </c>
      <c r="P2144" t="s">
        <v>21</v>
      </c>
      <c r="Q2144" t="s">
        <v>50</v>
      </c>
      <c r="R2144">
        <v>0.52</v>
      </c>
      <c r="S2144" s="1">
        <v>40307</v>
      </c>
      <c r="T2144" t="str">
        <f t="shared" si="67"/>
        <v>09-May-2010</v>
      </c>
    </row>
    <row r="2145" spans="1:20" x14ac:dyDescent="0.3">
      <c r="A2145">
        <v>46337</v>
      </c>
      <c r="B2145" s="1">
        <v>41026</v>
      </c>
      <c r="C2145" t="s">
        <v>18</v>
      </c>
      <c r="D2145" t="str">
        <f t="shared" si="66"/>
        <v>27-Apr-2012</v>
      </c>
      <c r="E2145">
        <v>34</v>
      </c>
      <c r="F2145" s="13">
        <v>61.45</v>
      </c>
      <c r="G2145">
        <v>0.06</v>
      </c>
      <c r="H2145" t="s">
        <v>19</v>
      </c>
      <c r="I2145" s="13">
        <v>0.62</v>
      </c>
      <c r="J2145">
        <v>1.76</v>
      </c>
      <c r="K2145">
        <v>0.7</v>
      </c>
      <c r="L2145" t="s">
        <v>253</v>
      </c>
      <c r="M2145" t="s">
        <v>258</v>
      </c>
      <c r="N2145" s="5" t="s">
        <v>258</v>
      </c>
      <c r="O2145" t="s">
        <v>28</v>
      </c>
      <c r="P2145" t="s">
        <v>21</v>
      </c>
      <c r="Q2145" t="s">
        <v>50</v>
      </c>
      <c r="R2145">
        <v>0.56000000000000005</v>
      </c>
      <c r="S2145" s="1">
        <v>41031</v>
      </c>
      <c r="T2145" t="str">
        <f t="shared" si="67"/>
        <v>02-May-2012</v>
      </c>
    </row>
    <row r="2146" spans="1:20" x14ac:dyDescent="0.3">
      <c r="A2146">
        <v>51556</v>
      </c>
      <c r="B2146" s="1">
        <v>41209</v>
      </c>
      <c r="C2146" t="s">
        <v>23</v>
      </c>
      <c r="D2146" t="str">
        <f t="shared" si="66"/>
        <v>27-Oct-2012</v>
      </c>
      <c r="E2146">
        <v>10</v>
      </c>
      <c r="F2146" s="13">
        <v>45.69</v>
      </c>
      <c r="G2146">
        <v>0.01</v>
      </c>
      <c r="H2146" t="s">
        <v>35</v>
      </c>
      <c r="I2146" s="13">
        <v>-24.21</v>
      </c>
      <c r="J2146">
        <v>3.57</v>
      </c>
      <c r="K2146">
        <v>4.17</v>
      </c>
      <c r="L2146" t="s">
        <v>97</v>
      </c>
      <c r="M2146" t="s">
        <v>258</v>
      </c>
      <c r="N2146" s="5" t="s">
        <v>258</v>
      </c>
      <c r="O2146" t="s">
        <v>28</v>
      </c>
      <c r="P2146" t="s">
        <v>21</v>
      </c>
      <c r="Q2146" t="s">
        <v>50</v>
      </c>
      <c r="R2146">
        <v>0.59</v>
      </c>
      <c r="S2146" s="1">
        <v>41211</v>
      </c>
      <c r="T2146" t="str">
        <f t="shared" si="67"/>
        <v>29-Oct-2012</v>
      </c>
    </row>
    <row r="2147" spans="1:20" x14ac:dyDescent="0.3">
      <c r="A2147">
        <v>26432</v>
      </c>
      <c r="B2147" s="1">
        <v>40177</v>
      </c>
      <c r="C2147" t="s">
        <v>18</v>
      </c>
      <c r="D2147" t="str">
        <f t="shared" si="66"/>
        <v>30-Dec-2009</v>
      </c>
      <c r="E2147">
        <v>11</v>
      </c>
      <c r="F2147" s="13">
        <v>45.18</v>
      </c>
      <c r="G2147">
        <v>0.1</v>
      </c>
      <c r="H2147" t="s">
        <v>35</v>
      </c>
      <c r="I2147" s="13">
        <v>-10.77</v>
      </c>
      <c r="J2147">
        <v>3.98</v>
      </c>
      <c r="K2147">
        <v>2.97</v>
      </c>
      <c r="L2147" t="s">
        <v>100</v>
      </c>
      <c r="M2147" t="s">
        <v>258</v>
      </c>
      <c r="N2147" s="5" t="s">
        <v>258</v>
      </c>
      <c r="O2147" t="s">
        <v>28</v>
      </c>
      <c r="P2147" t="s">
        <v>21</v>
      </c>
      <c r="Q2147" t="s">
        <v>37</v>
      </c>
      <c r="R2147">
        <v>0.35</v>
      </c>
      <c r="S2147" s="1">
        <v>40182</v>
      </c>
      <c r="T2147" t="str">
        <f t="shared" si="67"/>
        <v>04-Jan-2010</v>
      </c>
    </row>
    <row r="2148" spans="1:20" x14ac:dyDescent="0.3">
      <c r="A2148">
        <v>4800</v>
      </c>
      <c r="B2148" s="1">
        <v>40913</v>
      </c>
      <c r="C2148" t="s">
        <v>18</v>
      </c>
      <c r="D2148" t="str">
        <f t="shared" si="66"/>
        <v>05-Jan-2012</v>
      </c>
      <c r="E2148">
        <v>4</v>
      </c>
      <c r="F2148" s="13">
        <v>41.94</v>
      </c>
      <c r="G2148">
        <v>0.05</v>
      </c>
      <c r="H2148" t="s">
        <v>19</v>
      </c>
      <c r="I2148" s="13">
        <v>-26.17</v>
      </c>
      <c r="J2148">
        <v>8.0399999999999991</v>
      </c>
      <c r="K2148">
        <v>8.94</v>
      </c>
      <c r="L2148" t="s">
        <v>275</v>
      </c>
      <c r="M2148" t="s">
        <v>258</v>
      </c>
      <c r="N2148" s="5" t="s">
        <v>258</v>
      </c>
      <c r="O2148" t="s">
        <v>28</v>
      </c>
      <c r="P2148" t="s">
        <v>21</v>
      </c>
      <c r="Q2148" t="s">
        <v>26</v>
      </c>
      <c r="R2148">
        <v>0.4</v>
      </c>
      <c r="S2148" s="1">
        <v>40920</v>
      </c>
      <c r="T2148" t="str">
        <f t="shared" si="67"/>
        <v>12-Jan-2012</v>
      </c>
    </row>
    <row r="2149" spans="1:20" x14ac:dyDescent="0.3">
      <c r="A2149">
        <v>35360</v>
      </c>
      <c r="B2149" s="1">
        <v>40651</v>
      </c>
      <c r="C2149" t="s">
        <v>43</v>
      </c>
      <c r="D2149" t="str">
        <f t="shared" si="66"/>
        <v>18-Apr-2011</v>
      </c>
      <c r="E2149">
        <v>4</v>
      </c>
      <c r="F2149" s="13">
        <v>41.06</v>
      </c>
      <c r="G2149">
        <v>0.04</v>
      </c>
      <c r="H2149" t="s">
        <v>19</v>
      </c>
      <c r="I2149" s="13">
        <v>-16.39</v>
      </c>
      <c r="J2149">
        <v>8.8800000000000008</v>
      </c>
      <c r="K2149">
        <v>6.28</v>
      </c>
      <c r="L2149" t="s">
        <v>231</v>
      </c>
      <c r="M2149" t="s">
        <v>258</v>
      </c>
      <c r="N2149" s="5" t="s">
        <v>258</v>
      </c>
      <c r="O2149" t="s">
        <v>28</v>
      </c>
      <c r="P2149" t="s">
        <v>21</v>
      </c>
      <c r="Q2149" t="s">
        <v>26</v>
      </c>
      <c r="R2149">
        <v>0.35</v>
      </c>
      <c r="S2149" s="1">
        <v>40653</v>
      </c>
      <c r="T2149" t="str">
        <f t="shared" si="67"/>
        <v>20-Apr-2011</v>
      </c>
    </row>
    <row r="2150" spans="1:20" x14ac:dyDescent="0.3">
      <c r="A2150">
        <v>4960</v>
      </c>
      <c r="B2150" s="1">
        <v>40599</v>
      </c>
      <c r="C2150" t="s">
        <v>18</v>
      </c>
      <c r="D2150" t="str">
        <f t="shared" si="66"/>
        <v>25-Feb-2011</v>
      </c>
      <c r="E2150">
        <v>4</v>
      </c>
      <c r="F2150" s="13">
        <v>40.869999999999997</v>
      </c>
      <c r="G2150">
        <v>0.04</v>
      </c>
      <c r="H2150" t="s">
        <v>35</v>
      </c>
      <c r="I2150" s="13">
        <v>-16.38</v>
      </c>
      <c r="J2150">
        <v>6.48</v>
      </c>
      <c r="K2150">
        <v>8.74</v>
      </c>
      <c r="L2150" t="s">
        <v>178</v>
      </c>
      <c r="M2150" t="s">
        <v>258</v>
      </c>
      <c r="N2150" s="5" t="s">
        <v>258</v>
      </c>
      <c r="O2150" t="s">
        <v>28</v>
      </c>
      <c r="P2150" t="s">
        <v>21</v>
      </c>
      <c r="Q2150" t="s">
        <v>37</v>
      </c>
      <c r="R2150">
        <v>0.36</v>
      </c>
      <c r="S2150" s="1">
        <v>40601</v>
      </c>
      <c r="T2150" t="str">
        <f t="shared" si="67"/>
        <v>27-Feb-2011</v>
      </c>
    </row>
    <row r="2151" spans="1:20" x14ac:dyDescent="0.3">
      <c r="A2151">
        <v>7846</v>
      </c>
      <c r="B2151" s="1">
        <v>40719</v>
      </c>
      <c r="C2151" t="s">
        <v>18</v>
      </c>
      <c r="D2151" t="str">
        <f t="shared" si="66"/>
        <v>25-Jun-2011</v>
      </c>
      <c r="E2151">
        <v>20</v>
      </c>
      <c r="F2151" s="13">
        <v>40.049999999999997</v>
      </c>
      <c r="G2151">
        <v>0.1</v>
      </c>
      <c r="H2151" t="s">
        <v>19</v>
      </c>
      <c r="I2151" s="13">
        <v>-10.220000000000001</v>
      </c>
      <c r="J2151">
        <v>2.08</v>
      </c>
      <c r="K2151">
        <v>1.49</v>
      </c>
      <c r="L2151" t="s">
        <v>197</v>
      </c>
      <c r="M2151" t="s">
        <v>258</v>
      </c>
      <c r="N2151" s="5" t="s">
        <v>258</v>
      </c>
      <c r="O2151" t="s">
        <v>28</v>
      </c>
      <c r="P2151" t="s">
        <v>21</v>
      </c>
      <c r="Q2151" t="s">
        <v>26</v>
      </c>
      <c r="R2151">
        <v>0.36</v>
      </c>
      <c r="S2151" s="1">
        <v>40724</v>
      </c>
      <c r="T2151" t="str">
        <f t="shared" si="67"/>
        <v>30-Jun-2011</v>
      </c>
    </row>
    <row r="2152" spans="1:20" x14ac:dyDescent="0.3">
      <c r="A2152">
        <v>46341</v>
      </c>
      <c r="B2152" s="1">
        <v>40164</v>
      </c>
      <c r="C2152" t="s">
        <v>23</v>
      </c>
      <c r="D2152" t="str">
        <f t="shared" si="66"/>
        <v>17-Dec-2009</v>
      </c>
      <c r="E2152">
        <v>23</v>
      </c>
      <c r="F2152" s="13">
        <v>39.130000000000003</v>
      </c>
      <c r="G2152">
        <v>0.1</v>
      </c>
      <c r="H2152" t="s">
        <v>19</v>
      </c>
      <c r="I2152" s="13">
        <v>-23.14</v>
      </c>
      <c r="J2152">
        <v>1.68</v>
      </c>
      <c r="K2152">
        <v>1.57</v>
      </c>
      <c r="L2152" t="s">
        <v>228</v>
      </c>
      <c r="M2152" t="s">
        <v>258</v>
      </c>
      <c r="N2152" s="5" t="s">
        <v>258</v>
      </c>
      <c r="O2152" t="s">
        <v>28</v>
      </c>
      <c r="P2152" t="s">
        <v>21</v>
      </c>
      <c r="Q2152" t="s">
        <v>50</v>
      </c>
      <c r="R2152">
        <v>0.59</v>
      </c>
      <c r="S2152" s="1">
        <v>40165</v>
      </c>
      <c r="T2152" t="str">
        <f t="shared" si="67"/>
        <v>18-Dec-2009</v>
      </c>
    </row>
    <row r="2153" spans="1:20" x14ac:dyDescent="0.3">
      <c r="A2153">
        <v>35905</v>
      </c>
      <c r="B2153" s="1">
        <v>40958</v>
      </c>
      <c r="C2153" t="s">
        <v>18</v>
      </c>
      <c r="D2153" t="str">
        <f t="shared" si="66"/>
        <v>19-Feb-2012</v>
      </c>
      <c r="E2153">
        <v>20</v>
      </c>
      <c r="F2153" s="13">
        <v>37.4</v>
      </c>
      <c r="G2153">
        <v>0.09</v>
      </c>
      <c r="H2153" t="s">
        <v>35</v>
      </c>
      <c r="I2153" s="13">
        <v>-17.18</v>
      </c>
      <c r="J2153">
        <v>1.68</v>
      </c>
      <c r="K2153">
        <v>1.57</v>
      </c>
      <c r="L2153" t="s">
        <v>245</v>
      </c>
      <c r="M2153" t="s">
        <v>258</v>
      </c>
      <c r="N2153" s="5" t="s">
        <v>258</v>
      </c>
      <c r="O2153" t="s">
        <v>28</v>
      </c>
      <c r="P2153" t="s">
        <v>21</v>
      </c>
      <c r="Q2153" t="s">
        <v>50</v>
      </c>
      <c r="R2153">
        <v>0.59</v>
      </c>
      <c r="S2153" s="1">
        <v>40963</v>
      </c>
      <c r="T2153" t="str">
        <f t="shared" si="67"/>
        <v>24-Feb-2012</v>
      </c>
    </row>
    <row r="2154" spans="1:20" x14ac:dyDescent="0.3">
      <c r="A2154">
        <v>37792</v>
      </c>
      <c r="B2154" s="1">
        <v>40906</v>
      </c>
      <c r="C2154" t="s">
        <v>23</v>
      </c>
      <c r="D2154" t="str">
        <f t="shared" si="66"/>
        <v>29-Dec-2011</v>
      </c>
      <c r="E2154">
        <v>14</v>
      </c>
      <c r="F2154" s="13">
        <v>36.74</v>
      </c>
      <c r="G2154">
        <v>0.09</v>
      </c>
      <c r="H2154" t="s">
        <v>19</v>
      </c>
      <c r="I2154" s="13">
        <v>-5.36</v>
      </c>
      <c r="J2154">
        <v>2.78</v>
      </c>
      <c r="K2154">
        <v>0.97</v>
      </c>
      <c r="L2154" t="s">
        <v>227</v>
      </c>
      <c r="M2154" t="s">
        <v>258</v>
      </c>
      <c r="N2154" s="5" t="s">
        <v>258</v>
      </c>
      <c r="O2154" t="s">
        <v>28</v>
      </c>
      <c r="P2154" t="s">
        <v>21</v>
      </c>
      <c r="Q2154" t="s">
        <v>50</v>
      </c>
      <c r="R2154">
        <v>0.59</v>
      </c>
      <c r="S2154" s="1">
        <v>40907</v>
      </c>
      <c r="T2154" t="str">
        <f t="shared" si="67"/>
        <v>30-Dec-2011</v>
      </c>
    </row>
    <row r="2155" spans="1:20" x14ac:dyDescent="0.3">
      <c r="A2155">
        <v>17317</v>
      </c>
      <c r="B2155" s="1">
        <v>40150</v>
      </c>
      <c r="C2155" t="s">
        <v>31</v>
      </c>
      <c r="D2155" t="str">
        <f t="shared" si="66"/>
        <v>03-Dec-2009</v>
      </c>
      <c r="E2155">
        <v>7</v>
      </c>
      <c r="F2155" s="13">
        <v>34.659999999999997</v>
      </c>
      <c r="G2155">
        <v>0.06</v>
      </c>
      <c r="H2155" t="s">
        <v>19</v>
      </c>
      <c r="I2155" s="13">
        <v>-20.87</v>
      </c>
      <c r="J2155">
        <v>4.42</v>
      </c>
      <c r="K2155">
        <v>4.99</v>
      </c>
      <c r="L2155" t="s">
        <v>280</v>
      </c>
      <c r="M2155" t="s">
        <v>258</v>
      </c>
      <c r="N2155" s="5" t="s">
        <v>258</v>
      </c>
      <c r="O2155" t="s">
        <v>28</v>
      </c>
      <c r="P2155" t="s">
        <v>21</v>
      </c>
      <c r="Q2155" t="s">
        <v>42</v>
      </c>
      <c r="R2155">
        <v>0.38</v>
      </c>
      <c r="S2155" s="1">
        <v>40152</v>
      </c>
      <c r="T2155" t="str">
        <f t="shared" si="67"/>
        <v>05-Dec-2009</v>
      </c>
    </row>
    <row r="2156" spans="1:20" x14ac:dyDescent="0.3">
      <c r="A2156">
        <v>55077</v>
      </c>
      <c r="B2156" s="1">
        <v>40820</v>
      </c>
      <c r="C2156" t="s">
        <v>43</v>
      </c>
      <c r="D2156" t="str">
        <f t="shared" si="66"/>
        <v>04-Oct-2011</v>
      </c>
      <c r="E2156">
        <v>2</v>
      </c>
      <c r="F2156" s="13">
        <v>31.7</v>
      </c>
      <c r="G2156">
        <v>0.05</v>
      </c>
      <c r="H2156" t="s">
        <v>19</v>
      </c>
      <c r="I2156" s="13">
        <v>-44.39</v>
      </c>
      <c r="J2156">
        <v>14.48</v>
      </c>
      <c r="K2156">
        <v>1.99</v>
      </c>
      <c r="L2156" t="s">
        <v>279</v>
      </c>
      <c r="M2156" t="s">
        <v>258</v>
      </c>
      <c r="N2156" s="5" t="s">
        <v>258</v>
      </c>
      <c r="O2156" t="s">
        <v>28</v>
      </c>
      <c r="P2156" t="s">
        <v>29</v>
      </c>
      <c r="Q2156" t="s">
        <v>41</v>
      </c>
      <c r="R2156">
        <v>0.49</v>
      </c>
      <c r="S2156" s="1">
        <v>40822</v>
      </c>
      <c r="T2156" t="str">
        <f t="shared" si="67"/>
        <v>06-Oct-2011</v>
      </c>
    </row>
    <row r="2157" spans="1:20" x14ac:dyDescent="0.3">
      <c r="A2157">
        <v>43172</v>
      </c>
      <c r="B2157" s="1">
        <v>39997</v>
      </c>
      <c r="C2157" t="s">
        <v>18</v>
      </c>
      <c r="D2157" t="str">
        <f t="shared" si="66"/>
        <v>03-Jul-2009</v>
      </c>
      <c r="E2157">
        <v>19</v>
      </c>
      <c r="F2157" s="13">
        <v>28.34</v>
      </c>
      <c r="G2157">
        <v>0.09</v>
      </c>
      <c r="H2157" t="s">
        <v>19</v>
      </c>
      <c r="I2157" s="13">
        <v>1.68</v>
      </c>
      <c r="J2157">
        <v>1.48</v>
      </c>
      <c r="K2157">
        <v>0.7</v>
      </c>
      <c r="L2157" t="s">
        <v>253</v>
      </c>
      <c r="M2157" t="s">
        <v>258</v>
      </c>
      <c r="N2157" s="5" t="s">
        <v>258</v>
      </c>
      <c r="O2157" t="s">
        <v>28</v>
      </c>
      <c r="P2157" t="s">
        <v>21</v>
      </c>
      <c r="Q2157" t="s">
        <v>39</v>
      </c>
      <c r="R2157">
        <v>0.37</v>
      </c>
      <c r="S2157" s="1">
        <v>39999</v>
      </c>
      <c r="T2157" t="str">
        <f t="shared" si="67"/>
        <v>05-Jul-2009</v>
      </c>
    </row>
    <row r="2158" spans="1:20" x14ac:dyDescent="0.3">
      <c r="A2158">
        <v>51463</v>
      </c>
      <c r="B2158" s="1">
        <v>40894</v>
      </c>
      <c r="C2158" t="s">
        <v>18</v>
      </c>
      <c r="D2158" t="str">
        <f t="shared" si="66"/>
        <v>17-Dec-2011</v>
      </c>
      <c r="E2158">
        <v>4</v>
      </c>
      <c r="F2158" s="13">
        <v>28.34</v>
      </c>
      <c r="G2158">
        <v>0.01</v>
      </c>
      <c r="H2158" t="s">
        <v>19</v>
      </c>
      <c r="I2158" s="13">
        <v>-18.55</v>
      </c>
      <c r="J2158">
        <v>4.9800000000000004</v>
      </c>
      <c r="K2158">
        <v>7.44</v>
      </c>
      <c r="L2158" t="s">
        <v>253</v>
      </c>
      <c r="M2158" t="s">
        <v>258</v>
      </c>
      <c r="N2158" s="5" t="s">
        <v>258</v>
      </c>
      <c r="O2158" t="s">
        <v>28</v>
      </c>
      <c r="P2158" t="s">
        <v>21</v>
      </c>
      <c r="Q2158" t="s">
        <v>37</v>
      </c>
      <c r="R2158">
        <v>0.36</v>
      </c>
      <c r="S2158" s="1">
        <v>40903</v>
      </c>
      <c r="T2158" t="str">
        <f t="shared" si="67"/>
        <v>26-Dec-2011</v>
      </c>
    </row>
    <row r="2159" spans="1:20" x14ac:dyDescent="0.3">
      <c r="A2159">
        <v>44487</v>
      </c>
      <c r="B2159" s="1">
        <v>40067</v>
      </c>
      <c r="C2159" t="s">
        <v>43</v>
      </c>
      <c r="D2159" t="str">
        <f t="shared" si="66"/>
        <v>11-Sep-2009</v>
      </c>
      <c r="E2159">
        <v>4</v>
      </c>
      <c r="F2159" s="13">
        <v>28.15</v>
      </c>
      <c r="G2159">
        <v>0.09</v>
      </c>
      <c r="H2159" t="s">
        <v>19</v>
      </c>
      <c r="I2159" s="13">
        <v>-10.09</v>
      </c>
      <c r="J2159">
        <v>6.28</v>
      </c>
      <c r="K2159">
        <v>5.29</v>
      </c>
      <c r="L2159" t="s">
        <v>263</v>
      </c>
      <c r="M2159" t="s">
        <v>258</v>
      </c>
      <c r="N2159" s="5" t="s">
        <v>258</v>
      </c>
      <c r="O2159" t="s">
        <v>28</v>
      </c>
      <c r="P2159" t="s">
        <v>32</v>
      </c>
      <c r="Q2159" t="s">
        <v>33</v>
      </c>
      <c r="R2159">
        <v>0.43</v>
      </c>
      <c r="S2159" s="1">
        <v>40068</v>
      </c>
      <c r="T2159" t="str">
        <f t="shared" si="67"/>
        <v>12-Sep-2009</v>
      </c>
    </row>
    <row r="2160" spans="1:20" x14ac:dyDescent="0.3">
      <c r="A2160">
        <v>7846</v>
      </c>
      <c r="B2160" s="1">
        <v>40719</v>
      </c>
      <c r="C2160" t="s">
        <v>18</v>
      </c>
      <c r="D2160" t="str">
        <f t="shared" si="66"/>
        <v>25-Jun-2011</v>
      </c>
      <c r="E2160">
        <v>12</v>
      </c>
      <c r="F2160" s="13">
        <v>26.33</v>
      </c>
      <c r="G2160">
        <v>0.05</v>
      </c>
      <c r="H2160" t="s">
        <v>19</v>
      </c>
      <c r="I2160" s="13">
        <v>-33.61</v>
      </c>
      <c r="J2160">
        <v>1.76</v>
      </c>
      <c r="K2160">
        <v>4.8600000000000003</v>
      </c>
      <c r="L2160" t="s">
        <v>197</v>
      </c>
      <c r="M2160" t="s">
        <v>258</v>
      </c>
      <c r="N2160" s="5" t="s">
        <v>258</v>
      </c>
      <c r="O2160" t="s">
        <v>28</v>
      </c>
      <c r="P2160" t="s">
        <v>32</v>
      </c>
      <c r="Q2160" t="s">
        <v>33</v>
      </c>
      <c r="R2160">
        <v>0.41</v>
      </c>
      <c r="S2160" s="1">
        <v>40719</v>
      </c>
      <c r="T2160" t="str">
        <f t="shared" si="67"/>
        <v>25-Jun-2011</v>
      </c>
    </row>
    <row r="2161" spans="1:20" x14ac:dyDescent="0.3">
      <c r="A2161">
        <v>45670</v>
      </c>
      <c r="B2161" s="1">
        <v>41128</v>
      </c>
      <c r="C2161" t="s">
        <v>18</v>
      </c>
      <c r="D2161" t="str">
        <f t="shared" si="66"/>
        <v>07-Aug-2012</v>
      </c>
      <c r="E2161">
        <v>2</v>
      </c>
      <c r="F2161" s="13">
        <v>20.16</v>
      </c>
      <c r="G2161">
        <v>0.06</v>
      </c>
      <c r="H2161" t="s">
        <v>19</v>
      </c>
      <c r="I2161" s="13">
        <v>-13.32</v>
      </c>
      <c r="J2161">
        <v>6.48</v>
      </c>
      <c r="K2161">
        <v>7.86</v>
      </c>
      <c r="L2161" t="s">
        <v>221</v>
      </c>
      <c r="M2161" t="s">
        <v>258</v>
      </c>
      <c r="N2161" s="5" t="s">
        <v>258</v>
      </c>
      <c r="O2161" t="s">
        <v>28</v>
      </c>
      <c r="P2161" t="s">
        <v>21</v>
      </c>
      <c r="Q2161" t="s">
        <v>37</v>
      </c>
      <c r="R2161">
        <v>0.37</v>
      </c>
      <c r="S2161" s="1">
        <v>41132</v>
      </c>
      <c r="T2161" t="str">
        <f t="shared" si="67"/>
        <v>11-Aug-2012</v>
      </c>
    </row>
    <row r="2162" spans="1:20" x14ac:dyDescent="0.3">
      <c r="A2162">
        <v>1537</v>
      </c>
      <c r="B2162" s="1">
        <v>40953</v>
      </c>
      <c r="C2162" t="s">
        <v>31</v>
      </c>
      <c r="D2162" t="str">
        <f t="shared" si="66"/>
        <v>14-Feb-2012</v>
      </c>
      <c r="E2162">
        <v>5</v>
      </c>
      <c r="F2162" s="13">
        <v>16.600000000000001</v>
      </c>
      <c r="G2162">
        <v>7.0000000000000007E-2</v>
      </c>
      <c r="H2162" t="s">
        <v>19</v>
      </c>
      <c r="I2162" s="13">
        <v>-20.3</v>
      </c>
      <c r="J2162">
        <v>2.16</v>
      </c>
      <c r="K2162">
        <v>6.05</v>
      </c>
      <c r="L2162" t="s">
        <v>267</v>
      </c>
      <c r="M2162" t="s">
        <v>258</v>
      </c>
      <c r="N2162" s="5" t="s">
        <v>258</v>
      </c>
      <c r="O2162" t="s">
        <v>28</v>
      </c>
      <c r="P2162" t="s">
        <v>21</v>
      </c>
      <c r="Q2162" t="s">
        <v>26</v>
      </c>
      <c r="R2162">
        <v>0.37</v>
      </c>
      <c r="S2162" s="1">
        <v>40953</v>
      </c>
      <c r="T2162" t="str">
        <f t="shared" si="67"/>
        <v>14-Feb-2012</v>
      </c>
    </row>
    <row r="2163" spans="1:20" x14ac:dyDescent="0.3">
      <c r="A2163">
        <v>48548</v>
      </c>
      <c r="B2163" s="1">
        <v>40628</v>
      </c>
      <c r="C2163" t="s">
        <v>43</v>
      </c>
      <c r="D2163" t="str">
        <f t="shared" si="66"/>
        <v>26-Mar-2011</v>
      </c>
      <c r="E2163">
        <v>3</v>
      </c>
      <c r="F2163" s="13">
        <v>13.71</v>
      </c>
      <c r="G2163">
        <v>0.03</v>
      </c>
      <c r="H2163" t="s">
        <v>19</v>
      </c>
      <c r="I2163" s="13">
        <v>-10.27</v>
      </c>
      <c r="J2163">
        <v>3.28</v>
      </c>
      <c r="K2163">
        <v>3.97</v>
      </c>
      <c r="L2163" t="s">
        <v>228</v>
      </c>
      <c r="M2163" t="s">
        <v>258</v>
      </c>
      <c r="N2163" s="5" t="s">
        <v>258</v>
      </c>
      <c r="O2163" t="s">
        <v>28</v>
      </c>
      <c r="P2163" t="s">
        <v>21</v>
      </c>
      <c r="Q2163" t="s">
        <v>50</v>
      </c>
      <c r="R2163">
        <v>0.56000000000000005</v>
      </c>
      <c r="S2163" s="1">
        <v>40629</v>
      </c>
      <c r="T2163" t="str">
        <f t="shared" si="67"/>
        <v>27-Mar-2011</v>
      </c>
    </row>
    <row r="2164" spans="1:20" x14ac:dyDescent="0.3">
      <c r="A2164">
        <v>53223</v>
      </c>
      <c r="B2164" s="1">
        <v>41104</v>
      </c>
      <c r="C2164" t="s">
        <v>18</v>
      </c>
      <c r="D2164" t="str">
        <f t="shared" si="66"/>
        <v>14-Jul-2012</v>
      </c>
      <c r="E2164">
        <v>2</v>
      </c>
      <c r="F2164" s="13">
        <v>13.29</v>
      </c>
      <c r="G2164">
        <v>0.08</v>
      </c>
      <c r="H2164" t="s">
        <v>19</v>
      </c>
      <c r="I2164" s="13">
        <v>-10.33</v>
      </c>
      <c r="J2164">
        <v>4.24</v>
      </c>
      <c r="K2164">
        <v>5.41</v>
      </c>
      <c r="L2164" t="s">
        <v>279</v>
      </c>
      <c r="M2164" t="s">
        <v>258</v>
      </c>
      <c r="N2164" s="5" t="s">
        <v>258</v>
      </c>
      <c r="O2164" t="s">
        <v>28</v>
      </c>
      <c r="P2164" t="s">
        <v>21</v>
      </c>
      <c r="Q2164" t="s">
        <v>26</v>
      </c>
      <c r="R2164">
        <v>0.35</v>
      </c>
      <c r="S2164" s="1">
        <v>41111</v>
      </c>
      <c r="T2164" t="str">
        <f t="shared" si="67"/>
        <v>21-Jul-2012</v>
      </c>
    </row>
    <row r="2165" spans="1:20" x14ac:dyDescent="0.3">
      <c r="A2165">
        <v>19558</v>
      </c>
      <c r="B2165" s="1">
        <v>40599</v>
      </c>
      <c r="C2165" t="s">
        <v>18</v>
      </c>
      <c r="D2165" t="str">
        <f t="shared" si="66"/>
        <v>25-Feb-2011</v>
      </c>
      <c r="E2165">
        <v>2</v>
      </c>
      <c r="F2165" s="13">
        <v>7.98</v>
      </c>
      <c r="G2165">
        <v>0.04</v>
      </c>
      <c r="H2165" t="s">
        <v>19</v>
      </c>
      <c r="I2165" s="13">
        <v>-3.93</v>
      </c>
      <c r="J2165">
        <v>3.29</v>
      </c>
      <c r="K2165">
        <v>1.35</v>
      </c>
      <c r="L2165" t="s">
        <v>269</v>
      </c>
      <c r="M2165" t="s">
        <v>258</v>
      </c>
      <c r="N2165" s="5" t="s">
        <v>258</v>
      </c>
      <c r="O2165" t="s">
        <v>28</v>
      </c>
      <c r="P2165" t="s">
        <v>21</v>
      </c>
      <c r="Q2165" t="s">
        <v>39</v>
      </c>
      <c r="R2165">
        <v>0.4</v>
      </c>
      <c r="S2165" s="1">
        <v>40602</v>
      </c>
      <c r="T2165" t="str">
        <f t="shared" si="67"/>
        <v>28-Feb-2011</v>
      </c>
    </row>
    <row r="2166" spans="1:20" ht="15" thickBot="1" x14ac:dyDescent="0.35">
      <c r="A2166">
        <v>9635</v>
      </c>
      <c r="B2166" s="1">
        <v>39916</v>
      </c>
      <c r="C2166" t="s">
        <v>43</v>
      </c>
      <c r="D2166" t="str">
        <f t="shared" si="66"/>
        <v>13-Apr-2009</v>
      </c>
      <c r="E2166">
        <v>1</v>
      </c>
      <c r="F2166" s="13">
        <v>3.42</v>
      </c>
      <c r="G2166">
        <v>0.05</v>
      </c>
      <c r="H2166" t="s">
        <v>19</v>
      </c>
      <c r="I2166" s="13">
        <v>-2.91</v>
      </c>
      <c r="J2166">
        <v>1.88</v>
      </c>
      <c r="K2166">
        <v>1.49</v>
      </c>
      <c r="L2166" t="s">
        <v>203</v>
      </c>
      <c r="M2166" t="s">
        <v>258</v>
      </c>
      <c r="N2166" s="6" t="s">
        <v>258</v>
      </c>
      <c r="O2166" t="s">
        <v>28</v>
      </c>
      <c r="P2166" t="s">
        <v>21</v>
      </c>
      <c r="Q2166" t="s">
        <v>26</v>
      </c>
      <c r="R2166">
        <v>0.37</v>
      </c>
      <c r="S2166" s="1">
        <v>39918</v>
      </c>
      <c r="T2166" t="str">
        <f t="shared" si="67"/>
        <v>15-Apr-2009</v>
      </c>
    </row>
    <row r="2167" spans="1:20" ht="15" thickTop="1" x14ac:dyDescent="0.3">
      <c r="A2167">
        <v>2433</v>
      </c>
      <c r="B2167" s="1">
        <v>40046</v>
      </c>
      <c r="C2167" t="s">
        <v>31</v>
      </c>
      <c r="D2167" t="str">
        <f t="shared" si="66"/>
        <v>21-Aug-2009</v>
      </c>
      <c r="E2167">
        <v>14</v>
      </c>
      <c r="F2167" s="13">
        <v>24105.87</v>
      </c>
      <c r="G2167">
        <v>7.0000000000000007E-2</v>
      </c>
      <c r="H2167" t="s">
        <v>24</v>
      </c>
      <c r="I2167" s="13">
        <v>4073.25</v>
      </c>
      <c r="J2167">
        <v>2036.48</v>
      </c>
      <c r="K2167">
        <v>14.7</v>
      </c>
      <c r="L2167" t="s">
        <v>170</v>
      </c>
      <c r="M2167" t="s">
        <v>394</v>
      </c>
      <c r="N2167" s="5" t="s">
        <v>105</v>
      </c>
      <c r="O2167" t="s">
        <v>28</v>
      </c>
      <c r="P2167" t="s">
        <v>29</v>
      </c>
      <c r="Q2167" t="s">
        <v>74</v>
      </c>
      <c r="R2167">
        <v>0.55000000000000004</v>
      </c>
      <c r="S2167" s="1">
        <v>40046</v>
      </c>
      <c r="T2167" t="str">
        <f t="shared" si="67"/>
        <v>21-Aug-2009</v>
      </c>
    </row>
    <row r="2168" spans="1:20" x14ac:dyDescent="0.3">
      <c r="A2168">
        <v>7203</v>
      </c>
      <c r="B2168" s="1">
        <v>39821</v>
      </c>
      <c r="C2168" t="s">
        <v>23</v>
      </c>
      <c r="D2168" t="str">
        <f t="shared" si="66"/>
        <v>08-Jan-2009</v>
      </c>
      <c r="E2168">
        <v>25</v>
      </c>
      <c r="F2168" s="13">
        <v>21752.01</v>
      </c>
      <c r="G2168">
        <v>0.03</v>
      </c>
      <c r="H2168" t="s">
        <v>19</v>
      </c>
      <c r="I2168" s="13">
        <v>9296.35</v>
      </c>
      <c r="J2168">
        <v>896.99</v>
      </c>
      <c r="K2168">
        <v>19.989999999999998</v>
      </c>
      <c r="L2168" t="s">
        <v>412</v>
      </c>
      <c r="M2168" t="s">
        <v>394</v>
      </c>
      <c r="N2168" s="5" t="s">
        <v>105</v>
      </c>
      <c r="O2168" t="s">
        <v>28</v>
      </c>
      <c r="P2168" t="s">
        <v>21</v>
      </c>
      <c r="Q2168" t="s">
        <v>26</v>
      </c>
      <c r="R2168">
        <v>0.38</v>
      </c>
      <c r="S2168" s="1">
        <v>39823</v>
      </c>
      <c r="T2168" t="str">
        <f t="shared" si="67"/>
        <v>10-Jan-2009</v>
      </c>
    </row>
    <row r="2169" spans="1:20" x14ac:dyDescent="0.3">
      <c r="A2169">
        <v>29317</v>
      </c>
      <c r="B2169" s="1">
        <v>40818</v>
      </c>
      <c r="C2169" t="s">
        <v>31</v>
      </c>
      <c r="D2169" t="str">
        <f t="shared" si="66"/>
        <v>02-Oct-2011</v>
      </c>
      <c r="E2169">
        <v>20</v>
      </c>
      <c r="F2169" s="13">
        <v>15703.82</v>
      </c>
      <c r="G2169">
        <v>0.06</v>
      </c>
      <c r="H2169" t="s">
        <v>24</v>
      </c>
      <c r="I2169" s="13">
        <v>3055.72</v>
      </c>
      <c r="J2169">
        <v>810.98</v>
      </c>
      <c r="K2169">
        <v>16.059999999999999</v>
      </c>
      <c r="L2169" t="s">
        <v>401</v>
      </c>
      <c r="M2169" t="s">
        <v>394</v>
      </c>
      <c r="N2169" s="5" t="s">
        <v>105</v>
      </c>
      <c r="O2169" t="s">
        <v>28</v>
      </c>
      <c r="P2169" t="s">
        <v>29</v>
      </c>
      <c r="Q2169" t="s">
        <v>74</v>
      </c>
      <c r="R2169">
        <v>0.56000000000000005</v>
      </c>
      <c r="S2169" s="1">
        <v>40819</v>
      </c>
      <c r="T2169" t="str">
        <f t="shared" si="67"/>
        <v>03-Oct-2011</v>
      </c>
    </row>
    <row r="2170" spans="1:20" x14ac:dyDescent="0.3">
      <c r="A2170">
        <v>25824</v>
      </c>
      <c r="B2170" s="1">
        <v>40060</v>
      </c>
      <c r="C2170" t="s">
        <v>38</v>
      </c>
      <c r="D2170" t="str">
        <f t="shared" si="66"/>
        <v>04-Sep-2009</v>
      </c>
      <c r="E2170">
        <v>39</v>
      </c>
      <c r="F2170" s="13">
        <v>15341.46</v>
      </c>
      <c r="G2170">
        <v>0</v>
      </c>
      <c r="H2170" t="s">
        <v>24</v>
      </c>
      <c r="I2170" s="13">
        <v>394.52</v>
      </c>
      <c r="J2170">
        <v>376.13</v>
      </c>
      <c r="K2170">
        <v>85.63</v>
      </c>
      <c r="L2170" t="s">
        <v>371</v>
      </c>
      <c r="M2170" t="s">
        <v>394</v>
      </c>
      <c r="N2170" s="5" t="s">
        <v>105</v>
      </c>
      <c r="O2170" t="s">
        <v>28</v>
      </c>
      <c r="P2170" t="s">
        <v>32</v>
      </c>
      <c r="Q2170" t="s">
        <v>46</v>
      </c>
      <c r="R2170">
        <v>0.74</v>
      </c>
      <c r="S2170" s="1">
        <v>40061</v>
      </c>
      <c r="T2170" t="str">
        <f t="shared" si="67"/>
        <v>05-Sep-2009</v>
      </c>
    </row>
    <row r="2171" spans="1:20" x14ac:dyDescent="0.3">
      <c r="A2171">
        <v>25824</v>
      </c>
      <c r="B2171" s="1">
        <v>40060</v>
      </c>
      <c r="C2171" t="s">
        <v>38</v>
      </c>
      <c r="D2171" t="str">
        <f t="shared" si="66"/>
        <v>04-Sep-2009</v>
      </c>
      <c r="E2171">
        <v>37</v>
      </c>
      <c r="F2171" s="13">
        <v>14410.78</v>
      </c>
      <c r="G2171">
        <v>0.02</v>
      </c>
      <c r="H2171" t="s">
        <v>19</v>
      </c>
      <c r="I2171" s="13">
        <v>6365.58</v>
      </c>
      <c r="J2171">
        <v>367.99</v>
      </c>
      <c r="K2171">
        <v>19.989999999999998</v>
      </c>
      <c r="L2171" t="s">
        <v>371</v>
      </c>
      <c r="M2171" t="s">
        <v>394</v>
      </c>
      <c r="N2171" s="5" t="s">
        <v>105</v>
      </c>
      <c r="O2171" t="s">
        <v>28</v>
      </c>
      <c r="P2171" t="s">
        <v>21</v>
      </c>
      <c r="Q2171" t="s">
        <v>26</v>
      </c>
      <c r="R2171">
        <v>0.4</v>
      </c>
      <c r="S2171" s="1">
        <v>40061</v>
      </c>
      <c r="T2171" t="str">
        <f t="shared" si="67"/>
        <v>05-Sep-2009</v>
      </c>
    </row>
    <row r="2172" spans="1:20" x14ac:dyDescent="0.3">
      <c r="A2172">
        <v>29286</v>
      </c>
      <c r="B2172" s="1">
        <v>40022</v>
      </c>
      <c r="C2172" t="s">
        <v>43</v>
      </c>
      <c r="D2172" t="str">
        <f t="shared" si="66"/>
        <v>28-Jul-2009</v>
      </c>
      <c r="E2172">
        <v>4</v>
      </c>
      <c r="F2172" s="13">
        <v>13070.2</v>
      </c>
      <c r="G2172">
        <v>7.0000000000000007E-2</v>
      </c>
      <c r="H2172" t="s">
        <v>24</v>
      </c>
      <c r="I2172" s="13">
        <v>-6923.6</v>
      </c>
      <c r="J2172">
        <v>3502.14</v>
      </c>
      <c r="K2172">
        <v>8.73</v>
      </c>
      <c r="L2172" t="s">
        <v>414</v>
      </c>
      <c r="M2172" t="s">
        <v>394</v>
      </c>
      <c r="N2172" s="5" t="s">
        <v>105</v>
      </c>
      <c r="O2172" t="s">
        <v>28</v>
      </c>
      <c r="P2172" t="s">
        <v>29</v>
      </c>
      <c r="Q2172" t="s">
        <v>74</v>
      </c>
      <c r="R2172">
        <v>0.56999999999999995</v>
      </c>
      <c r="S2172" s="1">
        <v>40024</v>
      </c>
      <c r="T2172" t="str">
        <f t="shared" si="67"/>
        <v>30-Jul-2009</v>
      </c>
    </row>
    <row r="2173" spans="1:20" x14ac:dyDescent="0.3">
      <c r="A2173">
        <v>57216</v>
      </c>
      <c r="B2173" s="1">
        <v>40388</v>
      </c>
      <c r="C2173" t="s">
        <v>23</v>
      </c>
      <c r="D2173" t="str">
        <f t="shared" si="66"/>
        <v>29-Jul-2010</v>
      </c>
      <c r="E2173">
        <v>46</v>
      </c>
      <c r="F2173" s="13">
        <v>12719.7</v>
      </c>
      <c r="G2173">
        <v>0.03</v>
      </c>
      <c r="H2173" t="s">
        <v>24</v>
      </c>
      <c r="I2173" s="13">
        <v>-545.82000000000005</v>
      </c>
      <c r="J2173">
        <v>280.98</v>
      </c>
      <c r="K2173">
        <v>57</v>
      </c>
      <c r="L2173" t="s">
        <v>412</v>
      </c>
      <c r="M2173" t="s">
        <v>394</v>
      </c>
      <c r="N2173" s="5" t="s">
        <v>105</v>
      </c>
      <c r="O2173" t="s">
        <v>28</v>
      </c>
      <c r="P2173" t="s">
        <v>32</v>
      </c>
      <c r="Q2173" t="s">
        <v>56</v>
      </c>
      <c r="R2173">
        <v>0.78</v>
      </c>
      <c r="S2173" s="1">
        <v>40388</v>
      </c>
      <c r="T2173" t="str">
        <f t="shared" si="67"/>
        <v>29-Jul-2010</v>
      </c>
    </row>
    <row r="2174" spans="1:20" x14ac:dyDescent="0.3">
      <c r="A2174">
        <v>42436</v>
      </c>
      <c r="B2174" s="1">
        <v>41130</v>
      </c>
      <c r="C2174" t="s">
        <v>43</v>
      </c>
      <c r="D2174" t="str">
        <f t="shared" si="66"/>
        <v>09-Aug-2012</v>
      </c>
      <c r="E2174">
        <v>30</v>
      </c>
      <c r="F2174" s="13">
        <v>10994.74</v>
      </c>
      <c r="G2174">
        <v>0.09</v>
      </c>
      <c r="H2174" t="s">
        <v>24</v>
      </c>
      <c r="I2174" s="13">
        <v>3612.58</v>
      </c>
      <c r="J2174">
        <v>400.97</v>
      </c>
      <c r="K2174">
        <v>48.26</v>
      </c>
      <c r="L2174" t="s">
        <v>401</v>
      </c>
      <c r="M2174" t="s">
        <v>394</v>
      </c>
      <c r="N2174" s="5" t="s">
        <v>105</v>
      </c>
      <c r="O2174" t="s">
        <v>28</v>
      </c>
      <c r="P2174" t="s">
        <v>29</v>
      </c>
      <c r="Q2174" t="s">
        <v>74</v>
      </c>
      <c r="R2174">
        <v>0.36</v>
      </c>
      <c r="S2174" s="1">
        <v>41131</v>
      </c>
      <c r="T2174" t="str">
        <f t="shared" si="67"/>
        <v>10-Aug-2012</v>
      </c>
    </row>
    <row r="2175" spans="1:20" x14ac:dyDescent="0.3">
      <c r="A2175">
        <v>1824</v>
      </c>
      <c r="B2175" s="1">
        <v>39937</v>
      </c>
      <c r="C2175" t="s">
        <v>43</v>
      </c>
      <c r="D2175" t="str">
        <f t="shared" si="66"/>
        <v>04-May-2009</v>
      </c>
      <c r="E2175">
        <v>39</v>
      </c>
      <c r="F2175" s="13">
        <v>10656.26</v>
      </c>
      <c r="G2175">
        <v>0.06</v>
      </c>
      <c r="H2175" t="s">
        <v>19</v>
      </c>
      <c r="I2175" s="13">
        <v>3116.54</v>
      </c>
      <c r="J2175">
        <v>276.2</v>
      </c>
      <c r="K2175">
        <v>24.49</v>
      </c>
      <c r="L2175" t="s">
        <v>401</v>
      </c>
      <c r="M2175" t="s">
        <v>394</v>
      </c>
      <c r="N2175" s="5" t="s">
        <v>105</v>
      </c>
      <c r="O2175" t="s">
        <v>28</v>
      </c>
      <c r="P2175" t="s">
        <v>32</v>
      </c>
      <c r="Q2175" t="s">
        <v>56</v>
      </c>
      <c r="S2175" s="1">
        <v>39938</v>
      </c>
      <c r="T2175" t="str">
        <f t="shared" si="67"/>
        <v>05-May-2009</v>
      </c>
    </row>
    <row r="2176" spans="1:20" x14ac:dyDescent="0.3">
      <c r="A2176">
        <v>40128</v>
      </c>
      <c r="B2176" s="1">
        <v>39853</v>
      </c>
      <c r="C2176" t="s">
        <v>18</v>
      </c>
      <c r="D2176" t="str">
        <f t="shared" si="66"/>
        <v>09-Feb-2009</v>
      </c>
      <c r="E2176">
        <v>43</v>
      </c>
      <c r="F2176" s="13">
        <v>10318.719999999999</v>
      </c>
      <c r="G2176">
        <v>0.01</v>
      </c>
      <c r="H2176" t="s">
        <v>24</v>
      </c>
      <c r="I2176" s="13">
        <v>1445.36</v>
      </c>
      <c r="J2176">
        <v>240.98</v>
      </c>
      <c r="K2176">
        <v>60.2</v>
      </c>
      <c r="L2176" t="s">
        <v>371</v>
      </c>
      <c r="M2176" t="s">
        <v>394</v>
      </c>
      <c r="N2176" s="5" t="s">
        <v>105</v>
      </c>
      <c r="O2176" t="s">
        <v>28</v>
      </c>
      <c r="P2176" t="s">
        <v>32</v>
      </c>
      <c r="Q2176" t="s">
        <v>45</v>
      </c>
      <c r="R2176">
        <v>0.56000000000000005</v>
      </c>
      <c r="S2176" s="1">
        <v>39860</v>
      </c>
      <c r="T2176" t="str">
        <f t="shared" si="67"/>
        <v>16-Feb-2009</v>
      </c>
    </row>
    <row r="2177" spans="1:20" x14ac:dyDescent="0.3">
      <c r="A2177">
        <v>54279</v>
      </c>
      <c r="B2177" s="1">
        <v>40754</v>
      </c>
      <c r="C2177" t="s">
        <v>23</v>
      </c>
      <c r="D2177" t="str">
        <f t="shared" si="66"/>
        <v>30-Jul-2011</v>
      </c>
      <c r="E2177">
        <v>41</v>
      </c>
      <c r="F2177" s="13">
        <v>10071.09</v>
      </c>
      <c r="G2177">
        <v>0.1</v>
      </c>
      <c r="H2177" t="s">
        <v>24</v>
      </c>
      <c r="I2177" s="13">
        <v>1977.69</v>
      </c>
      <c r="J2177">
        <v>264.98</v>
      </c>
      <c r="K2177">
        <v>17.86</v>
      </c>
      <c r="L2177" t="s">
        <v>415</v>
      </c>
      <c r="M2177" t="s">
        <v>394</v>
      </c>
      <c r="N2177" s="5" t="s">
        <v>105</v>
      </c>
      <c r="O2177" t="s">
        <v>28</v>
      </c>
      <c r="P2177" t="s">
        <v>29</v>
      </c>
      <c r="Q2177" t="s">
        <v>74</v>
      </c>
      <c r="R2177">
        <v>0.57999999999999996</v>
      </c>
      <c r="S2177" s="1">
        <v>40755</v>
      </c>
      <c r="T2177" t="str">
        <f t="shared" si="67"/>
        <v>31-Jul-2011</v>
      </c>
    </row>
    <row r="2178" spans="1:20" x14ac:dyDescent="0.3">
      <c r="A2178">
        <v>43911</v>
      </c>
      <c r="B2178" s="1">
        <v>39827</v>
      </c>
      <c r="C2178" t="s">
        <v>38</v>
      </c>
      <c r="D2178" t="str">
        <f t="shared" ref="D2178:D2241" si="68">TEXT(B2178, "dd-mmm-yyyy" )</f>
        <v>14-Jan-2009</v>
      </c>
      <c r="E2178">
        <v>36</v>
      </c>
      <c r="F2178" s="13">
        <v>9920.85</v>
      </c>
      <c r="G2178">
        <v>0</v>
      </c>
      <c r="H2178" t="s">
        <v>24</v>
      </c>
      <c r="I2178" s="13">
        <v>2685.19</v>
      </c>
      <c r="J2178">
        <v>264.98</v>
      </c>
      <c r="K2178">
        <v>17.86</v>
      </c>
      <c r="L2178" t="s">
        <v>396</v>
      </c>
      <c r="M2178" t="s">
        <v>394</v>
      </c>
      <c r="N2178" s="5" t="s">
        <v>105</v>
      </c>
      <c r="O2178" t="s">
        <v>28</v>
      </c>
      <c r="P2178" t="s">
        <v>29</v>
      </c>
      <c r="Q2178" t="s">
        <v>74</v>
      </c>
      <c r="R2178">
        <v>0.57999999999999996</v>
      </c>
      <c r="S2178" s="1">
        <v>39828</v>
      </c>
      <c r="T2178" t="str">
        <f t="shared" ref="T2178:T2241" si="69">TEXT(S2178, "dd-mmm-yyyy")</f>
        <v>15-Jan-2009</v>
      </c>
    </row>
    <row r="2179" spans="1:20" x14ac:dyDescent="0.3">
      <c r="A2179">
        <v>50726</v>
      </c>
      <c r="B2179" s="1">
        <v>40847</v>
      </c>
      <c r="C2179" t="s">
        <v>18</v>
      </c>
      <c r="D2179" t="str">
        <f t="shared" si="68"/>
        <v>31-Oct-2011</v>
      </c>
      <c r="E2179">
        <v>45</v>
      </c>
      <c r="F2179" s="13">
        <v>9248.74</v>
      </c>
      <c r="G2179">
        <v>0</v>
      </c>
      <c r="H2179" t="s">
        <v>24</v>
      </c>
      <c r="I2179" s="13">
        <v>2532</v>
      </c>
      <c r="J2179">
        <v>200.98</v>
      </c>
      <c r="K2179">
        <v>23.76</v>
      </c>
      <c r="L2179" t="s">
        <v>412</v>
      </c>
      <c r="M2179" t="s">
        <v>394</v>
      </c>
      <c r="N2179" s="5" t="s">
        <v>105</v>
      </c>
      <c r="O2179" t="s">
        <v>28</v>
      </c>
      <c r="P2179" t="s">
        <v>32</v>
      </c>
      <c r="Q2179" t="s">
        <v>56</v>
      </c>
      <c r="R2179">
        <v>0.57999999999999996</v>
      </c>
      <c r="S2179" s="1">
        <v>40851</v>
      </c>
      <c r="T2179" t="str">
        <f t="shared" si="69"/>
        <v>04-Nov-2011</v>
      </c>
    </row>
    <row r="2180" spans="1:20" x14ac:dyDescent="0.3">
      <c r="A2180">
        <v>37440</v>
      </c>
      <c r="B2180" s="1">
        <v>40352</v>
      </c>
      <c r="C2180" t="s">
        <v>31</v>
      </c>
      <c r="D2180" t="str">
        <f t="shared" si="68"/>
        <v>23-Jun-2010</v>
      </c>
      <c r="E2180">
        <v>39</v>
      </c>
      <c r="F2180" s="13">
        <v>8407.08</v>
      </c>
      <c r="G2180">
        <v>0.04</v>
      </c>
      <c r="H2180" t="s">
        <v>24</v>
      </c>
      <c r="I2180" s="13">
        <v>629.4</v>
      </c>
      <c r="J2180">
        <v>208.16</v>
      </c>
      <c r="K2180">
        <v>68.02</v>
      </c>
      <c r="L2180" t="s">
        <v>173</v>
      </c>
      <c r="M2180" t="s">
        <v>394</v>
      </c>
      <c r="N2180" s="5" t="s">
        <v>105</v>
      </c>
      <c r="O2180" t="s">
        <v>28</v>
      </c>
      <c r="P2180" t="s">
        <v>21</v>
      </c>
      <c r="Q2180" t="s">
        <v>25</v>
      </c>
      <c r="R2180">
        <v>0.57999999999999996</v>
      </c>
      <c r="S2180" s="1">
        <v>40353</v>
      </c>
      <c r="T2180" t="str">
        <f t="shared" si="69"/>
        <v>24-Jun-2010</v>
      </c>
    </row>
    <row r="2181" spans="1:20" x14ac:dyDescent="0.3">
      <c r="A2181">
        <v>9888</v>
      </c>
      <c r="B2181" s="1">
        <v>40068</v>
      </c>
      <c r="C2181" t="s">
        <v>18</v>
      </c>
      <c r="D2181" t="str">
        <f t="shared" si="68"/>
        <v>12-Sep-2009</v>
      </c>
      <c r="E2181">
        <v>48</v>
      </c>
      <c r="F2181" s="13">
        <v>8374.1319999999996</v>
      </c>
      <c r="G2181">
        <v>0.06</v>
      </c>
      <c r="H2181" t="s">
        <v>19</v>
      </c>
      <c r="I2181" s="13">
        <v>2568.1</v>
      </c>
      <c r="J2181">
        <v>205.99</v>
      </c>
      <c r="K2181">
        <v>8.99</v>
      </c>
      <c r="L2181" t="s">
        <v>402</v>
      </c>
      <c r="M2181" t="s">
        <v>394</v>
      </c>
      <c r="N2181" s="5" t="s">
        <v>105</v>
      </c>
      <c r="O2181" t="s">
        <v>28</v>
      </c>
      <c r="P2181" t="s">
        <v>29</v>
      </c>
      <c r="Q2181" t="s">
        <v>30</v>
      </c>
      <c r="R2181">
        <v>0.56000000000000005</v>
      </c>
      <c r="S2181" s="1">
        <v>40075</v>
      </c>
      <c r="T2181" t="str">
        <f t="shared" si="69"/>
        <v>19-Sep-2009</v>
      </c>
    </row>
    <row r="2182" spans="1:20" x14ac:dyDescent="0.3">
      <c r="A2182">
        <v>4389</v>
      </c>
      <c r="B2182" s="1">
        <v>39937</v>
      </c>
      <c r="C2182" t="s">
        <v>38</v>
      </c>
      <c r="D2182" t="str">
        <f t="shared" si="68"/>
        <v>04-May-2009</v>
      </c>
      <c r="E2182">
        <v>49</v>
      </c>
      <c r="F2182" s="13">
        <v>7987.43</v>
      </c>
      <c r="G2182">
        <v>0.03</v>
      </c>
      <c r="H2182" t="s">
        <v>24</v>
      </c>
      <c r="I2182" s="13">
        <v>1304.9000000000001</v>
      </c>
      <c r="J2182">
        <v>160.97999999999999</v>
      </c>
      <c r="K2182">
        <v>30</v>
      </c>
      <c r="L2182" t="s">
        <v>382</v>
      </c>
      <c r="M2182" t="s">
        <v>394</v>
      </c>
      <c r="N2182" s="5" t="s">
        <v>105</v>
      </c>
      <c r="O2182" t="s">
        <v>28</v>
      </c>
      <c r="P2182" t="s">
        <v>32</v>
      </c>
      <c r="Q2182" t="s">
        <v>56</v>
      </c>
      <c r="R2182">
        <v>0.62</v>
      </c>
      <c r="S2182" s="1">
        <v>39938</v>
      </c>
      <c r="T2182" t="str">
        <f t="shared" si="69"/>
        <v>05-May-2009</v>
      </c>
    </row>
    <row r="2183" spans="1:20" x14ac:dyDescent="0.3">
      <c r="A2183">
        <v>29317</v>
      </c>
      <c r="B2183" s="1">
        <v>40818</v>
      </c>
      <c r="C2183" t="s">
        <v>31</v>
      </c>
      <c r="D2183" t="str">
        <f t="shared" si="68"/>
        <v>02-Oct-2011</v>
      </c>
      <c r="E2183">
        <v>40</v>
      </c>
      <c r="F2183" s="13">
        <v>7789.63</v>
      </c>
      <c r="G2183">
        <v>0.08</v>
      </c>
      <c r="H2183" t="s">
        <v>24</v>
      </c>
      <c r="I2183" s="13">
        <v>1774.53</v>
      </c>
      <c r="J2183">
        <v>200.98</v>
      </c>
      <c r="K2183">
        <v>23.76</v>
      </c>
      <c r="L2183" t="s">
        <v>401</v>
      </c>
      <c r="M2183" t="s">
        <v>394</v>
      </c>
      <c r="N2183" s="5" t="s">
        <v>105</v>
      </c>
      <c r="O2183" t="s">
        <v>28</v>
      </c>
      <c r="P2183" t="s">
        <v>32</v>
      </c>
      <c r="Q2183" t="s">
        <v>56</v>
      </c>
      <c r="R2183">
        <v>0.57999999999999996</v>
      </c>
      <c r="S2183" s="1">
        <v>40820</v>
      </c>
      <c r="T2183" t="str">
        <f t="shared" si="69"/>
        <v>04-Oct-2011</v>
      </c>
    </row>
    <row r="2184" spans="1:20" x14ac:dyDescent="0.3">
      <c r="A2184">
        <v>384</v>
      </c>
      <c r="B2184" s="1">
        <v>40970</v>
      </c>
      <c r="C2184" t="s">
        <v>18</v>
      </c>
      <c r="D2184" t="str">
        <f t="shared" si="68"/>
        <v>02-Mar-2012</v>
      </c>
      <c r="E2184">
        <v>50</v>
      </c>
      <c r="F2184" s="13">
        <v>7666.04</v>
      </c>
      <c r="G2184">
        <v>0.02</v>
      </c>
      <c r="H2184" t="s">
        <v>24</v>
      </c>
      <c r="I2184" s="13">
        <v>-1820.84</v>
      </c>
      <c r="J2184">
        <v>146.05000000000001</v>
      </c>
      <c r="K2184">
        <v>80.2</v>
      </c>
      <c r="L2184" t="s">
        <v>400</v>
      </c>
      <c r="M2184" t="s">
        <v>394</v>
      </c>
      <c r="N2184" s="5" t="s">
        <v>105</v>
      </c>
      <c r="O2184" t="s">
        <v>28</v>
      </c>
      <c r="P2184" t="s">
        <v>32</v>
      </c>
      <c r="Q2184" t="s">
        <v>46</v>
      </c>
      <c r="R2184">
        <v>0.71</v>
      </c>
      <c r="S2184" s="1">
        <v>40977</v>
      </c>
      <c r="T2184" t="str">
        <f t="shared" si="69"/>
        <v>09-Mar-2012</v>
      </c>
    </row>
    <row r="2185" spans="1:20" x14ac:dyDescent="0.3">
      <c r="A2185">
        <v>43911</v>
      </c>
      <c r="B2185" s="1">
        <v>39827</v>
      </c>
      <c r="C2185" t="s">
        <v>38</v>
      </c>
      <c r="D2185" t="str">
        <f t="shared" si="68"/>
        <v>14-Jan-2009</v>
      </c>
      <c r="E2185">
        <v>23</v>
      </c>
      <c r="F2185" s="13">
        <v>7484.31</v>
      </c>
      <c r="G2185">
        <v>0.06</v>
      </c>
      <c r="H2185" t="s">
        <v>24</v>
      </c>
      <c r="I2185" s="13">
        <v>1278.45</v>
      </c>
      <c r="J2185">
        <v>320.98</v>
      </c>
      <c r="K2185">
        <v>58.95</v>
      </c>
      <c r="L2185" t="s">
        <v>396</v>
      </c>
      <c r="M2185" t="s">
        <v>394</v>
      </c>
      <c r="N2185" s="5" t="s">
        <v>105</v>
      </c>
      <c r="O2185" t="s">
        <v>28</v>
      </c>
      <c r="P2185" t="s">
        <v>32</v>
      </c>
      <c r="Q2185" t="s">
        <v>56</v>
      </c>
      <c r="R2185">
        <v>0.56999999999999995</v>
      </c>
      <c r="S2185" s="1">
        <v>39829</v>
      </c>
      <c r="T2185" t="str">
        <f t="shared" si="69"/>
        <v>16-Jan-2009</v>
      </c>
    </row>
    <row r="2186" spans="1:20" x14ac:dyDescent="0.3">
      <c r="A2186">
        <v>11846</v>
      </c>
      <c r="B2186" s="1">
        <v>40288</v>
      </c>
      <c r="C2186" t="s">
        <v>18</v>
      </c>
      <c r="D2186" t="str">
        <f t="shared" si="68"/>
        <v>20-Apr-2010</v>
      </c>
      <c r="E2186">
        <v>49</v>
      </c>
      <c r="F2186" s="13">
        <v>7319.85</v>
      </c>
      <c r="G2186">
        <v>0.03</v>
      </c>
      <c r="H2186" t="s">
        <v>19</v>
      </c>
      <c r="I2186" s="13">
        <v>611.42999999999995</v>
      </c>
      <c r="J2186">
        <v>152.47999999999999</v>
      </c>
      <c r="K2186">
        <v>4</v>
      </c>
      <c r="L2186" t="s">
        <v>398</v>
      </c>
      <c r="M2186" t="s">
        <v>394</v>
      </c>
      <c r="N2186" s="5" t="s">
        <v>105</v>
      </c>
      <c r="O2186" t="s">
        <v>28</v>
      </c>
      <c r="P2186" t="s">
        <v>29</v>
      </c>
      <c r="Q2186" t="s">
        <v>41</v>
      </c>
      <c r="R2186">
        <v>0.79</v>
      </c>
      <c r="S2186" s="1">
        <v>40292</v>
      </c>
      <c r="T2186" t="str">
        <f t="shared" si="69"/>
        <v>24-Apr-2010</v>
      </c>
    </row>
    <row r="2187" spans="1:20" x14ac:dyDescent="0.3">
      <c r="A2187">
        <v>32449</v>
      </c>
      <c r="B2187" s="1">
        <v>41252</v>
      </c>
      <c r="C2187" t="s">
        <v>43</v>
      </c>
      <c r="D2187" t="str">
        <f t="shared" si="68"/>
        <v>09-Dec-2012</v>
      </c>
      <c r="E2187">
        <v>44</v>
      </c>
      <c r="F2187" s="13">
        <v>7195.2584999999999</v>
      </c>
      <c r="G2187">
        <v>0.09</v>
      </c>
      <c r="H2187" t="s">
        <v>35</v>
      </c>
      <c r="I2187" s="13">
        <v>1698.16</v>
      </c>
      <c r="J2187">
        <v>200.99</v>
      </c>
      <c r="K2187">
        <v>8.08</v>
      </c>
      <c r="L2187" t="s">
        <v>410</v>
      </c>
      <c r="M2187" t="s">
        <v>394</v>
      </c>
      <c r="N2187" s="5" t="s">
        <v>105</v>
      </c>
      <c r="O2187" t="s">
        <v>28</v>
      </c>
      <c r="P2187" t="s">
        <v>29</v>
      </c>
      <c r="Q2187" t="s">
        <v>30</v>
      </c>
      <c r="R2187">
        <v>0.59</v>
      </c>
      <c r="S2187" s="1">
        <v>41253</v>
      </c>
      <c r="T2187" t="str">
        <f t="shared" si="69"/>
        <v>10-Dec-2012</v>
      </c>
    </row>
    <row r="2188" spans="1:20" x14ac:dyDescent="0.3">
      <c r="A2188">
        <v>18593</v>
      </c>
      <c r="B2188" s="1">
        <v>40808</v>
      </c>
      <c r="C2188" t="s">
        <v>23</v>
      </c>
      <c r="D2188" t="str">
        <f t="shared" si="68"/>
        <v>22-Sep-2011</v>
      </c>
      <c r="E2188">
        <v>23</v>
      </c>
      <c r="F2188" s="13">
        <v>6572.04</v>
      </c>
      <c r="G2188">
        <v>0.06</v>
      </c>
      <c r="H2188" t="s">
        <v>19</v>
      </c>
      <c r="I2188" s="13">
        <v>1579.34</v>
      </c>
      <c r="J2188">
        <v>300.97000000000003</v>
      </c>
      <c r="K2188">
        <v>7.18</v>
      </c>
      <c r="L2188" t="s">
        <v>396</v>
      </c>
      <c r="M2188" t="s">
        <v>394</v>
      </c>
      <c r="N2188" s="5" t="s">
        <v>105</v>
      </c>
      <c r="O2188" t="s">
        <v>28</v>
      </c>
      <c r="P2188" t="s">
        <v>29</v>
      </c>
      <c r="Q2188" t="s">
        <v>41</v>
      </c>
      <c r="R2188">
        <v>0.48</v>
      </c>
      <c r="S2188" s="1">
        <v>40809</v>
      </c>
      <c r="T2188" t="str">
        <f t="shared" si="69"/>
        <v>23-Sep-2011</v>
      </c>
    </row>
    <row r="2189" spans="1:20" x14ac:dyDescent="0.3">
      <c r="A2189">
        <v>35173</v>
      </c>
      <c r="B2189" s="1">
        <v>40981</v>
      </c>
      <c r="C2189" t="s">
        <v>31</v>
      </c>
      <c r="D2189" t="str">
        <f t="shared" si="68"/>
        <v>13-Mar-2012</v>
      </c>
      <c r="E2189">
        <v>29</v>
      </c>
      <c r="F2189" s="13">
        <v>6483.26</v>
      </c>
      <c r="G2189">
        <v>0.09</v>
      </c>
      <c r="H2189" t="s">
        <v>24</v>
      </c>
      <c r="I2189" s="13">
        <v>341.98</v>
      </c>
      <c r="J2189">
        <v>240.98</v>
      </c>
      <c r="K2189">
        <v>60.2</v>
      </c>
      <c r="L2189" t="s">
        <v>78</v>
      </c>
      <c r="M2189" t="s">
        <v>394</v>
      </c>
      <c r="N2189" s="5" t="s">
        <v>105</v>
      </c>
      <c r="O2189" t="s">
        <v>28</v>
      </c>
      <c r="P2189" t="s">
        <v>32</v>
      </c>
      <c r="Q2189" t="s">
        <v>45</v>
      </c>
      <c r="R2189">
        <v>0.56000000000000005</v>
      </c>
      <c r="S2189" s="1">
        <v>40983</v>
      </c>
      <c r="T2189" t="str">
        <f t="shared" si="69"/>
        <v>15-Mar-2012</v>
      </c>
    </row>
    <row r="2190" spans="1:20" x14ac:dyDescent="0.3">
      <c r="A2190">
        <v>41987</v>
      </c>
      <c r="B2190" s="1">
        <v>40837</v>
      </c>
      <c r="C2190" t="s">
        <v>31</v>
      </c>
      <c r="D2190" t="str">
        <f t="shared" si="68"/>
        <v>21-Oct-2011</v>
      </c>
      <c r="E2190">
        <v>25</v>
      </c>
      <c r="F2190" s="13">
        <v>6481.0479999999998</v>
      </c>
      <c r="G2190">
        <v>0.05</v>
      </c>
      <c r="H2190" t="s">
        <v>24</v>
      </c>
      <c r="I2190" s="13">
        <v>1760.11</v>
      </c>
      <c r="J2190">
        <v>320.64</v>
      </c>
      <c r="K2190">
        <v>29.2</v>
      </c>
      <c r="L2190" t="s">
        <v>397</v>
      </c>
      <c r="M2190" t="s">
        <v>394</v>
      </c>
      <c r="N2190" s="5" t="s">
        <v>105</v>
      </c>
      <c r="O2190" t="s">
        <v>28</v>
      </c>
      <c r="P2190" t="s">
        <v>32</v>
      </c>
      <c r="Q2190" t="s">
        <v>46</v>
      </c>
      <c r="R2190">
        <v>0.66</v>
      </c>
      <c r="S2190" s="1">
        <v>40838</v>
      </c>
      <c r="T2190" t="str">
        <f t="shared" si="69"/>
        <v>22-Oct-2011</v>
      </c>
    </row>
    <row r="2191" spans="1:20" x14ac:dyDescent="0.3">
      <c r="A2191">
        <v>26979</v>
      </c>
      <c r="B2191" s="1">
        <v>40996</v>
      </c>
      <c r="C2191" t="s">
        <v>38</v>
      </c>
      <c r="D2191" t="str">
        <f t="shared" si="68"/>
        <v>28-Mar-2012</v>
      </c>
      <c r="E2191">
        <v>50</v>
      </c>
      <c r="F2191" s="13">
        <v>6093.2420000000002</v>
      </c>
      <c r="G2191">
        <v>0.09</v>
      </c>
      <c r="H2191" t="s">
        <v>19</v>
      </c>
      <c r="I2191" s="13">
        <v>1174.3800000000001</v>
      </c>
      <c r="J2191">
        <v>155.99</v>
      </c>
      <c r="K2191">
        <v>8.08</v>
      </c>
      <c r="L2191" t="s">
        <v>403</v>
      </c>
      <c r="M2191" t="s">
        <v>394</v>
      </c>
      <c r="N2191" s="5" t="s">
        <v>105</v>
      </c>
      <c r="O2191" t="s">
        <v>28</v>
      </c>
      <c r="P2191" t="s">
        <v>29</v>
      </c>
      <c r="Q2191" t="s">
        <v>30</v>
      </c>
      <c r="R2191">
        <v>0.6</v>
      </c>
      <c r="S2191" s="1">
        <v>40998</v>
      </c>
      <c r="T2191" t="str">
        <f t="shared" si="69"/>
        <v>30-Mar-2012</v>
      </c>
    </row>
    <row r="2192" spans="1:20" x14ac:dyDescent="0.3">
      <c r="A2192">
        <v>18368</v>
      </c>
      <c r="B2192" s="1">
        <v>41243</v>
      </c>
      <c r="C2192" t="s">
        <v>31</v>
      </c>
      <c r="D2192" t="str">
        <f t="shared" si="68"/>
        <v>30-Nov-2012</v>
      </c>
      <c r="E2192">
        <v>3</v>
      </c>
      <c r="F2192" s="13">
        <v>5972.59</v>
      </c>
      <c r="G2192">
        <v>0.06</v>
      </c>
      <c r="H2192" t="s">
        <v>24</v>
      </c>
      <c r="I2192" s="13">
        <v>-4852.53</v>
      </c>
      <c r="J2192">
        <v>2036.48</v>
      </c>
      <c r="K2192">
        <v>14.7</v>
      </c>
      <c r="L2192" t="s">
        <v>404</v>
      </c>
      <c r="M2192" t="s">
        <v>394</v>
      </c>
      <c r="N2192" s="5" t="s">
        <v>105</v>
      </c>
      <c r="O2192" t="s">
        <v>28</v>
      </c>
      <c r="P2192" t="s">
        <v>29</v>
      </c>
      <c r="Q2192" t="s">
        <v>74</v>
      </c>
      <c r="R2192">
        <v>0.55000000000000004</v>
      </c>
      <c r="S2192" s="1">
        <v>41245</v>
      </c>
      <c r="T2192" t="str">
        <f t="shared" si="69"/>
        <v>02-Dec-2012</v>
      </c>
    </row>
    <row r="2193" spans="1:20" x14ac:dyDescent="0.3">
      <c r="A2193">
        <v>19457</v>
      </c>
      <c r="B2193" s="1">
        <v>40006</v>
      </c>
      <c r="C2193" t="s">
        <v>23</v>
      </c>
      <c r="D2193" t="str">
        <f t="shared" si="68"/>
        <v>12-Jul-2009</v>
      </c>
      <c r="E2193">
        <v>33</v>
      </c>
      <c r="F2193" s="13">
        <v>5638.7979999999998</v>
      </c>
      <c r="G2193">
        <v>0.09</v>
      </c>
      <c r="H2193" t="s">
        <v>35</v>
      </c>
      <c r="I2193" s="13">
        <v>1406.05</v>
      </c>
      <c r="J2193">
        <v>205.99</v>
      </c>
      <c r="K2193">
        <v>3</v>
      </c>
      <c r="L2193" t="s">
        <v>405</v>
      </c>
      <c r="M2193" t="s">
        <v>394</v>
      </c>
      <c r="N2193" s="5" t="s">
        <v>105</v>
      </c>
      <c r="O2193" t="s">
        <v>28</v>
      </c>
      <c r="P2193" t="s">
        <v>29</v>
      </c>
      <c r="Q2193" t="s">
        <v>30</v>
      </c>
      <c r="R2193">
        <v>0.57999999999999996</v>
      </c>
      <c r="S2193" s="1">
        <v>40008</v>
      </c>
      <c r="T2193" t="str">
        <f t="shared" si="69"/>
        <v>14-Jul-2009</v>
      </c>
    </row>
    <row r="2194" spans="1:20" x14ac:dyDescent="0.3">
      <c r="A2194">
        <v>39492</v>
      </c>
      <c r="B2194" s="1">
        <v>40650</v>
      </c>
      <c r="C2194" t="s">
        <v>31</v>
      </c>
      <c r="D2194" t="str">
        <f t="shared" si="68"/>
        <v>17-Apr-2011</v>
      </c>
      <c r="E2194">
        <v>31</v>
      </c>
      <c r="F2194" s="13">
        <v>5347.9875000000002</v>
      </c>
      <c r="G2194">
        <v>0.01</v>
      </c>
      <c r="H2194" t="s">
        <v>19</v>
      </c>
      <c r="I2194" s="13">
        <v>1332.44</v>
      </c>
      <c r="J2194">
        <v>200.99</v>
      </c>
      <c r="K2194">
        <v>4.2</v>
      </c>
      <c r="L2194" t="s">
        <v>312</v>
      </c>
      <c r="M2194" t="s">
        <v>394</v>
      </c>
      <c r="N2194" s="5" t="s">
        <v>105</v>
      </c>
      <c r="O2194" t="s">
        <v>28</v>
      </c>
      <c r="P2194" t="s">
        <v>29</v>
      </c>
      <c r="Q2194" t="s">
        <v>30</v>
      </c>
      <c r="R2194">
        <v>0.59</v>
      </c>
      <c r="S2194" s="1">
        <v>40653</v>
      </c>
      <c r="T2194" t="str">
        <f t="shared" si="69"/>
        <v>20-Apr-2011</v>
      </c>
    </row>
    <row r="2195" spans="1:20" x14ac:dyDescent="0.3">
      <c r="A2195">
        <v>36994</v>
      </c>
      <c r="B2195" s="1">
        <v>40711</v>
      </c>
      <c r="C2195" t="s">
        <v>43</v>
      </c>
      <c r="D2195" t="str">
        <f t="shared" si="68"/>
        <v>17-Jun-2011</v>
      </c>
      <c r="E2195">
        <v>40</v>
      </c>
      <c r="F2195" s="13">
        <v>5264.48</v>
      </c>
      <c r="G2195">
        <v>0.03</v>
      </c>
      <c r="H2195" t="s">
        <v>24</v>
      </c>
      <c r="I2195" s="13">
        <v>-284.06</v>
      </c>
      <c r="J2195">
        <v>130.97999999999999</v>
      </c>
      <c r="K2195">
        <v>30</v>
      </c>
      <c r="L2195" t="s">
        <v>399</v>
      </c>
      <c r="M2195" t="s">
        <v>394</v>
      </c>
      <c r="N2195" s="5" t="s">
        <v>105</v>
      </c>
      <c r="O2195" t="s">
        <v>28</v>
      </c>
      <c r="P2195" t="s">
        <v>32</v>
      </c>
      <c r="Q2195" t="s">
        <v>56</v>
      </c>
      <c r="R2195">
        <v>0.78</v>
      </c>
      <c r="S2195" s="1">
        <v>40711</v>
      </c>
      <c r="T2195" t="str">
        <f t="shared" si="69"/>
        <v>17-Jun-2011</v>
      </c>
    </row>
    <row r="2196" spans="1:20" x14ac:dyDescent="0.3">
      <c r="A2196">
        <v>29988</v>
      </c>
      <c r="B2196" s="1">
        <v>39976</v>
      </c>
      <c r="C2196" t="s">
        <v>23</v>
      </c>
      <c r="D2196" t="str">
        <f t="shared" si="68"/>
        <v>12-Jun-2009</v>
      </c>
      <c r="E2196">
        <v>12</v>
      </c>
      <c r="F2196" s="13">
        <v>5177.3999999999996</v>
      </c>
      <c r="G2196">
        <v>0.06</v>
      </c>
      <c r="H2196" t="s">
        <v>24</v>
      </c>
      <c r="I2196" s="13">
        <v>287.5</v>
      </c>
      <c r="J2196">
        <v>449.99</v>
      </c>
      <c r="K2196">
        <v>49</v>
      </c>
      <c r="L2196" t="s">
        <v>402</v>
      </c>
      <c r="M2196" t="s">
        <v>394</v>
      </c>
      <c r="N2196" s="5" t="s">
        <v>105</v>
      </c>
      <c r="O2196" t="s">
        <v>28</v>
      </c>
      <c r="P2196" t="s">
        <v>29</v>
      </c>
      <c r="Q2196" t="s">
        <v>51</v>
      </c>
      <c r="R2196">
        <v>0.38</v>
      </c>
      <c r="S2196" s="1">
        <v>39978</v>
      </c>
      <c r="T2196" t="str">
        <f t="shared" si="69"/>
        <v>14-Jun-2009</v>
      </c>
    </row>
    <row r="2197" spans="1:20" x14ac:dyDescent="0.3">
      <c r="A2197">
        <v>14883</v>
      </c>
      <c r="B2197" s="1">
        <v>40669</v>
      </c>
      <c r="C2197" t="s">
        <v>18</v>
      </c>
      <c r="D2197" t="str">
        <f t="shared" si="68"/>
        <v>06-May-2011</v>
      </c>
      <c r="E2197">
        <v>47</v>
      </c>
      <c r="F2197" s="13">
        <v>5126.4179999999997</v>
      </c>
      <c r="G2197">
        <v>0.03</v>
      </c>
      <c r="H2197" t="s">
        <v>19</v>
      </c>
      <c r="I2197" s="13">
        <v>1557.64</v>
      </c>
      <c r="J2197">
        <v>125.99</v>
      </c>
      <c r="K2197">
        <v>2.5</v>
      </c>
      <c r="L2197" t="s">
        <v>312</v>
      </c>
      <c r="M2197" t="s">
        <v>394</v>
      </c>
      <c r="N2197" s="5" t="s">
        <v>105</v>
      </c>
      <c r="O2197" t="s">
        <v>28</v>
      </c>
      <c r="P2197" t="s">
        <v>29</v>
      </c>
      <c r="Q2197" t="s">
        <v>30</v>
      </c>
      <c r="R2197">
        <v>0.6</v>
      </c>
      <c r="S2197" s="1">
        <v>40678</v>
      </c>
      <c r="T2197" t="str">
        <f t="shared" si="69"/>
        <v>15-May-2011</v>
      </c>
    </row>
    <row r="2198" spans="1:20" x14ac:dyDescent="0.3">
      <c r="A2198">
        <v>53798</v>
      </c>
      <c r="B2198" s="1">
        <v>39922</v>
      </c>
      <c r="C2198" t="s">
        <v>18</v>
      </c>
      <c r="D2198" t="str">
        <f t="shared" si="68"/>
        <v>19-Apr-2009</v>
      </c>
      <c r="E2198">
        <v>41</v>
      </c>
      <c r="F2198" s="13">
        <v>4987.7299999999996</v>
      </c>
      <c r="G2198">
        <v>0.08</v>
      </c>
      <c r="H2198" t="s">
        <v>24</v>
      </c>
      <c r="I2198" s="13">
        <v>-1867.97</v>
      </c>
      <c r="J2198">
        <v>122.99</v>
      </c>
      <c r="K2198">
        <v>70.2</v>
      </c>
      <c r="L2198" t="s">
        <v>115</v>
      </c>
      <c r="M2198" t="s">
        <v>394</v>
      </c>
      <c r="N2198" s="5" t="s">
        <v>105</v>
      </c>
      <c r="O2198" t="s">
        <v>28</v>
      </c>
      <c r="P2198" t="s">
        <v>32</v>
      </c>
      <c r="Q2198" t="s">
        <v>56</v>
      </c>
      <c r="R2198">
        <v>0.74</v>
      </c>
      <c r="S2198" s="1">
        <v>39927</v>
      </c>
      <c r="T2198" t="str">
        <f t="shared" si="69"/>
        <v>24-Apr-2009</v>
      </c>
    </row>
    <row r="2199" spans="1:20" x14ac:dyDescent="0.3">
      <c r="A2199">
        <v>35046</v>
      </c>
      <c r="B2199" s="1">
        <v>40383</v>
      </c>
      <c r="C2199" t="s">
        <v>38</v>
      </c>
      <c r="D2199" t="str">
        <f t="shared" si="68"/>
        <v>24-Jul-2010</v>
      </c>
      <c r="E2199">
        <v>45</v>
      </c>
      <c r="F2199" s="13">
        <v>4951.3599999999997</v>
      </c>
      <c r="G2199">
        <v>0.03</v>
      </c>
      <c r="H2199" t="s">
        <v>35</v>
      </c>
      <c r="I2199" s="13">
        <v>1759.72</v>
      </c>
      <c r="J2199">
        <v>107.53</v>
      </c>
      <c r="K2199">
        <v>5.81</v>
      </c>
      <c r="L2199" t="s">
        <v>170</v>
      </c>
      <c r="M2199" t="s">
        <v>394</v>
      </c>
      <c r="N2199" s="5" t="s">
        <v>105</v>
      </c>
      <c r="O2199" t="s">
        <v>28</v>
      </c>
      <c r="P2199" t="s">
        <v>32</v>
      </c>
      <c r="Q2199" t="s">
        <v>33</v>
      </c>
      <c r="R2199">
        <v>0.65</v>
      </c>
      <c r="S2199" s="1">
        <v>40384</v>
      </c>
      <c r="T2199" t="str">
        <f t="shared" si="69"/>
        <v>25-Jul-2010</v>
      </c>
    </row>
    <row r="2200" spans="1:20" x14ac:dyDescent="0.3">
      <c r="A2200">
        <v>32449</v>
      </c>
      <c r="B2200" s="1">
        <v>41252</v>
      </c>
      <c r="C2200" t="s">
        <v>43</v>
      </c>
      <c r="D2200" t="str">
        <f t="shared" si="68"/>
        <v>09-Dec-2012</v>
      </c>
      <c r="E2200">
        <v>12</v>
      </c>
      <c r="F2200" s="13">
        <v>4887.1400000000003</v>
      </c>
      <c r="G2200">
        <v>0.08</v>
      </c>
      <c r="H2200" t="s">
        <v>24</v>
      </c>
      <c r="I2200" s="13">
        <v>-694.33</v>
      </c>
      <c r="J2200">
        <v>424.21</v>
      </c>
      <c r="K2200">
        <v>110.2</v>
      </c>
      <c r="L2200" t="s">
        <v>410</v>
      </c>
      <c r="M2200" t="s">
        <v>394</v>
      </c>
      <c r="N2200" s="5" t="s">
        <v>105</v>
      </c>
      <c r="O2200" t="s">
        <v>28</v>
      </c>
      <c r="P2200" t="s">
        <v>32</v>
      </c>
      <c r="Q2200" t="s">
        <v>46</v>
      </c>
      <c r="R2200">
        <v>0.67</v>
      </c>
      <c r="S2200" s="1">
        <v>41253</v>
      </c>
      <c r="T2200" t="str">
        <f t="shared" si="69"/>
        <v>10-Dec-2012</v>
      </c>
    </row>
    <row r="2201" spans="1:20" x14ac:dyDescent="0.3">
      <c r="A2201">
        <v>36262</v>
      </c>
      <c r="B2201" s="1">
        <v>40386</v>
      </c>
      <c r="C2201" t="s">
        <v>31</v>
      </c>
      <c r="D2201" t="str">
        <f t="shared" si="68"/>
        <v>27-Jul-2010</v>
      </c>
      <c r="E2201">
        <v>26</v>
      </c>
      <c r="F2201" s="13">
        <v>4701.6899999999996</v>
      </c>
      <c r="G2201">
        <v>0</v>
      </c>
      <c r="H2201" t="s">
        <v>35</v>
      </c>
      <c r="I2201" s="13">
        <v>1148.9000000000001</v>
      </c>
      <c r="J2201">
        <v>205.99</v>
      </c>
      <c r="K2201">
        <v>2.5</v>
      </c>
      <c r="L2201" t="s">
        <v>60</v>
      </c>
      <c r="M2201" t="s">
        <v>394</v>
      </c>
      <c r="N2201" s="5" t="s">
        <v>105</v>
      </c>
      <c r="O2201" t="s">
        <v>28</v>
      </c>
      <c r="P2201" t="s">
        <v>29</v>
      </c>
      <c r="Q2201" t="s">
        <v>30</v>
      </c>
      <c r="R2201">
        <v>0.59</v>
      </c>
      <c r="S2201" s="1">
        <v>40386</v>
      </c>
      <c r="T2201" t="str">
        <f t="shared" si="69"/>
        <v>27-Jul-2010</v>
      </c>
    </row>
    <row r="2202" spans="1:20" x14ac:dyDescent="0.3">
      <c r="A2202">
        <v>54019</v>
      </c>
      <c r="B2202" s="1">
        <v>39995</v>
      </c>
      <c r="C2202" t="s">
        <v>18</v>
      </c>
      <c r="D2202" t="str">
        <f t="shared" si="68"/>
        <v>01-Jul-2009</v>
      </c>
      <c r="E2202">
        <v>35</v>
      </c>
      <c r="F2202" s="13">
        <v>4233.1499999999996</v>
      </c>
      <c r="G2202">
        <v>0.08</v>
      </c>
      <c r="H2202" t="s">
        <v>24</v>
      </c>
      <c r="I2202" s="13">
        <v>1219.8699999999999</v>
      </c>
      <c r="J2202">
        <v>120.97</v>
      </c>
      <c r="K2202">
        <v>26.3</v>
      </c>
      <c r="L2202" t="s">
        <v>60</v>
      </c>
      <c r="M2202" t="s">
        <v>394</v>
      </c>
      <c r="N2202" s="5" t="s">
        <v>105</v>
      </c>
      <c r="O2202" t="s">
        <v>28</v>
      </c>
      <c r="P2202" t="s">
        <v>29</v>
      </c>
      <c r="Q2202" t="s">
        <v>74</v>
      </c>
      <c r="R2202">
        <v>0.38</v>
      </c>
      <c r="S2202" s="1">
        <v>40002</v>
      </c>
      <c r="T2202" t="str">
        <f t="shared" si="69"/>
        <v>08-Jul-2009</v>
      </c>
    </row>
    <row r="2203" spans="1:20" x14ac:dyDescent="0.3">
      <c r="A2203">
        <v>35936</v>
      </c>
      <c r="B2203" s="1">
        <v>39834</v>
      </c>
      <c r="C2203" t="s">
        <v>38</v>
      </c>
      <c r="D2203" t="str">
        <f t="shared" si="68"/>
        <v>21-Jan-2009</v>
      </c>
      <c r="E2203">
        <v>40</v>
      </c>
      <c r="F2203" s="13">
        <v>4152.55</v>
      </c>
      <c r="G2203">
        <v>0.03</v>
      </c>
      <c r="H2203" t="s">
        <v>19</v>
      </c>
      <c r="I2203" s="13">
        <v>813.33</v>
      </c>
      <c r="J2203">
        <v>105.34</v>
      </c>
      <c r="K2203">
        <v>24.49</v>
      </c>
      <c r="L2203" t="s">
        <v>413</v>
      </c>
      <c r="M2203" t="s">
        <v>394</v>
      </c>
      <c r="N2203" s="5" t="s">
        <v>105</v>
      </c>
      <c r="O2203" t="s">
        <v>28</v>
      </c>
      <c r="P2203" t="s">
        <v>32</v>
      </c>
      <c r="Q2203" t="s">
        <v>33</v>
      </c>
      <c r="R2203">
        <v>0.61</v>
      </c>
      <c r="S2203" s="1">
        <v>39835</v>
      </c>
      <c r="T2203" t="str">
        <f t="shared" si="69"/>
        <v>22-Jan-2009</v>
      </c>
    </row>
    <row r="2204" spans="1:20" x14ac:dyDescent="0.3">
      <c r="A2204">
        <v>54307</v>
      </c>
      <c r="B2204" s="1">
        <v>40916</v>
      </c>
      <c r="C2204" t="s">
        <v>23</v>
      </c>
      <c r="D2204" t="str">
        <f t="shared" si="68"/>
        <v>08-Jan-2012</v>
      </c>
      <c r="E2204">
        <v>14</v>
      </c>
      <c r="F2204" s="13">
        <v>3849.8</v>
      </c>
      <c r="G2204">
        <v>0.04</v>
      </c>
      <c r="H2204" t="s">
        <v>24</v>
      </c>
      <c r="I2204" s="13">
        <v>192.2</v>
      </c>
      <c r="J2204">
        <v>280.98</v>
      </c>
      <c r="K2204">
        <v>35.67</v>
      </c>
      <c r="L2204" t="s">
        <v>393</v>
      </c>
      <c r="M2204" t="s">
        <v>394</v>
      </c>
      <c r="N2204" s="5" t="s">
        <v>105</v>
      </c>
      <c r="O2204" t="s">
        <v>28</v>
      </c>
      <c r="P2204" t="s">
        <v>32</v>
      </c>
      <c r="Q2204" t="s">
        <v>46</v>
      </c>
      <c r="R2204">
        <v>0.66</v>
      </c>
      <c r="S2204" s="1">
        <v>40917</v>
      </c>
      <c r="T2204" t="str">
        <f t="shared" si="69"/>
        <v>09-Jan-2012</v>
      </c>
    </row>
    <row r="2205" spans="1:20" x14ac:dyDescent="0.3">
      <c r="A2205">
        <v>6850</v>
      </c>
      <c r="B2205" s="1">
        <v>40220</v>
      </c>
      <c r="C2205" t="s">
        <v>23</v>
      </c>
      <c r="D2205" t="str">
        <f t="shared" si="68"/>
        <v>11-Feb-2010</v>
      </c>
      <c r="E2205">
        <v>26</v>
      </c>
      <c r="F2205" s="13">
        <v>3753.72</v>
      </c>
      <c r="G2205">
        <v>0.05</v>
      </c>
      <c r="H2205" t="s">
        <v>24</v>
      </c>
      <c r="I2205" s="13">
        <v>-556.25</v>
      </c>
      <c r="J2205">
        <v>138.75</v>
      </c>
      <c r="K2205">
        <v>52.42</v>
      </c>
      <c r="L2205" t="s">
        <v>132</v>
      </c>
      <c r="M2205" t="s">
        <v>394</v>
      </c>
      <c r="N2205" s="5" t="s">
        <v>105</v>
      </c>
      <c r="O2205" t="s">
        <v>28</v>
      </c>
      <c r="P2205" t="s">
        <v>32</v>
      </c>
      <c r="Q2205" t="s">
        <v>46</v>
      </c>
      <c r="R2205">
        <v>0.74</v>
      </c>
      <c r="S2205" s="1">
        <v>40221</v>
      </c>
      <c r="T2205" t="str">
        <f t="shared" si="69"/>
        <v>12-Feb-2010</v>
      </c>
    </row>
    <row r="2206" spans="1:20" x14ac:dyDescent="0.3">
      <c r="A2206">
        <v>359</v>
      </c>
      <c r="B2206" s="1">
        <v>40165</v>
      </c>
      <c r="C2206" t="s">
        <v>38</v>
      </c>
      <c r="D2206" t="str">
        <f t="shared" si="68"/>
        <v>18-Dec-2009</v>
      </c>
      <c r="E2206">
        <v>30</v>
      </c>
      <c r="F2206" s="13">
        <v>3659.66</v>
      </c>
      <c r="G2206">
        <v>0.08</v>
      </c>
      <c r="H2206" t="s">
        <v>24</v>
      </c>
      <c r="I2206" s="13">
        <v>-500.38</v>
      </c>
      <c r="J2206">
        <v>124.49</v>
      </c>
      <c r="K2206">
        <v>51.94</v>
      </c>
      <c r="L2206" t="s">
        <v>170</v>
      </c>
      <c r="M2206" t="s">
        <v>394</v>
      </c>
      <c r="N2206" s="5" t="s">
        <v>105</v>
      </c>
      <c r="O2206" t="s">
        <v>28</v>
      </c>
      <c r="P2206" t="s">
        <v>32</v>
      </c>
      <c r="Q2206" t="s">
        <v>46</v>
      </c>
      <c r="R2206">
        <v>0.63</v>
      </c>
      <c r="S2206" s="1">
        <v>40166</v>
      </c>
      <c r="T2206" t="str">
        <f t="shared" si="69"/>
        <v>19-Dec-2009</v>
      </c>
    </row>
    <row r="2207" spans="1:20" x14ac:dyDescent="0.3">
      <c r="A2207">
        <v>35046</v>
      </c>
      <c r="B2207" s="1">
        <v>40383</v>
      </c>
      <c r="C2207" t="s">
        <v>38</v>
      </c>
      <c r="D2207" t="str">
        <f t="shared" si="68"/>
        <v>24-Jul-2010</v>
      </c>
      <c r="E2207">
        <v>13</v>
      </c>
      <c r="F2207" s="13">
        <v>3583.87</v>
      </c>
      <c r="G2207">
        <v>7.0000000000000007E-2</v>
      </c>
      <c r="H2207" t="s">
        <v>24</v>
      </c>
      <c r="I2207" s="13">
        <v>-113.08</v>
      </c>
      <c r="J2207">
        <v>284.98</v>
      </c>
      <c r="K2207">
        <v>69.55</v>
      </c>
      <c r="L2207" t="s">
        <v>170</v>
      </c>
      <c r="M2207" t="s">
        <v>394</v>
      </c>
      <c r="N2207" s="5" t="s">
        <v>105</v>
      </c>
      <c r="O2207" t="s">
        <v>28</v>
      </c>
      <c r="P2207" t="s">
        <v>32</v>
      </c>
      <c r="Q2207" t="s">
        <v>56</v>
      </c>
      <c r="R2207">
        <v>0.6</v>
      </c>
      <c r="S2207" s="1">
        <v>40384</v>
      </c>
      <c r="T2207" t="str">
        <f t="shared" si="69"/>
        <v>25-Jul-2010</v>
      </c>
    </row>
    <row r="2208" spans="1:20" x14ac:dyDescent="0.3">
      <c r="A2208">
        <v>37700</v>
      </c>
      <c r="B2208" s="1">
        <v>40155</v>
      </c>
      <c r="C2208" t="s">
        <v>43</v>
      </c>
      <c r="D2208" t="str">
        <f t="shared" si="68"/>
        <v>08-Dec-2009</v>
      </c>
      <c r="E2208">
        <v>27</v>
      </c>
      <c r="F2208" s="13">
        <v>3390.51</v>
      </c>
      <c r="G2208">
        <v>0.05</v>
      </c>
      <c r="H2208" t="s">
        <v>35</v>
      </c>
      <c r="I2208" s="13">
        <v>1169.71</v>
      </c>
      <c r="J2208">
        <v>122.99</v>
      </c>
      <c r="K2208">
        <v>19.989999999999998</v>
      </c>
      <c r="L2208" t="s">
        <v>397</v>
      </c>
      <c r="M2208" t="s">
        <v>394</v>
      </c>
      <c r="N2208" s="5" t="s">
        <v>105</v>
      </c>
      <c r="O2208" t="s">
        <v>28</v>
      </c>
      <c r="P2208" t="s">
        <v>21</v>
      </c>
      <c r="Q2208" t="s">
        <v>26</v>
      </c>
      <c r="R2208">
        <v>0.37</v>
      </c>
      <c r="S2208" s="1">
        <v>40158</v>
      </c>
      <c r="T2208" t="str">
        <f t="shared" si="69"/>
        <v>11-Dec-2009</v>
      </c>
    </row>
    <row r="2209" spans="1:20" x14ac:dyDescent="0.3">
      <c r="A2209">
        <v>9696</v>
      </c>
      <c r="B2209" s="1">
        <v>40593</v>
      </c>
      <c r="C2209" t="s">
        <v>31</v>
      </c>
      <c r="D2209" t="str">
        <f t="shared" si="68"/>
        <v>19-Feb-2011</v>
      </c>
      <c r="E2209">
        <v>13</v>
      </c>
      <c r="F2209" s="13">
        <v>3335.27</v>
      </c>
      <c r="G2209">
        <v>0.03</v>
      </c>
      <c r="H2209" t="s">
        <v>24</v>
      </c>
      <c r="I2209" s="13">
        <v>539.69000000000005</v>
      </c>
      <c r="J2209">
        <v>243.98</v>
      </c>
      <c r="K2209">
        <v>43.32</v>
      </c>
      <c r="L2209" t="s">
        <v>225</v>
      </c>
      <c r="M2209" t="s">
        <v>394</v>
      </c>
      <c r="N2209" s="5" t="s">
        <v>105</v>
      </c>
      <c r="O2209" t="s">
        <v>28</v>
      </c>
      <c r="P2209" t="s">
        <v>32</v>
      </c>
      <c r="Q2209" t="s">
        <v>56</v>
      </c>
      <c r="R2209">
        <v>0.55000000000000004</v>
      </c>
      <c r="S2209" s="1">
        <v>40595</v>
      </c>
      <c r="T2209" t="str">
        <f t="shared" si="69"/>
        <v>21-Feb-2011</v>
      </c>
    </row>
    <row r="2210" spans="1:20" x14ac:dyDescent="0.3">
      <c r="A2210">
        <v>54051</v>
      </c>
      <c r="B2210" s="1">
        <v>40766</v>
      </c>
      <c r="C2210" t="s">
        <v>38</v>
      </c>
      <c r="D2210" t="str">
        <f t="shared" si="68"/>
        <v>11-Aug-2011</v>
      </c>
      <c r="E2210">
        <v>23</v>
      </c>
      <c r="F2210" s="13">
        <v>3301.33</v>
      </c>
      <c r="G2210">
        <v>0.05</v>
      </c>
      <c r="H2210" t="s">
        <v>24</v>
      </c>
      <c r="I2210" s="13">
        <v>-307.45999999999998</v>
      </c>
      <c r="J2210">
        <v>140.97999999999999</v>
      </c>
      <c r="K2210">
        <v>36.090000000000003</v>
      </c>
      <c r="L2210" t="s">
        <v>405</v>
      </c>
      <c r="M2210" t="s">
        <v>394</v>
      </c>
      <c r="N2210" s="5" t="s">
        <v>105</v>
      </c>
      <c r="O2210" t="s">
        <v>28</v>
      </c>
      <c r="P2210" t="s">
        <v>32</v>
      </c>
      <c r="Q2210" t="s">
        <v>45</v>
      </c>
      <c r="R2210">
        <v>0.77</v>
      </c>
      <c r="S2210" s="1">
        <v>40768</v>
      </c>
      <c r="T2210" t="str">
        <f t="shared" si="69"/>
        <v>13-Aug-2011</v>
      </c>
    </row>
    <row r="2211" spans="1:20" x14ac:dyDescent="0.3">
      <c r="A2211">
        <v>9955</v>
      </c>
      <c r="B2211" s="1">
        <v>40790</v>
      </c>
      <c r="C2211" t="s">
        <v>43</v>
      </c>
      <c r="D2211" t="str">
        <f t="shared" si="68"/>
        <v>04-Sep-2011</v>
      </c>
      <c r="E2211">
        <v>37</v>
      </c>
      <c r="F2211" s="13">
        <v>2912.0149999999999</v>
      </c>
      <c r="G2211">
        <v>0.09</v>
      </c>
      <c r="H2211" t="s">
        <v>19</v>
      </c>
      <c r="I2211" s="13">
        <v>698.17</v>
      </c>
      <c r="J2211">
        <v>95.99</v>
      </c>
      <c r="K2211">
        <v>4.9000000000000004</v>
      </c>
      <c r="L2211" t="s">
        <v>355</v>
      </c>
      <c r="M2211" t="s">
        <v>394</v>
      </c>
      <c r="N2211" s="5" t="s">
        <v>105</v>
      </c>
      <c r="O2211" t="s">
        <v>28</v>
      </c>
      <c r="P2211" t="s">
        <v>29</v>
      </c>
      <c r="Q2211" t="s">
        <v>30</v>
      </c>
      <c r="R2211">
        <v>0.56000000000000005</v>
      </c>
      <c r="S2211" s="1">
        <v>40792</v>
      </c>
      <c r="T2211" t="str">
        <f t="shared" si="69"/>
        <v>06-Sep-2011</v>
      </c>
    </row>
    <row r="2212" spans="1:20" x14ac:dyDescent="0.3">
      <c r="A2212">
        <v>32</v>
      </c>
      <c r="B2212" s="1">
        <v>40739</v>
      </c>
      <c r="C2212" t="s">
        <v>23</v>
      </c>
      <c r="D2212" t="str">
        <f t="shared" si="68"/>
        <v>15-Jul-2011</v>
      </c>
      <c r="E2212">
        <v>26</v>
      </c>
      <c r="F2212" s="13">
        <v>2808.08</v>
      </c>
      <c r="G2212">
        <v>7.0000000000000007E-2</v>
      </c>
      <c r="H2212" t="s">
        <v>19</v>
      </c>
      <c r="I2212" s="13">
        <v>1054.82</v>
      </c>
      <c r="J2212">
        <v>107.53</v>
      </c>
      <c r="K2212">
        <v>5.81</v>
      </c>
      <c r="L2212" t="s">
        <v>355</v>
      </c>
      <c r="M2212" t="s">
        <v>394</v>
      </c>
      <c r="N2212" s="5" t="s">
        <v>105</v>
      </c>
      <c r="O2212" t="s">
        <v>28</v>
      </c>
      <c r="P2212" t="s">
        <v>32</v>
      </c>
      <c r="Q2212" t="s">
        <v>33</v>
      </c>
      <c r="R2212">
        <v>0.65</v>
      </c>
      <c r="S2212" s="1">
        <v>40741</v>
      </c>
      <c r="T2212" t="str">
        <f t="shared" si="69"/>
        <v>17-Jul-2011</v>
      </c>
    </row>
    <row r="2213" spans="1:20" x14ac:dyDescent="0.3">
      <c r="A2213">
        <v>19652</v>
      </c>
      <c r="B2213" s="1">
        <v>41062</v>
      </c>
      <c r="C2213" t="s">
        <v>43</v>
      </c>
      <c r="D2213" t="str">
        <f t="shared" si="68"/>
        <v>02-Jun-2012</v>
      </c>
      <c r="E2213">
        <v>28</v>
      </c>
      <c r="F2213" s="13">
        <v>2711.14</v>
      </c>
      <c r="G2213">
        <v>0.01</v>
      </c>
      <c r="H2213" t="s">
        <v>24</v>
      </c>
      <c r="I2213" s="13">
        <v>-307.86</v>
      </c>
      <c r="J2213">
        <v>89.99</v>
      </c>
      <c r="K2213">
        <v>42</v>
      </c>
      <c r="L2213" t="s">
        <v>396</v>
      </c>
      <c r="M2213" t="s">
        <v>394</v>
      </c>
      <c r="N2213" s="5" t="s">
        <v>105</v>
      </c>
      <c r="O2213" t="s">
        <v>28</v>
      </c>
      <c r="P2213" t="s">
        <v>32</v>
      </c>
      <c r="Q2213" t="s">
        <v>56</v>
      </c>
      <c r="R2213">
        <v>0.66</v>
      </c>
      <c r="S2213" s="1">
        <v>41063</v>
      </c>
      <c r="T2213" t="str">
        <f t="shared" si="69"/>
        <v>03-Jun-2012</v>
      </c>
    </row>
    <row r="2214" spans="1:20" x14ac:dyDescent="0.3">
      <c r="A2214">
        <v>55813</v>
      </c>
      <c r="B2214" s="1">
        <v>41118</v>
      </c>
      <c r="C2214" t="s">
        <v>18</v>
      </c>
      <c r="D2214" t="str">
        <f t="shared" si="68"/>
        <v>28-Jul-2012</v>
      </c>
      <c r="E2214">
        <v>39</v>
      </c>
      <c r="F2214" s="13">
        <v>2650.77</v>
      </c>
      <c r="G2214">
        <v>0.08</v>
      </c>
      <c r="H2214" t="s">
        <v>19</v>
      </c>
      <c r="I2214" s="13">
        <v>-824.43</v>
      </c>
      <c r="J2214">
        <v>70.709999999999994</v>
      </c>
      <c r="K2214">
        <v>37.58</v>
      </c>
      <c r="L2214" t="s">
        <v>195</v>
      </c>
      <c r="M2214" t="s">
        <v>394</v>
      </c>
      <c r="N2214" s="5" t="s">
        <v>105</v>
      </c>
      <c r="O2214" t="s">
        <v>28</v>
      </c>
      <c r="P2214" t="s">
        <v>32</v>
      </c>
      <c r="Q2214" t="s">
        <v>33</v>
      </c>
      <c r="R2214">
        <v>0.78</v>
      </c>
      <c r="S2214" s="1">
        <v>41118</v>
      </c>
      <c r="T2214" t="str">
        <f t="shared" si="69"/>
        <v>28-Jul-2012</v>
      </c>
    </row>
    <row r="2215" spans="1:20" x14ac:dyDescent="0.3">
      <c r="A2215">
        <v>16518</v>
      </c>
      <c r="B2215" s="1">
        <v>41181</v>
      </c>
      <c r="C2215" t="s">
        <v>43</v>
      </c>
      <c r="D2215" t="str">
        <f t="shared" si="68"/>
        <v>29-Sep-2012</v>
      </c>
      <c r="E2215">
        <v>36</v>
      </c>
      <c r="F2215" s="13">
        <v>2628.9225000000001</v>
      </c>
      <c r="G2215">
        <v>0.03</v>
      </c>
      <c r="H2215" t="s">
        <v>19</v>
      </c>
      <c r="I2215" s="13">
        <v>832.19</v>
      </c>
      <c r="J2215">
        <v>85.99</v>
      </c>
      <c r="K2215">
        <v>0.99</v>
      </c>
      <c r="L2215" t="s">
        <v>398</v>
      </c>
      <c r="M2215" t="s">
        <v>394</v>
      </c>
      <c r="N2215" s="5" t="s">
        <v>105</v>
      </c>
      <c r="O2215" t="s">
        <v>28</v>
      </c>
      <c r="P2215" t="s">
        <v>29</v>
      </c>
      <c r="Q2215" t="s">
        <v>30</v>
      </c>
      <c r="R2215">
        <v>0.55000000000000004</v>
      </c>
      <c r="S2215" s="1">
        <v>41184</v>
      </c>
      <c r="T2215" t="str">
        <f t="shared" si="69"/>
        <v>02-Oct-2012</v>
      </c>
    </row>
    <row r="2216" spans="1:20" x14ac:dyDescent="0.3">
      <c r="A2216">
        <v>9639</v>
      </c>
      <c r="B2216" s="1">
        <v>40426</v>
      </c>
      <c r="C2216" t="s">
        <v>31</v>
      </c>
      <c r="D2216" t="str">
        <f t="shared" si="68"/>
        <v>05-Sep-2010</v>
      </c>
      <c r="E2216">
        <v>23</v>
      </c>
      <c r="F2216" s="13">
        <v>2610.8939999999998</v>
      </c>
      <c r="G2216">
        <v>0</v>
      </c>
      <c r="H2216" t="s">
        <v>19</v>
      </c>
      <c r="I2216" s="13">
        <v>516.19000000000005</v>
      </c>
      <c r="J2216">
        <v>125.99</v>
      </c>
      <c r="K2216">
        <v>5.63</v>
      </c>
      <c r="L2216" t="s">
        <v>401</v>
      </c>
      <c r="M2216" t="s">
        <v>394</v>
      </c>
      <c r="N2216" s="5" t="s">
        <v>105</v>
      </c>
      <c r="O2216" t="s">
        <v>28</v>
      </c>
      <c r="P2216" t="s">
        <v>29</v>
      </c>
      <c r="Q2216" t="s">
        <v>30</v>
      </c>
      <c r="R2216">
        <v>0.6</v>
      </c>
      <c r="S2216" s="1">
        <v>40426</v>
      </c>
      <c r="T2216" t="str">
        <f t="shared" si="69"/>
        <v>05-Sep-2010</v>
      </c>
    </row>
    <row r="2217" spans="1:20" x14ac:dyDescent="0.3">
      <c r="A2217">
        <v>37542</v>
      </c>
      <c r="B2217" s="1">
        <v>40014</v>
      </c>
      <c r="C2217" t="s">
        <v>38</v>
      </c>
      <c r="D2217" t="str">
        <f t="shared" si="68"/>
        <v>20-Jul-2009</v>
      </c>
      <c r="E2217">
        <v>26</v>
      </c>
      <c r="F2217" s="13">
        <v>2546.5234999999998</v>
      </c>
      <c r="G2217">
        <v>0.09</v>
      </c>
      <c r="H2217" t="s">
        <v>35</v>
      </c>
      <c r="I2217" s="13">
        <v>210</v>
      </c>
      <c r="J2217">
        <v>125.99</v>
      </c>
      <c r="K2217">
        <v>7.69</v>
      </c>
      <c r="L2217" t="s">
        <v>402</v>
      </c>
      <c r="M2217" t="s">
        <v>394</v>
      </c>
      <c r="N2217" s="5" t="s">
        <v>105</v>
      </c>
      <c r="O2217" t="s">
        <v>28</v>
      </c>
      <c r="P2217" t="s">
        <v>29</v>
      </c>
      <c r="Q2217" t="s">
        <v>30</v>
      </c>
      <c r="R2217">
        <v>0.59</v>
      </c>
      <c r="S2217" s="1">
        <v>40016</v>
      </c>
      <c r="T2217" t="str">
        <f t="shared" si="69"/>
        <v>22-Jul-2009</v>
      </c>
    </row>
    <row r="2218" spans="1:20" x14ac:dyDescent="0.3">
      <c r="A2218">
        <v>4389</v>
      </c>
      <c r="B2218" s="1">
        <v>39937</v>
      </c>
      <c r="C2218" t="s">
        <v>38</v>
      </c>
      <c r="D2218" t="str">
        <f t="shared" si="68"/>
        <v>04-May-2009</v>
      </c>
      <c r="E2218">
        <v>42</v>
      </c>
      <c r="F2218" s="13">
        <v>2455.2759999999998</v>
      </c>
      <c r="G2218">
        <v>0.04</v>
      </c>
      <c r="H2218" t="s">
        <v>35</v>
      </c>
      <c r="I2218" s="13">
        <v>693.06</v>
      </c>
      <c r="J2218">
        <v>65.989999999999995</v>
      </c>
      <c r="K2218">
        <v>5.63</v>
      </c>
      <c r="L2218" t="s">
        <v>382</v>
      </c>
      <c r="M2218" t="s">
        <v>394</v>
      </c>
      <c r="N2218" s="5" t="s">
        <v>105</v>
      </c>
      <c r="O2218" t="s">
        <v>28</v>
      </c>
      <c r="P2218" t="s">
        <v>29</v>
      </c>
      <c r="Q2218" t="s">
        <v>30</v>
      </c>
      <c r="R2218">
        <v>0.56000000000000005</v>
      </c>
      <c r="S2218" s="1">
        <v>39937</v>
      </c>
      <c r="T2218" t="str">
        <f t="shared" si="69"/>
        <v>04-May-2009</v>
      </c>
    </row>
    <row r="2219" spans="1:20" x14ac:dyDescent="0.3">
      <c r="A2219">
        <v>39682</v>
      </c>
      <c r="B2219" s="1">
        <v>40491</v>
      </c>
      <c r="C2219" t="s">
        <v>38</v>
      </c>
      <c r="D2219" t="str">
        <f t="shared" si="68"/>
        <v>09-Nov-2010</v>
      </c>
      <c r="E2219">
        <v>43</v>
      </c>
      <c r="F2219" s="13">
        <v>2337.89</v>
      </c>
      <c r="G2219">
        <v>0.09</v>
      </c>
      <c r="H2219" t="s">
        <v>35</v>
      </c>
      <c r="I2219" s="13">
        <v>729.34</v>
      </c>
      <c r="J2219">
        <v>55.48</v>
      </c>
      <c r="K2219">
        <v>14.3</v>
      </c>
      <c r="L2219" t="s">
        <v>60</v>
      </c>
      <c r="M2219" t="s">
        <v>394</v>
      </c>
      <c r="N2219" s="5" t="s">
        <v>105</v>
      </c>
      <c r="O2219" t="s">
        <v>28</v>
      </c>
      <c r="P2219" t="s">
        <v>21</v>
      </c>
      <c r="Q2219" t="s">
        <v>37</v>
      </c>
      <c r="R2219">
        <v>0.37</v>
      </c>
      <c r="S2219" s="1">
        <v>40493</v>
      </c>
      <c r="T2219" t="str">
        <f t="shared" si="69"/>
        <v>11-Nov-2010</v>
      </c>
    </row>
    <row r="2220" spans="1:20" x14ac:dyDescent="0.3">
      <c r="A2220">
        <v>53798</v>
      </c>
      <c r="B2220" s="1">
        <v>39922</v>
      </c>
      <c r="C2220" t="s">
        <v>18</v>
      </c>
      <c r="D2220" t="str">
        <f t="shared" si="68"/>
        <v>19-Apr-2009</v>
      </c>
      <c r="E2220">
        <v>29</v>
      </c>
      <c r="F2220" s="13">
        <v>2317.65</v>
      </c>
      <c r="G2220">
        <v>0</v>
      </c>
      <c r="H2220" t="s">
        <v>19</v>
      </c>
      <c r="I2220" s="13">
        <v>568.6</v>
      </c>
      <c r="J2220">
        <v>78.650000000000006</v>
      </c>
      <c r="K2220">
        <v>13.99</v>
      </c>
      <c r="L2220" t="s">
        <v>115</v>
      </c>
      <c r="M2220" t="s">
        <v>394</v>
      </c>
      <c r="N2220" s="5" t="s">
        <v>105</v>
      </c>
      <c r="O2220" t="s">
        <v>28</v>
      </c>
      <c r="P2220" t="s">
        <v>21</v>
      </c>
      <c r="Q2220" t="s">
        <v>25</v>
      </c>
      <c r="R2220">
        <v>0.52</v>
      </c>
      <c r="S2220" s="1">
        <v>39929</v>
      </c>
      <c r="T2220" t="str">
        <f t="shared" si="69"/>
        <v>26-Apr-2009</v>
      </c>
    </row>
    <row r="2221" spans="1:20" x14ac:dyDescent="0.3">
      <c r="A2221">
        <v>35652</v>
      </c>
      <c r="B2221" s="1">
        <v>40442</v>
      </c>
      <c r="C2221" t="s">
        <v>18</v>
      </c>
      <c r="D2221" t="str">
        <f t="shared" si="68"/>
        <v>21-Sep-2010</v>
      </c>
      <c r="E2221">
        <v>21</v>
      </c>
      <c r="F2221" s="13">
        <v>2251.56</v>
      </c>
      <c r="G2221">
        <v>0.01</v>
      </c>
      <c r="H2221" t="s">
        <v>24</v>
      </c>
      <c r="I2221" s="13">
        <v>226.63</v>
      </c>
      <c r="J2221">
        <v>100.98</v>
      </c>
      <c r="K2221">
        <v>26.22</v>
      </c>
      <c r="L2221" t="s">
        <v>173</v>
      </c>
      <c r="M2221" t="s">
        <v>394</v>
      </c>
      <c r="N2221" s="5" t="s">
        <v>105</v>
      </c>
      <c r="O2221" t="s">
        <v>28</v>
      </c>
      <c r="P2221" t="s">
        <v>32</v>
      </c>
      <c r="Q2221" t="s">
        <v>45</v>
      </c>
      <c r="R2221">
        <v>0.6</v>
      </c>
      <c r="S2221" s="1">
        <v>40444</v>
      </c>
      <c r="T2221" t="str">
        <f t="shared" si="69"/>
        <v>23-Sep-2010</v>
      </c>
    </row>
    <row r="2222" spans="1:20" x14ac:dyDescent="0.3">
      <c r="A2222">
        <v>7398</v>
      </c>
      <c r="B2222" s="1">
        <v>39965</v>
      </c>
      <c r="C2222" t="s">
        <v>31</v>
      </c>
      <c r="D2222" t="str">
        <f t="shared" si="68"/>
        <v>01-Jun-2009</v>
      </c>
      <c r="E2222">
        <v>34</v>
      </c>
      <c r="F2222" s="13">
        <v>2181.44</v>
      </c>
      <c r="G2222">
        <v>7.0000000000000007E-2</v>
      </c>
      <c r="H2222" t="s">
        <v>19</v>
      </c>
      <c r="I2222" s="13">
        <v>-896.34</v>
      </c>
      <c r="J2222">
        <v>64.650000000000006</v>
      </c>
      <c r="K2222">
        <v>35</v>
      </c>
      <c r="L2222" t="s">
        <v>166</v>
      </c>
      <c r="M2222" t="s">
        <v>394</v>
      </c>
      <c r="N2222" s="5" t="s">
        <v>105</v>
      </c>
      <c r="O2222" t="s">
        <v>28</v>
      </c>
      <c r="P2222" t="s">
        <v>21</v>
      </c>
      <c r="Q2222" t="s">
        <v>22</v>
      </c>
      <c r="R2222">
        <v>0.8</v>
      </c>
      <c r="S2222" s="1">
        <v>39967</v>
      </c>
      <c r="T2222" t="str">
        <f t="shared" si="69"/>
        <v>03-Jun-2009</v>
      </c>
    </row>
    <row r="2223" spans="1:20" x14ac:dyDescent="0.3">
      <c r="A2223">
        <v>6850</v>
      </c>
      <c r="B2223" s="1">
        <v>40220</v>
      </c>
      <c r="C2223" t="s">
        <v>23</v>
      </c>
      <c r="D2223" t="str">
        <f t="shared" si="68"/>
        <v>11-Feb-2010</v>
      </c>
      <c r="E2223">
        <v>34</v>
      </c>
      <c r="F2223" s="13">
        <v>2126.7199999999998</v>
      </c>
      <c r="G2223">
        <v>0.05</v>
      </c>
      <c r="H2223" t="s">
        <v>19</v>
      </c>
      <c r="I2223" s="13">
        <v>150.04</v>
      </c>
      <c r="J2223">
        <v>64.98</v>
      </c>
      <c r="K2223">
        <v>6.88</v>
      </c>
      <c r="L2223" t="s">
        <v>132</v>
      </c>
      <c r="M2223" t="s">
        <v>394</v>
      </c>
      <c r="N2223" s="5" t="s">
        <v>105</v>
      </c>
      <c r="O2223" t="s">
        <v>28</v>
      </c>
      <c r="P2223" t="s">
        <v>21</v>
      </c>
      <c r="Q2223" t="s">
        <v>22</v>
      </c>
      <c r="R2223">
        <v>0.73</v>
      </c>
      <c r="S2223" s="1">
        <v>40222</v>
      </c>
      <c r="T2223" t="str">
        <f t="shared" si="69"/>
        <v>13-Feb-2010</v>
      </c>
    </row>
    <row r="2224" spans="1:20" x14ac:dyDescent="0.3">
      <c r="A2224">
        <v>21410</v>
      </c>
      <c r="B2224" s="1">
        <v>41030</v>
      </c>
      <c r="C2224" t="s">
        <v>43</v>
      </c>
      <c r="D2224" t="str">
        <f t="shared" si="68"/>
        <v>01-May-2012</v>
      </c>
      <c r="E2224">
        <v>16</v>
      </c>
      <c r="F2224" s="13">
        <v>2101.59</v>
      </c>
      <c r="G2224">
        <v>0.01</v>
      </c>
      <c r="H2224" t="s">
        <v>35</v>
      </c>
      <c r="I2224" s="13">
        <v>554.91</v>
      </c>
      <c r="J2224">
        <v>123.38</v>
      </c>
      <c r="K2224">
        <v>24.49</v>
      </c>
      <c r="L2224" t="s">
        <v>284</v>
      </c>
      <c r="M2224" t="s">
        <v>394</v>
      </c>
      <c r="N2224" s="5" t="s">
        <v>105</v>
      </c>
      <c r="O2224" t="s">
        <v>28</v>
      </c>
      <c r="P2224" t="s">
        <v>21</v>
      </c>
      <c r="Q2224" t="s">
        <v>25</v>
      </c>
      <c r="R2224">
        <v>0.46</v>
      </c>
      <c r="S2224" s="1">
        <v>41032</v>
      </c>
      <c r="T2224" t="str">
        <f t="shared" si="69"/>
        <v>03-May-2012</v>
      </c>
    </row>
    <row r="2225" spans="1:20" x14ac:dyDescent="0.3">
      <c r="A2225">
        <v>6850</v>
      </c>
      <c r="B2225" s="1">
        <v>40220</v>
      </c>
      <c r="C2225" t="s">
        <v>23</v>
      </c>
      <c r="D2225" t="str">
        <f t="shared" si="68"/>
        <v>11-Feb-2010</v>
      </c>
      <c r="E2225">
        <v>41</v>
      </c>
      <c r="F2225" s="13">
        <v>2088.5</v>
      </c>
      <c r="G2225">
        <v>0.08</v>
      </c>
      <c r="H2225" t="s">
        <v>19</v>
      </c>
      <c r="I2225" s="13">
        <v>675.07</v>
      </c>
      <c r="J2225">
        <v>51.98</v>
      </c>
      <c r="K2225">
        <v>10.17</v>
      </c>
      <c r="L2225" t="s">
        <v>132</v>
      </c>
      <c r="M2225" t="s">
        <v>394</v>
      </c>
      <c r="N2225" s="5" t="s">
        <v>105</v>
      </c>
      <c r="O2225" t="s">
        <v>28</v>
      </c>
      <c r="P2225" t="s">
        <v>29</v>
      </c>
      <c r="Q2225" t="s">
        <v>74</v>
      </c>
      <c r="R2225">
        <v>0.37</v>
      </c>
      <c r="S2225" s="1">
        <v>40221</v>
      </c>
      <c r="T2225" t="str">
        <f t="shared" si="69"/>
        <v>12-Feb-2010</v>
      </c>
    </row>
    <row r="2226" spans="1:20" x14ac:dyDescent="0.3">
      <c r="A2226">
        <v>52673</v>
      </c>
      <c r="B2226" s="1">
        <v>41037</v>
      </c>
      <c r="C2226" t="s">
        <v>38</v>
      </c>
      <c r="D2226" t="str">
        <f t="shared" si="68"/>
        <v>08-May-2012</v>
      </c>
      <c r="E2226">
        <v>14</v>
      </c>
      <c r="F2226" s="13">
        <v>2045.066</v>
      </c>
      <c r="G2226">
        <v>7.0000000000000007E-2</v>
      </c>
      <c r="H2226" t="s">
        <v>19</v>
      </c>
      <c r="I2226" s="13">
        <v>-4.68</v>
      </c>
      <c r="J2226">
        <v>175.99</v>
      </c>
      <c r="K2226">
        <v>8.99</v>
      </c>
      <c r="L2226" t="s">
        <v>412</v>
      </c>
      <c r="M2226" t="s">
        <v>394</v>
      </c>
      <c r="N2226" s="5" t="s">
        <v>105</v>
      </c>
      <c r="O2226" t="s">
        <v>28</v>
      </c>
      <c r="P2226" t="s">
        <v>29</v>
      </c>
      <c r="Q2226" t="s">
        <v>30</v>
      </c>
      <c r="R2226">
        <v>0.56999999999999995</v>
      </c>
      <c r="S2226" s="1">
        <v>41038</v>
      </c>
      <c r="T2226" t="str">
        <f t="shared" si="69"/>
        <v>09-May-2012</v>
      </c>
    </row>
    <row r="2227" spans="1:20" x14ac:dyDescent="0.3">
      <c r="A2227">
        <v>18758</v>
      </c>
      <c r="B2227" s="1">
        <v>40288</v>
      </c>
      <c r="C2227" t="s">
        <v>31</v>
      </c>
      <c r="D2227" t="str">
        <f t="shared" si="68"/>
        <v>20-Apr-2010</v>
      </c>
      <c r="E2227">
        <v>20</v>
      </c>
      <c r="F2227" s="13">
        <v>2022.18</v>
      </c>
      <c r="G2227">
        <v>0.09</v>
      </c>
      <c r="H2227" t="s">
        <v>35</v>
      </c>
      <c r="I2227" s="13">
        <v>594.44000000000005</v>
      </c>
      <c r="J2227">
        <v>102.3</v>
      </c>
      <c r="K2227">
        <v>21.26</v>
      </c>
      <c r="L2227" t="s">
        <v>355</v>
      </c>
      <c r="M2227" t="s">
        <v>394</v>
      </c>
      <c r="N2227" s="5" t="s">
        <v>105</v>
      </c>
      <c r="O2227" t="s">
        <v>28</v>
      </c>
      <c r="P2227" t="s">
        <v>32</v>
      </c>
      <c r="Q2227" t="s">
        <v>33</v>
      </c>
      <c r="R2227">
        <v>0.59</v>
      </c>
      <c r="S2227" s="1">
        <v>40290</v>
      </c>
      <c r="T2227" t="str">
        <f t="shared" si="69"/>
        <v>22-Apr-2010</v>
      </c>
    </row>
    <row r="2228" spans="1:20" x14ac:dyDescent="0.3">
      <c r="A2228">
        <v>7078</v>
      </c>
      <c r="B2228" s="1">
        <v>40279</v>
      </c>
      <c r="C2228" t="s">
        <v>23</v>
      </c>
      <c r="D2228" t="str">
        <f t="shared" si="68"/>
        <v>11-Apr-2010</v>
      </c>
      <c r="E2228">
        <v>16</v>
      </c>
      <c r="F2228" s="13">
        <v>1939.65</v>
      </c>
      <c r="G2228">
        <v>0.05</v>
      </c>
      <c r="H2228" t="s">
        <v>24</v>
      </c>
      <c r="I2228" s="13">
        <v>-885.73</v>
      </c>
      <c r="J2228">
        <v>122.99</v>
      </c>
      <c r="K2228">
        <v>70.2</v>
      </c>
      <c r="L2228" t="s">
        <v>377</v>
      </c>
      <c r="M2228" t="s">
        <v>394</v>
      </c>
      <c r="N2228" s="5" t="s">
        <v>105</v>
      </c>
      <c r="O2228" t="s">
        <v>28</v>
      </c>
      <c r="P2228" t="s">
        <v>32</v>
      </c>
      <c r="Q2228" t="s">
        <v>56</v>
      </c>
      <c r="R2228">
        <v>0.74</v>
      </c>
      <c r="S2228" s="1">
        <v>40281</v>
      </c>
      <c r="T2228" t="str">
        <f t="shared" si="69"/>
        <v>13-Apr-2010</v>
      </c>
    </row>
    <row r="2229" spans="1:20" x14ac:dyDescent="0.3">
      <c r="A2229">
        <v>56834</v>
      </c>
      <c r="B2229" s="1">
        <v>40664</v>
      </c>
      <c r="C2229" t="s">
        <v>23</v>
      </c>
      <c r="D2229" t="str">
        <f t="shared" si="68"/>
        <v>01-May-2011</v>
      </c>
      <c r="E2229">
        <v>22</v>
      </c>
      <c r="F2229" s="13">
        <v>1900.47</v>
      </c>
      <c r="G2229">
        <v>0</v>
      </c>
      <c r="H2229" t="s">
        <v>24</v>
      </c>
      <c r="I2229" s="13">
        <v>202.73</v>
      </c>
      <c r="J2229">
        <v>80.97</v>
      </c>
      <c r="K2229">
        <v>30.06</v>
      </c>
      <c r="L2229" t="s">
        <v>195</v>
      </c>
      <c r="M2229" t="s">
        <v>394</v>
      </c>
      <c r="N2229" s="5" t="s">
        <v>105</v>
      </c>
      <c r="O2229" t="s">
        <v>28</v>
      </c>
      <c r="P2229" t="s">
        <v>29</v>
      </c>
      <c r="Q2229" t="s">
        <v>74</v>
      </c>
      <c r="R2229">
        <v>0.4</v>
      </c>
      <c r="S2229" s="1">
        <v>40666</v>
      </c>
      <c r="T2229" t="str">
        <f t="shared" si="69"/>
        <v>03-May-2011</v>
      </c>
    </row>
    <row r="2230" spans="1:20" x14ac:dyDescent="0.3">
      <c r="A2230">
        <v>57281</v>
      </c>
      <c r="B2230" s="1">
        <v>40288</v>
      </c>
      <c r="C2230" t="s">
        <v>23</v>
      </c>
      <c r="D2230" t="str">
        <f t="shared" si="68"/>
        <v>20-Apr-2010</v>
      </c>
      <c r="E2230">
        <v>19</v>
      </c>
      <c r="F2230" s="13">
        <v>1851.62</v>
      </c>
      <c r="G2230">
        <v>0.09</v>
      </c>
      <c r="H2230" t="s">
        <v>24</v>
      </c>
      <c r="I2230" s="13">
        <v>-220.84</v>
      </c>
      <c r="J2230">
        <v>100.98</v>
      </c>
      <c r="K2230">
        <v>35.840000000000003</v>
      </c>
      <c r="L2230" t="s">
        <v>199</v>
      </c>
      <c r="M2230" t="s">
        <v>394</v>
      </c>
      <c r="N2230" s="5" t="s">
        <v>105</v>
      </c>
      <c r="O2230" t="s">
        <v>28</v>
      </c>
      <c r="P2230" t="s">
        <v>32</v>
      </c>
      <c r="Q2230" t="s">
        <v>45</v>
      </c>
      <c r="R2230">
        <v>0.62</v>
      </c>
      <c r="S2230" s="1">
        <v>40290</v>
      </c>
      <c r="T2230" t="str">
        <f t="shared" si="69"/>
        <v>22-Apr-2010</v>
      </c>
    </row>
    <row r="2231" spans="1:20" x14ac:dyDescent="0.3">
      <c r="A2231">
        <v>19652</v>
      </c>
      <c r="B2231" s="1">
        <v>41062</v>
      </c>
      <c r="C2231" t="s">
        <v>43</v>
      </c>
      <c r="D2231" t="str">
        <f t="shared" si="68"/>
        <v>02-Jun-2012</v>
      </c>
      <c r="E2231">
        <v>34</v>
      </c>
      <c r="F2231" s="13">
        <v>1829.8715</v>
      </c>
      <c r="G2231">
        <v>0.05</v>
      </c>
      <c r="H2231" t="s">
        <v>19</v>
      </c>
      <c r="I2231" s="13">
        <v>367.46</v>
      </c>
      <c r="J2231">
        <v>65.989999999999995</v>
      </c>
      <c r="K2231">
        <v>3.99</v>
      </c>
      <c r="L2231" t="s">
        <v>396</v>
      </c>
      <c r="M2231" t="s">
        <v>394</v>
      </c>
      <c r="N2231" s="5" t="s">
        <v>105</v>
      </c>
      <c r="O2231" t="s">
        <v>28</v>
      </c>
      <c r="P2231" t="s">
        <v>29</v>
      </c>
      <c r="Q2231" t="s">
        <v>30</v>
      </c>
      <c r="R2231">
        <v>0.56999999999999995</v>
      </c>
      <c r="S2231" s="1">
        <v>41064</v>
      </c>
      <c r="T2231" t="str">
        <f t="shared" si="69"/>
        <v>04-Jun-2012</v>
      </c>
    </row>
    <row r="2232" spans="1:20" x14ac:dyDescent="0.3">
      <c r="A2232">
        <v>21735</v>
      </c>
      <c r="B2232" s="1">
        <v>40246</v>
      </c>
      <c r="C2232" t="s">
        <v>31</v>
      </c>
      <c r="D2232" t="str">
        <f t="shared" si="68"/>
        <v>09-Mar-2010</v>
      </c>
      <c r="E2232">
        <v>14</v>
      </c>
      <c r="F2232" s="13">
        <v>1819.153</v>
      </c>
      <c r="G2232">
        <v>0.02</v>
      </c>
      <c r="H2232" t="s">
        <v>19</v>
      </c>
      <c r="I2232" s="13">
        <v>-35.5</v>
      </c>
      <c r="J2232">
        <v>155.99</v>
      </c>
      <c r="K2232">
        <v>8.99</v>
      </c>
      <c r="L2232" t="s">
        <v>355</v>
      </c>
      <c r="M2232" t="s">
        <v>394</v>
      </c>
      <c r="N2232" s="5" t="s">
        <v>105</v>
      </c>
      <c r="O2232" t="s">
        <v>28</v>
      </c>
      <c r="P2232" t="s">
        <v>29</v>
      </c>
      <c r="Q2232" t="s">
        <v>30</v>
      </c>
      <c r="R2232">
        <v>0.57999999999999996</v>
      </c>
      <c r="S2232" s="1">
        <v>40249</v>
      </c>
      <c r="T2232" t="str">
        <f t="shared" si="69"/>
        <v>12-Mar-2010</v>
      </c>
    </row>
    <row r="2233" spans="1:20" x14ac:dyDescent="0.3">
      <c r="A2233">
        <v>37218</v>
      </c>
      <c r="B2233" s="1">
        <v>40531</v>
      </c>
      <c r="C2233" t="s">
        <v>23</v>
      </c>
      <c r="D2233" t="str">
        <f t="shared" si="68"/>
        <v>19-Dec-2010</v>
      </c>
      <c r="E2233">
        <v>29</v>
      </c>
      <c r="F2233" s="13">
        <v>1768.13</v>
      </c>
      <c r="G2233">
        <v>0</v>
      </c>
      <c r="H2233" t="s">
        <v>19</v>
      </c>
      <c r="I2233" s="13">
        <v>525.54</v>
      </c>
      <c r="J2233">
        <v>60.97</v>
      </c>
      <c r="K2233">
        <v>4.5</v>
      </c>
      <c r="L2233" t="s">
        <v>406</v>
      </c>
      <c r="M2233" t="s">
        <v>394</v>
      </c>
      <c r="N2233" s="5" t="s">
        <v>105</v>
      </c>
      <c r="O2233" t="s">
        <v>28</v>
      </c>
      <c r="P2233" t="s">
        <v>21</v>
      </c>
      <c r="Q2233" t="s">
        <v>25</v>
      </c>
      <c r="R2233">
        <v>0.56000000000000005</v>
      </c>
      <c r="S2233" s="1">
        <v>40533</v>
      </c>
      <c r="T2233" t="str">
        <f t="shared" si="69"/>
        <v>21-Dec-2010</v>
      </c>
    </row>
    <row r="2234" spans="1:20" x14ac:dyDescent="0.3">
      <c r="A2234">
        <v>32</v>
      </c>
      <c r="B2234" s="1">
        <v>40739</v>
      </c>
      <c r="C2234" t="s">
        <v>23</v>
      </c>
      <c r="D2234" t="str">
        <f t="shared" si="68"/>
        <v>15-Jul-2011</v>
      </c>
      <c r="E2234">
        <v>24</v>
      </c>
      <c r="F2234" s="13">
        <v>1761.4</v>
      </c>
      <c r="G2234">
        <v>0.09</v>
      </c>
      <c r="H2234" t="s">
        <v>24</v>
      </c>
      <c r="I2234" s="13">
        <v>-1748.56</v>
      </c>
      <c r="J2234">
        <v>70.89</v>
      </c>
      <c r="K2234">
        <v>89.3</v>
      </c>
      <c r="L2234" t="s">
        <v>355</v>
      </c>
      <c r="M2234" t="s">
        <v>394</v>
      </c>
      <c r="N2234" s="5" t="s">
        <v>105</v>
      </c>
      <c r="O2234" t="s">
        <v>28</v>
      </c>
      <c r="P2234" t="s">
        <v>32</v>
      </c>
      <c r="Q2234" t="s">
        <v>46</v>
      </c>
      <c r="R2234">
        <v>0.72</v>
      </c>
      <c r="S2234" s="1">
        <v>40740</v>
      </c>
      <c r="T2234" t="str">
        <f t="shared" si="69"/>
        <v>16-Jul-2011</v>
      </c>
    </row>
    <row r="2235" spans="1:20" x14ac:dyDescent="0.3">
      <c r="A2235">
        <v>51557</v>
      </c>
      <c r="B2235" s="1">
        <v>40847</v>
      </c>
      <c r="C2235" t="s">
        <v>23</v>
      </c>
      <c r="D2235" t="str">
        <f t="shared" si="68"/>
        <v>31-Oct-2011</v>
      </c>
      <c r="E2235">
        <v>36</v>
      </c>
      <c r="F2235" s="13">
        <v>1749.07</v>
      </c>
      <c r="G2235">
        <v>0.04</v>
      </c>
      <c r="H2235" t="s">
        <v>19</v>
      </c>
      <c r="I2235" s="13">
        <v>804.66</v>
      </c>
      <c r="J2235">
        <v>48.04</v>
      </c>
      <c r="K2235">
        <v>5.79</v>
      </c>
      <c r="L2235" t="s">
        <v>166</v>
      </c>
      <c r="M2235" t="s">
        <v>394</v>
      </c>
      <c r="N2235" s="5" t="s">
        <v>105</v>
      </c>
      <c r="O2235" t="s">
        <v>28</v>
      </c>
      <c r="P2235" t="s">
        <v>21</v>
      </c>
      <c r="Q2235" t="s">
        <v>37</v>
      </c>
      <c r="R2235">
        <v>0.37</v>
      </c>
      <c r="S2235" s="1">
        <v>40849</v>
      </c>
      <c r="T2235" t="str">
        <f t="shared" si="69"/>
        <v>02-Nov-2011</v>
      </c>
    </row>
    <row r="2236" spans="1:20" x14ac:dyDescent="0.3">
      <c r="A2236">
        <v>20741</v>
      </c>
      <c r="B2236" s="1">
        <v>40481</v>
      </c>
      <c r="C2236" t="s">
        <v>18</v>
      </c>
      <c r="D2236" t="str">
        <f t="shared" si="68"/>
        <v>30-Oct-2010</v>
      </c>
      <c r="E2236">
        <v>43</v>
      </c>
      <c r="F2236" s="13">
        <v>1711.02</v>
      </c>
      <c r="G2236">
        <v>0.1</v>
      </c>
      <c r="H2236" t="s">
        <v>19</v>
      </c>
      <c r="I2236" s="13">
        <v>139.63</v>
      </c>
      <c r="J2236">
        <v>43.98</v>
      </c>
      <c r="K2236">
        <v>8.99</v>
      </c>
      <c r="L2236" t="s">
        <v>406</v>
      </c>
      <c r="M2236" t="s">
        <v>394</v>
      </c>
      <c r="N2236" s="5" t="s">
        <v>105</v>
      </c>
      <c r="O2236" t="s">
        <v>28</v>
      </c>
      <c r="P2236" t="s">
        <v>21</v>
      </c>
      <c r="Q2236" t="s">
        <v>50</v>
      </c>
      <c r="R2236">
        <v>0.57999999999999996</v>
      </c>
      <c r="S2236" s="1">
        <v>40488</v>
      </c>
      <c r="T2236" t="str">
        <f t="shared" si="69"/>
        <v>06-Nov-2010</v>
      </c>
    </row>
    <row r="2237" spans="1:20" x14ac:dyDescent="0.3">
      <c r="A2237">
        <v>14916</v>
      </c>
      <c r="B2237" s="1">
        <v>39871</v>
      </c>
      <c r="C2237" t="s">
        <v>18</v>
      </c>
      <c r="D2237" t="str">
        <f t="shared" si="68"/>
        <v>27-Feb-2009</v>
      </c>
      <c r="E2237">
        <v>16</v>
      </c>
      <c r="F2237" s="13">
        <v>1685.941</v>
      </c>
      <c r="G2237">
        <v>7.0000000000000007E-2</v>
      </c>
      <c r="H2237" t="s">
        <v>35</v>
      </c>
      <c r="I2237" s="13">
        <v>21.02</v>
      </c>
      <c r="J2237">
        <v>125.99</v>
      </c>
      <c r="K2237">
        <v>8.8000000000000007</v>
      </c>
      <c r="L2237" t="s">
        <v>170</v>
      </c>
      <c r="M2237" t="s">
        <v>394</v>
      </c>
      <c r="N2237" s="5" t="s">
        <v>105</v>
      </c>
      <c r="O2237" t="s">
        <v>28</v>
      </c>
      <c r="P2237" t="s">
        <v>29</v>
      </c>
      <c r="Q2237" t="s">
        <v>30</v>
      </c>
      <c r="R2237">
        <v>0.59</v>
      </c>
      <c r="S2237" s="1">
        <v>39873</v>
      </c>
      <c r="T2237" t="str">
        <f t="shared" si="69"/>
        <v>01-Mar-2009</v>
      </c>
    </row>
    <row r="2238" spans="1:20" x14ac:dyDescent="0.3">
      <c r="A2238">
        <v>43296</v>
      </c>
      <c r="B2238" s="1">
        <v>40971</v>
      </c>
      <c r="C2238" t="s">
        <v>38</v>
      </c>
      <c r="D2238" t="str">
        <f t="shared" si="68"/>
        <v>03-Mar-2012</v>
      </c>
      <c r="E2238">
        <v>41</v>
      </c>
      <c r="F2238" s="13">
        <v>1665.81</v>
      </c>
      <c r="G2238">
        <v>0.06</v>
      </c>
      <c r="H2238" t="s">
        <v>19</v>
      </c>
      <c r="I2238" s="13">
        <v>557.52</v>
      </c>
      <c r="J2238">
        <v>40.98</v>
      </c>
      <c r="K2238">
        <v>7.47</v>
      </c>
      <c r="L2238" t="s">
        <v>408</v>
      </c>
      <c r="M2238" t="s">
        <v>394</v>
      </c>
      <c r="N2238" s="5" t="s">
        <v>105</v>
      </c>
      <c r="O2238" t="s">
        <v>28</v>
      </c>
      <c r="P2238" t="s">
        <v>21</v>
      </c>
      <c r="Q2238" t="s">
        <v>26</v>
      </c>
      <c r="R2238">
        <v>0.37</v>
      </c>
      <c r="S2238" s="1">
        <v>40972</v>
      </c>
      <c r="T2238" t="str">
        <f t="shared" si="69"/>
        <v>04-Mar-2012</v>
      </c>
    </row>
    <row r="2239" spans="1:20" x14ac:dyDescent="0.3">
      <c r="A2239">
        <v>358</v>
      </c>
      <c r="B2239" s="1">
        <v>40440</v>
      </c>
      <c r="C2239" t="s">
        <v>23</v>
      </c>
      <c r="D2239" t="str">
        <f t="shared" si="68"/>
        <v>19-Sep-2010</v>
      </c>
      <c r="E2239">
        <v>33</v>
      </c>
      <c r="F2239" s="13">
        <v>1640.9</v>
      </c>
      <c r="G2239">
        <v>0.02</v>
      </c>
      <c r="H2239" t="s">
        <v>24</v>
      </c>
      <c r="I2239" s="13">
        <v>-1348.06</v>
      </c>
      <c r="J2239">
        <v>48.58</v>
      </c>
      <c r="K2239">
        <v>54.11</v>
      </c>
      <c r="L2239" t="s">
        <v>377</v>
      </c>
      <c r="M2239" t="s">
        <v>394</v>
      </c>
      <c r="N2239" s="5" t="s">
        <v>105</v>
      </c>
      <c r="O2239" t="s">
        <v>28</v>
      </c>
      <c r="P2239" t="s">
        <v>32</v>
      </c>
      <c r="Q2239" t="s">
        <v>45</v>
      </c>
      <c r="R2239">
        <v>0.69</v>
      </c>
      <c r="S2239" s="1">
        <v>40442</v>
      </c>
      <c r="T2239" t="str">
        <f t="shared" si="69"/>
        <v>21-Sep-2010</v>
      </c>
    </row>
    <row r="2240" spans="1:20" x14ac:dyDescent="0.3">
      <c r="A2240">
        <v>39072</v>
      </c>
      <c r="B2240" s="1">
        <v>39866</v>
      </c>
      <c r="C2240" t="s">
        <v>23</v>
      </c>
      <c r="D2240" t="str">
        <f t="shared" si="68"/>
        <v>22-Feb-2009</v>
      </c>
      <c r="E2240">
        <v>50</v>
      </c>
      <c r="F2240" s="13">
        <v>1633.37</v>
      </c>
      <c r="G2240">
        <v>0.08</v>
      </c>
      <c r="H2240" t="s">
        <v>19</v>
      </c>
      <c r="I2240" s="13">
        <v>144.69</v>
      </c>
      <c r="J2240">
        <v>34.99</v>
      </c>
      <c r="K2240">
        <v>7.73</v>
      </c>
      <c r="L2240" t="s">
        <v>402</v>
      </c>
      <c r="M2240" t="s">
        <v>394</v>
      </c>
      <c r="N2240" s="5" t="s">
        <v>105</v>
      </c>
      <c r="O2240" t="s">
        <v>28</v>
      </c>
      <c r="P2240" t="s">
        <v>21</v>
      </c>
      <c r="Q2240" t="s">
        <v>50</v>
      </c>
      <c r="R2240">
        <v>0.59</v>
      </c>
      <c r="S2240" s="1">
        <v>39867</v>
      </c>
      <c r="T2240" t="str">
        <f t="shared" si="69"/>
        <v>23-Feb-2009</v>
      </c>
    </row>
    <row r="2241" spans="1:20" x14ac:dyDescent="0.3">
      <c r="A2241">
        <v>30343</v>
      </c>
      <c r="B2241" s="1">
        <v>41050</v>
      </c>
      <c r="C2241" t="s">
        <v>43</v>
      </c>
      <c r="D2241" t="str">
        <f t="shared" si="68"/>
        <v>21-May-2012</v>
      </c>
      <c r="E2241">
        <v>48</v>
      </c>
      <c r="F2241" s="13">
        <v>1556.42</v>
      </c>
      <c r="G2241">
        <v>0</v>
      </c>
      <c r="H2241" t="s">
        <v>19</v>
      </c>
      <c r="I2241" s="13">
        <v>-60.98</v>
      </c>
      <c r="J2241">
        <v>30.42</v>
      </c>
      <c r="K2241">
        <v>8.65</v>
      </c>
      <c r="L2241" t="s">
        <v>409</v>
      </c>
      <c r="M2241" t="s">
        <v>394</v>
      </c>
      <c r="N2241" s="5" t="s">
        <v>105</v>
      </c>
      <c r="O2241" t="s">
        <v>28</v>
      </c>
      <c r="P2241" t="s">
        <v>29</v>
      </c>
      <c r="Q2241" t="s">
        <v>41</v>
      </c>
      <c r="R2241">
        <v>0.74</v>
      </c>
      <c r="S2241" s="1">
        <v>41051</v>
      </c>
      <c r="T2241" t="str">
        <f t="shared" si="69"/>
        <v>22-May-2012</v>
      </c>
    </row>
    <row r="2242" spans="1:20" x14ac:dyDescent="0.3">
      <c r="A2242">
        <v>29761</v>
      </c>
      <c r="B2242" s="1">
        <v>41093</v>
      </c>
      <c r="C2242" t="s">
        <v>38</v>
      </c>
      <c r="D2242" t="str">
        <f t="shared" ref="D2242:D2305" si="70">TEXT(B2242, "dd-mmm-yyyy" )</f>
        <v>03-Jul-2012</v>
      </c>
      <c r="E2242">
        <v>48</v>
      </c>
      <c r="F2242" s="13">
        <v>1463.105</v>
      </c>
      <c r="G2242">
        <v>0.06</v>
      </c>
      <c r="H2242" t="s">
        <v>19</v>
      </c>
      <c r="I2242" s="13">
        <v>446.99</v>
      </c>
      <c r="J2242">
        <v>35.99</v>
      </c>
      <c r="K2242">
        <v>1.25</v>
      </c>
      <c r="L2242" t="s">
        <v>398</v>
      </c>
      <c r="M2242" t="s">
        <v>394</v>
      </c>
      <c r="N2242" s="5" t="s">
        <v>105</v>
      </c>
      <c r="O2242" t="s">
        <v>28</v>
      </c>
      <c r="P2242" t="s">
        <v>29</v>
      </c>
      <c r="Q2242" t="s">
        <v>30</v>
      </c>
      <c r="R2242">
        <v>0.56999999999999995</v>
      </c>
      <c r="S2242" s="1">
        <v>41094</v>
      </c>
      <c r="T2242" t="str">
        <f t="shared" ref="T2242:T2305" si="71">TEXT(S2242, "dd-mmm-yyyy")</f>
        <v>04-Jul-2012</v>
      </c>
    </row>
    <row r="2243" spans="1:20" x14ac:dyDescent="0.3">
      <c r="A2243">
        <v>3746</v>
      </c>
      <c r="B2243" s="1">
        <v>40066</v>
      </c>
      <c r="C2243" t="s">
        <v>31</v>
      </c>
      <c r="D2243" t="str">
        <f t="shared" si="70"/>
        <v>10-Sep-2009</v>
      </c>
      <c r="E2243">
        <v>14</v>
      </c>
      <c r="F2243" s="13">
        <v>1463.0965000000001</v>
      </c>
      <c r="G2243">
        <v>0</v>
      </c>
      <c r="H2243" t="s">
        <v>19</v>
      </c>
      <c r="I2243" s="13">
        <v>162.66999999999999</v>
      </c>
      <c r="J2243">
        <v>115.99</v>
      </c>
      <c r="K2243">
        <v>2.5</v>
      </c>
      <c r="L2243" t="s">
        <v>414</v>
      </c>
      <c r="M2243" t="s">
        <v>394</v>
      </c>
      <c r="N2243" s="5" t="s">
        <v>105</v>
      </c>
      <c r="O2243" t="s">
        <v>28</v>
      </c>
      <c r="P2243" t="s">
        <v>29</v>
      </c>
      <c r="Q2243" t="s">
        <v>30</v>
      </c>
      <c r="R2243">
        <v>0.56999999999999995</v>
      </c>
      <c r="S2243" s="1">
        <v>40066</v>
      </c>
      <c r="T2243" t="str">
        <f t="shared" si="71"/>
        <v>10-Sep-2009</v>
      </c>
    </row>
    <row r="2244" spans="1:20" x14ac:dyDescent="0.3">
      <c r="A2244">
        <v>35173</v>
      </c>
      <c r="B2244" s="1">
        <v>40981</v>
      </c>
      <c r="C2244" t="s">
        <v>31</v>
      </c>
      <c r="D2244" t="str">
        <f t="shared" si="70"/>
        <v>13-Mar-2012</v>
      </c>
      <c r="E2244">
        <v>13</v>
      </c>
      <c r="F2244" s="13">
        <v>1446.2070000000001</v>
      </c>
      <c r="G2244">
        <v>0.02</v>
      </c>
      <c r="H2244" t="s">
        <v>19</v>
      </c>
      <c r="I2244" s="13">
        <v>29.56</v>
      </c>
      <c r="J2244">
        <v>125.99</v>
      </c>
      <c r="K2244">
        <v>8.08</v>
      </c>
      <c r="L2244" t="s">
        <v>78</v>
      </c>
      <c r="M2244" t="s">
        <v>394</v>
      </c>
      <c r="N2244" s="5" t="s">
        <v>105</v>
      </c>
      <c r="O2244" t="s">
        <v>28</v>
      </c>
      <c r="P2244" t="s">
        <v>29</v>
      </c>
      <c r="Q2244" t="s">
        <v>30</v>
      </c>
      <c r="R2244">
        <v>0.56999999999999995</v>
      </c>
      <c r="S2244" s="1">
        <v>40983</v>
      </c>
      <c r="T2244" t="str">
        <f t="shared" si="71"/>
        <v>15-Mar-2012</v>
      </c>
    </row>
    <row r="2245" spans="1:20" x14ac:dyDescent="0.3">
      <c r="A2245">
        <v>7552</v>
      </c>
      <c r="B2245" s="1">
        <v>41162</v>
      </c>
      <c r="C2245" t="s">
        <v>43</v>
      </c>
      <c r="D2245" t="str">
        <f t="shared" si="70"/>
        <v>10-Sep-2012</v>
      </c>
      <c r="E2245">
        <v>47</v>
      </c>
      <c r="F2245" s="13">
        <v>1406.49</v>
      </c>
      <c r="G2245">
        <v>0.02</v>
      </c>
      <c r="H2245" t="s">
        <v>19</v>
      </c>
      <c r="I2245" s="13">
        <v>332.52</v>
      </c>
      <c r="J2245">
        <v>28.15</v>
      </c>
      <c r="K2245">
        <v>6.17</v>
      </c>
      <c r="L2245" t="s">
        <v>132</v>
      </c>
      <c r="M2245" t="s">
        <v>394</v>
      </c>
      <c r="N2245" s="5" t="s">
        <v>105</v>
      </c>
      <c r="O2245" t="s">
        <v>28</v>
      </c>
      <c r="P2245" t="s">
        <v>21</v>
      </c>
      <c r="Q2245" t="s">
        <v>50</v>
      </c>
      <c r="R2245">
        <v>0.55000000000000004</v>
      </c>
      <c r="S2245" s="1">
        <v>41164</v>
      </c>
      <c r="T2245" t="str">
        <f t="shared" si="71"/>
        <v>12-Sep-2012</v>
      </c>
    </row>
    <row r="2246" spans="1:20" x14ac:dyDescent="0.3">
      <c r="A2246">
        <v>58657</v>
      </c>
      <c r="B2246" s="1">
        <v>40264</v>
      </c>
      <c r="C2246" t="s">
        <v>43</v>
      </c>
      <c r="D2246" t="str">
        <f t="shared" si="70"/>
        <v>27-Mar-2010</v>
      </c>
      <c r="E2246">
        <v>43</v>
      </c>
      <c r="F2246" s="13">
        <v>1338.12</v>
      </c>
      <c r="G2246">
        <v>0.04</v>
      </c>
      <c r="H2246" t="s">
        <v>19</v>
      </c>
      <c r="I2246" s="13">
        <v>519.70000000000005</v>
      </c>
      <c r="J2246">
        <v>31.78</v>
      </c>
      <c r="K2246">
        <v>1.99</v>
      </c>
      <c r="L2246" t="s">
        <v>115</v>
      </c>
      <c r="M2246" t="s">
        <v>394</v>
      </c>
      <c r="N2246" s="5" t="s">
        <v>105</v>
      </c>
      <c r="O2246" t="s">
        <v>28</v>
      </c>
      <c r="P2246" t="s">
        <v>29</v>
      </c>
      <c r="Q2246" t="s">
        <v>41</v>
      </c>
      <c r="R2246">
        <v>0.42</v>
      </c>
      <c r="S2246" s="1">
        <v>40266</v>
      </c>
      <c r="T2246" t="str">
        <f t="shared" si="71"/>
        <v>29-Mar-2010</v>
      </c>
    </row>
    <row r="2247" spans="1:20" x14ac:dyDescent="0.3">
      <c r="A2247">
        <v>41255</v>
      </c>
      <c r="B2247" s="1">
        <v>40104</v>
      </c>
      <c r="C2247" t="s">
        <v>18</v>
      </c>
      <c r="D2247" t="str">
        <f t="shared" si="70"/>
        <v>18-Oct-2009</v>
      </c>
      <c r="E2247">
        <v>22</v>
      </c>
      <c r="F2247" s="13">
        <v>1333.19</v>
      </c>
      <c r="G2247">
        <v>0.01</v>
      </c>
      <c r="H2247" t="s">
        <v>19</v>
      </c>
      <c r="I2247" s="13">
        <v>331.48</v>
      </c>
      <c r="J2247">
        <v>60.65</v>
      </c>
      <c r="K2247">
        <v>12.23</v>
      </c>
      <c r="L2247" t="s">
        <v>371</v>
      </c>
      <c r="M2247" t="s">
        <v>394</v>
      </c>
      <c r="N2247" s="5" t="s">
        <v>105</v>
      </c>
      <c r="O2247" t="s">
        <v>28</v>
      </c>
      <c r="P2247" t="s">
        <v>32</v>
      </c>
      <c r="Q2247" t="s">
        <v>33</v>
      </c>
      <c r="R2247">
        <v>0.64</v>
      </c>
      <c r="S2247" s="1">
        <v>40111</v>
      </c>
      <c r="T2247" t="str">
        <f t="shared" si="71"/>
        <v>25-Oct-2009</v>
      </c>
    </row>
    <row r="2248" spans="1:20" x14ac:dyDescent="0.3">
      <c r="A2248">
        <v>43686</v>
      </c>
      <c r="B2248" s="1">
        <v>40670</v>
      </c>
      <c r="C2248" t="s">
        <v>38</v>
      </c>
      <c r="D2248" t="str">
        <f t="shared" si="70"/>
        <v>07-May-2011</v>
      </c>
      <c r="E2248">
        <v>16</v>
      </c>
      <c r="F2248" s="13">
        <v>1313.64</v>
      </c>
      <c r="G2248">
        <v>0.05</v>
      </c>
      <c r="H2248" t="s">
        <v>19</v>
      </c>
      <c r="I2248" s="13">
        <v>284.83999999999997</v>
      </c>
      <c r="J2248">
        <v>83.1</v>
      </c>
      <c r="K2248">
        <v>6.13</v>
      </c>
      <c r="L2248" t="s">
        <v>403</v>
      </c>
      <c r="M2248" t="s">
        <v>394</v>
      </c>
      <c r="N2248" s="5" t="s">
        <v>105</v>
      </c>
      <c r="O2248" t="s">
        <v>28</v>
      </c>
      <c r="P2248" t="s">
        <v>29</v>
      </c>
      <c r="Q2248" t="s">
        <v>41</v>
      </c>
      <c r="R2248">
        <v>0.45</v>
      </c>
      <c r="S2248" s="1">
        <v>40671</v>
      </c>
      <c r="T2248" t="str">
        <f t="shared" si="71"/>
        <v>08-May-2011</v>
      </c>
    </row>
    <row r="2249" spans="1:20" x14ac:dyDescent="0.3">
      <c r="A2249">
        <v>8614</v>
      </c>
      <c r="B2249" s="1">
        <v>39968</v>
      </c>
      <c r="C2249" t="s">
        <v>18</v>
      </c>
      <c r="D2249" t="str">
        <f t="shared" si="70"/>
        <v>04-Jun-2009</v>
      </c>
      <c r="E2249">
        <v>13</v>
      </c>
      <c r="F2249" s="13">
        <v>1289.127</v>
      </c>
      <c r="G2249">
        <v>0.06</v>
      </c>
      <c r="H2249" t="s">
        <v>19</v>
      </c>
      <c r="I2249" s="13">
        <v>-16.34</v>
      </c>
      <c r="J2249">
        <v>115.99</v>
      </c>
      <c r="K2249">
        <v>5.92</v>
      </c>
      <c r="L2249" t="s">
        <v>403</v>
      </c>
      <c r="M2249" t="s">
        <v>394</v>
      </c>
      <c r="N2249" s="5" t="s">
        <v>105</v>
      </c>
      <c r="O2249" t="s">
        <v>28</v>
      </c>
      <c r="P2249" t="s">
        <v>29</v>
      </c>
      <c r="Q2249" t="s">
        <v>30</v>
      </c>
      <c r="R2249">
        <v>0.57999999999999996</v>
      </c>
      <c r="S2249" s="1">
        <v>39970</v>
      </c>
      <c r="T2249" t="str">
        <f t="shared" si="71"/>
        <v>06-Jun-2009</v>
      </c>
    </row>
    <row r="2250" spans="1:20" x14ac:dyDescent="0.3">
      <c r="A2250">
        <v>10917</v>
      </c>
      <c r="B2250" s="1">
        <v>40949</v>
      </c>
      <c r="C2250" t="s">
        <v>43</v>
      </c>
      <c r="D2250" t="str">
        <f t="shared" si="70"/>
        <v>10-Feb-2012</v>
      </c>
      <c r="E2250">
        <v>14</v>
      </c>
      <c r="F2250" s="13">
        <v>1281.3579999999999</v>
      </c>
      <c r="G2250">
        <v>0.09</v>
      </c>
      <c r="H2250" t="s">
        <v>35</v>
      </c>
      <c r="I2250" s="13">
        <v>-90.12</v>
      </c>
      <c r="J2250">
        <v>115.99</v>
      </c>
      <c r="K2250">
        <v>5.99</v>
      </c>
      <c r="L2250" t="s">
        <v>405</v>
      </c>
      <c r="M2250" t="s">
        <v>394</v>
      </c>
      <c r="N2250" s="5" t="s">
        <v>105</v>
      </c>
      <c r="O2250" t="s">
        <v>28</v>
      </c>
      <c r="P2250" t="s">
        <v>29</v>
      </c>
      <c r="Q2250" t="s">
        <v>30</v>
      </c>
      <c r="R2250">
        <v>0.56999999999999995</v>
      </c>
      <c r="S2250" s="1">
        <v>40951</v>
      </c>
      <c r="T2250" t="str">
        <f t="shared" si="71"/>
        <v>12-Feb-2012</v>
      </c>
    </row>
    <row r="2251" spans="1:20" x14ac:dyDescent="0.3">
      <c r="A2251">
        <v>18368</v>
      </c>
      <c r="B2251" s="1">
        <v>41243</v>
      </c>
      <c r="C2251" t="s">
        <v>31</v>
      </c>
      <c r="D2251" t="str">
        <f t="shared" si="70"/>
        <v>30-Nov-2012</v>
      </c>
      <c r="E2251">
        <v>35</v>
      </c>
      <c r="F2251" s="13">
        <v>1275.6099999999999</v>
      </c>
      <c r="G2251">
        <v>0.08</v>
      </c>
      <c r="H2251" t="s">
        <v>19</v>
      </c>
      <c r="I2251" s="13">
        <v>517.33000000000004</v>
      </c>
      <c r="J2251">
        <v>37.94</v>
      </c>
      <c r="K2251">
        <v>5.08</v>
      </c>
      <c r="L2251" t="s">
        <v>404</v>
      </c>
      <c r="M2251" t="s">
        <v>394</v>
      </c>
      <c r="N2251" s="5" t="s">
        <v>105</v>
      </c>
      <c r="O2251" t="s">
        <v>28</v>
      </c>
      <c r="P2251" t="s">
        <v>21</v>
      </c>
      <c r="Q2251" t="s">
        <v>37</v>
      </c>
      <c r="R2251">
        <v>0.38</v>
      </c>
      <c r="S2251" s="1">
        <v>41244</v>
      </c>
      <c r="T2251" t="str">
        <f t="shared" si="71"/>
        <v>01-Dec-2012</v>
      </c>
    </row>
    <row r="2252" spans="1:20" x14ac:dyDescent="0.3">
      <c r="A2252">
        <v>18496</v>
      </c>
      <c r="B2252" s="1">
        <v>39948</v>
      </c>
      <c r="C2252" t="s">
        <v>23</v>
      </c>
      <c r="D2252" t="str">
        <f t="shared" si="70"/>
        <v>15-May-2009</v>
      </c>
      <c r="E2252">
        <v>29</v>
      </c>
      <c r="F2252" s="13">
        <v>1267.42</v>
      </c>
      <c r="G2252">
        <v>0.01</v>
      </c>
      <c r="H2252" t="s">
        <v>19</v>
      </c>
      <c r="I2252" s="13">
        <v>177.79</v>
      </c>
      <c r="J2252">
        <v>40.99</v>
      </c>
      <c r="K2252">
        <v>19.989999999999998</v>
      </c>
      <c r="L2252" t="s">
        <v>408</v>
      </c>
      <c r="M2252" t="s">
        <v>394</v>
      </c>
      <c r="N2252" s="5" t="s">
        <v>105</v>
      </c>
      <c r="O2252" t="s">
        <v>28</v>
      </c>
      <c r="P2252" t="s">
        <v>21</v>
      </c>
      <c r="Q2252" t="s">
        <v>37</v>
      </c>
      <c r="R2252">
        <v>0.36</v>
      </c>
      <c r="S2252" s="1">
        <v>39951</v>
      </c>
      <c r="T2252" t="str">
        <f t="shared" si="71"/>
        <v>18-May-2009</v>
      </c>
    </row>
    <row r="2253" spans="1:20" x14ac:dyDescent="0.3">
      <c r="A2253">
        <v>58981</v>
      </c>
      <c r="B2253" s="1">
        <v>40574</v>
      </c>
      <c r="C2253" t="s">
        <v>23</v>
      </c>
      <c r="D2253" t="str">
        <f t="shared" si="70"/>
        <v>31-Jan-2011</v>
      </c>
      <c r="E2253">
        <v>28</v>
      </c>
      <c r="F2253" s="13">
        <v>1262.75</v>
      </c>
      <c r="G2253">
        <v>7.0000000000000007E-2</v>
      </c>
      <c r="H2253" t="s">
        <v>19</v>
      </c>
      <c r="I2253" s="13">
        <v>422.23</v>
      </c>
      <c r="J2253">
        <v>46.89</v>
      </c>
      <c r="K2253">
        <v>5.0999999999999996</v>
      </c>
      <c r="L2253" t="s">
        <v>396</v>
      </c>
      <c r="M2253" t="s">
        <v>394</v>
      </c>
      <c r="N2253" s="5" t="s">
        <v>105</v>
      </c>
      <c r="O2253" t="s">
        <v>28</v>
      </c>
      <c r="P2253" t="s">
        <v>21</v>
      </c>
      <c r="Q2253" t="s">
        <v>25</v>
      </c>
      <c r="R2253">
        <v>0.46</v>
      </c>
      <c r="S2253" s="1">
        <v>40576</v>
      </c>
      <c r="T2253" t="str">
        <f t="shared" si="71"/>
        <v>02-Feb-2011</v>
      </c>
    </row>
    <row r="2254" spans="1:20" x14ac:dyDescent="0.3">
      <c r="A2254">
        <v>358</v>
      </c>
      <c r="B2254" s="1">
        <v>40440</v>
      </c>
      <c r="C2254" t="s">
        <v>23</v>
      </c>
      <c r="D2254" t="str">
        <f t="shared" si="70"/>
        <v>19-Sep-2010</v>
      </c>
      <c r="E2254">
        <v>33</v>
      </c>
      <c r="F2254" s="13">
        <v>1235.8699999999999</v>
      </c>
      <c r="G2254">
        <v>7.0000000000000007E-2</v>
      </c>
      <c r="H2254" t="s">
        <v>19</v>
      </c>
      <c r="I2254" s="13">
        <v>269.27</v>
      </c>
      <c r="J2254">
        <v>39.479999999999997</v>
      </c>
      <c r="K2254">
        <v>1.99</v>
      </c>
      <c r="L2254" t="s">
        <v>377</v>
      </c>
      <c r="M2254" t="s">
        <v>394</v>
      </c>
      <c r="N2254" s="5" t="s">
        <v>105</v>
      </c>
      <c r="O2254" t="s">
        <v>28</v>
      </c>
      <c r="P2254" t="s">
        <v>29</v>
      </c>
      <c r="Q2254" t="s">
        <v>41</v>
      </c>
      <c r="R2254">
        <v>0.54</v>
      </c>
      <c r="S2254" s="1">
        <v>40440</v>
      </c>
      <c r="T2254" t="str">
        <f t="shared" si="71"/>
        <v>19-Sep-2010</v>
      </c>
    </row>
    <row r="2255" spans="1:20" x14ac:dyDescent="0.3">
      <c r="A2255">
        <v>9796</v>
      </c>
      <c r="B2255" s="1">
        <v>40431</v>
      </c>
      <c r="C2255" t="s">
        <v>43</v>
      </c>
      <c r="D2255" t="str">
        <f t="shared" si="70"/>
        <v>10-Sep-2010</v>
      </c>
      <c r="E2255">
        <v>29</v>
      </c>
      <c r="F2255" s="13">
        <v>1222.5899999999999</v>
      </c>
      <c r="G2255">
        <v>0.02</v>
      </c>
      <c r="H2255" t="s">
        <v>19</v>
      </c>
      <c r="I2255" s="13">
        <v>501.99</v>
      </c>
      <c r="J2255">
        <v>40.97</v>
      </c>
      <c r="K2255">
        <v>1.99</v>
      </c>
      <c r="L2255" t="s">
        <v>414</v>
      </c>
      <c r="M2255" t="s">
        <v>394</v>
      </c>
      <c r="N2255" s="5" t="s">
        <v>105</v>
      </c>
      <c r="O2255" t="s">
        <v>28</v>
      </c>
      <c r="P2255" t="s">
        <v>29</v>
      </c>
      <c r="Q2255" t="s">
        <v>41</v>
      </c>
      <c r="R2255">
        <v>0.42</v>
      </c>
      <c r="S2255" s="1">
        <v>40432</v>
      </c>
      <c r="T2255" t="str">
        <f t="shared" si="71"/>
        <v>11-Sep-2010</v>
      </c>
    </row>
    <row r="2256" spans="1:20" x14ac:dyDescent="0.3">
      <c r="A2256">
        <v>46469</v>
      </c>
      <c r="B2256" s="1">
        <v>40041</v>
      </c>
      <c r="C2256" t="s">
        <v>43</v>
      </c>
      <c r="D2256" t="str">
        <f t="shared" si="70"/>
        <v>16-Aug-2009</v>
      </c>
      <c r="E2256">
        <v>17</v>
      </c>
      <c r="F2256" s="13">
        <v>1210.72</v>
      </c>
      <c r="G2256">
        <v>0.05</v>
      </c>
      <c r="H2256" t="s">
        <v>24</v>
      </c>
      <c r="I2256" s="13">
        <v>-382.43</v>
      </c>
      <c r="J2256">
        <v>70.98</v>
      </c>
      <c r="K2256">
        <v>30</v>
      </c>
      <c r="L2256" t="s">
        <v>402</v>
      </c>
      <c r="M2256" t="s">
        <v>394</v>
      </c>
      <c r="N2256" s="5" t="s">
        <v>105</v>
      </c>
      <c r="O2256" t="s">
        <v>28</v>
      </c>
      <c r="P2256" t="s">
        <v>32</v>
      </c>
      <c r="Q2256" t="s">
        <v>56</v>
      </c>
      <c r="R2256">
        <v>0.78</v>
      </c>
      <c r="S2256" s="1">
        <v>40043</v>
      </c>
      <c r="T2256" t="str">
        <f t="shared" si="71"/>
        <v>18-Aug-2009</v>
      </c>
    </row>
    <row r="2257" spans="1:20" x14ac:dyDescent="0.3">
      <c r="A2257">
        <v>1060</v>
      </c>
      <c r="B2257" s="1">
        <v>40229</v>
      </c>
      <c r="C2257" t="s">
        <v>38</v>
      </c>
      <c r="D2257" t="str">
        <f t="shared" si="70"/>
        <v>20-Feb-2010</v>
      </c>
      <c r="E2257">
        <v>30</v>
      </c>
      <c r="F2257" s="13">
        <v>1187.55</v>
      </c>
      <c r="G2257">
        <v>0</v>
      </c>
      <c r="H2257" t="s">
        <v>19</v>
      </c>
      <c r="I2257" s="13">
        <v>532.61</v>
      </c>
      <c r="J2257">
        <v>37.700000000000003</v>
      </c>
      <c r="K2257">
        <v>2.99</v>
      </c>
      <c r="L2257" t="s">
        <v>225</v>
      </c>
      <c r="M2257" t="s">
        <v>394</v>
      </c>
      <c r="N2257" s="5" t="s">
        <v>105</v>
      </c>
      <c r="O2257" t="s">
        <v>28</v>
      </c>
      <c r="P2257" t="s">
        <v>21</v>
      </c>
      <c r="Q2257" t="s">
        <v>26</v>
      </c>
      <c r="R2257">
        <v>0.35</v>
      </c>
      <c r="S2257" s="1">
        <v>40231</v>
      </c>
      <c r="T2257" t="str">
        <f t="shared" si="71"/>
        <v>22-Feb-2010</v>
      </c>
    </row>
    <row r="2258" spans="1:20" x14ac:dyDescent="0.3">
      <c r="A2258">
        <v>14016</v>
      </c>
      <c r="B2258" s="1">
        <v>41101</v>
      </c>
      <c r="C2258" t="s">
        <v>18</v>
      </c>
      <c r="D2258" t="str">
        <f t="shared" si="70"/>
        <v>11-Jul-2012</v>
      </c>
      <c r="E2258">
        <v>9</v>
      </c>
      <c r="F2258" s="13">
        <v>1137.6199999999999</v>
      </c>
      <c r="G2258">
        <v>0.05</v>
      </c>
      <c r="H2258" t="s">
        <v>24</v>
      </c>
      <c r="I2258" s="13">
        <v>-284.68</v>
      </c>
      <c r="J2258">
        <v>124.49</v>
      </c>
      <c r="K2258">
        <v>51.94</v>
      </c>
      <c r="L2258" t="s">
        <v>403</v>
      </c>
      <c r="M2258" t="s">
        <v>394</v>
      </c>
      <c r="N2258" s="5" t="s">
        <v>105</v>
      </c>
      <c r="O2258" t="s">
        <v>28</v>
      </c>
      <c r="P2258" t="s">
        <v>32</v>
      </c>
      <c r="Q2258" t="s">
        <v>46</v>
      </c>
      <c r="R2258">
        <v>0.63</v>
      </c>
      <c r="S2258" s="1">
        <v>41103</v>
      </c>
      <c r="T2258" t="str">
        <f t="shared" si="71"/>
        <v>13-Jul-2012</v>
      </c>
    </row>
    <row r="2259" spans="1:20" x14ac:dyDescent="0.3">
      <c r="A2259">
        <v>8387</v>
      </c>
      <c r="B2259" s="1">
        <v>40257</v>
      </c>
      <c r="C2259" t="s">
        <v>31</v>
      </c>
      <c r="D2259" t="str">
        <f t="shared" si="70"/>
        <v>20-Mar-2010</v>
      </c>
      <c r="E2259">
        <v>35</v>
      </c>
      <c r="F2259" s="13">
        <v>1133.96</v>
      </c>
      <c r="G2259">
        <v>0.02</v>
      </c>
      <c r="H2259" t="s">
        <v>19</v>
      </c>
      <c r="I2259" s="13">
        <v>185.09</v>
      </c>
      <c r="J2259">
        <v>31.74</v>
      </c>
      <c r="K2259">
        <v>12.62</v>
      </c>
      <c r="L2259" t="s">
        <v>396</v>
      </c>
      <c r="M2259" t="s">
        <v>394</v>
      </c>
      <c r="N2259" s="5" t="s">
        <v>105</v>
      </c>
      <c r="O2259" t="s">
        <v>28</v>
      </c>
      <c r="P2259" t="s">
        <v>21</v>
      </c>
      <c r="Q2259" t="s">
        <v>26</v>
      </c>
      <c r="R2259">
        <v>0.37</v>
      </c>
      <c r="S2259" s="1">
        <v>40258</v>
      </c>
      <c r="T2259" t="str">
        <f t="shared" si="71"/>
        <v>21-Mar-2010</v>
      </c>
    </row>
    <row r="2260" spans="1:20" x14ac:dyDescent="0.3">
      <c r="A2260">
        <v>9639</v>
      </c>
      <c r="B2260" s="1">
        <v>40426</v>
      </c>
      <c r="C2260" t="s">
        <v>31</v>
      </c>
      <c r="D2260" t="str">
        <f t="shared" si="70"/>
        <v>05-Sep-2010</v>
      </c>
      <c r="E2260">
        <v>47</v>
      </c>
      <c r="F2260" s="13">
        <v>1124.3</v>
      </c>
      <c r="G2260">
        <v>0.1</v>
      </c>
      <c r="H2260" t="s">
        <v>24</v>
      </c>
      <c r="I2260" s="13">
        <v>-335.22</v>
      </c>
      <c r="J2260">
        <v>25.98</v>
      </c>
      <c r="K2260">
        <v>14.36</v>
      </c>
      <c r="L2260" t="s">
        <v>401</v>
      </c>
      <c r="M2260" t="s">
        <v>394</v>
      </c>
      <c r="N2260" s="5" t="s">
        <v>105</v>
      </c>
      <c r="O2260" t="s">
        <v>28</v>
      </c>
      <c r="P2260" t="s">
        <v>32</v>
      </c>
      <c r="Q2260" t="s">
        <v>56</v>
      </c>
      <c r="R2260">
        <v>0.6</v>
      </c>
      <c r="S2260" s="1">
        <v>40428</v>
      </c>
      <c r="T2260" t="str">
        <f t="shared" si="71"/>
        <v>07-Sep-2010</v>
      </c>
    </row>
    <row r="2261" spans="1:20" x14ac:dyDescent="0.3">
      <c r="A2261">
        <v>32325</v>
      </c>
      <c r="B2261" s="1">
        <v>41214</v>
      </c>
      <c r="C2261" t="s">
        <v>43</v>
      </c>
      <c r="D2261" t="str">
        <f t="shared" si="70"/>
        <v>01-Nov-2012</v>
      </c>
      <c r="E2261">
        <v>45</v>
      </c>
      <c r="F2261" s="13">
        <v>1103.73</v>
      </c>
      <c r="G2261">
        <v>0</v>
      </c>
      <c r="H2261" t="s">
        <v>19</v>
      </c>
      <c r="I2261" s="13">
        <v>189.28</v>
      </c>
      <c r="J2261">
        <v>22.98</v>
      </c>
      <c r="K2261">
        <v>7.58</v>
      </c>
      <c r="L2261" t="s">
        <v>195</v>
      </c>
      <c r="M2261" t="s">
        <v>394</v>
      </c>
      <c r="N2261" s="5" t="s">
        <v>105</v>
      </c>
      <c r="O2261" t="s">
        <v>28</v>
      </c>
      <c r="P2261" t="s">
        <v>32</v>
      </c>
      <c r="Q2261" t="s">
        <v>33</v>
      </c>
      <c r="R2261">
        <v>0.51</v>
      </c>
      <c r="S2261" s="1">
        <v>41215</v>
      </c>
      <c r="T2261" t="str">
        <f t="shared" si="71"/>
        <v>02-Nov-2012</v>
      </c>
    </row>
    <row r="2262" spans="1:20" x14ac:dyDescent="0.3">
      <c r="A2262">
        <v>29761</v>
      </c>
      <c r="B2262" s="1">
        <v>41093</v>
      </c>
      <c r="C2262" t="s">
        <v>38</v>
      </c>
      <c r="D2262" t="str">
        <f t="shared" si="70"/>
        <v>03-Jul-2012</v>
      </c>
      <c r="E2262">
        <v>42</v>
      </c>
      <c r="F2262" s="13">
        <v>1085.4000000000001</v>
      </c>
      <c r="G2262">
        <v>0.02</v>
      </c>
      <c r="H2262" t="s">
        <v>19</v>
      </c>
      <c r="I2262" s="13">
        <v>262.32</v>
      </c>
      <c r="J2262">
        <v>25.98</v>
      </c>
      <c r="K2262">
        <v>5.37</v>
      </c>
      <c r="L2262" t="s">
        <v>398</v>
      </c>
      <c r="M2262" t="s">
        <v>394</v>
      </c>
      <c r="N2262" s="5" t="s">
        <v>105</v>
      </c>
      <c r="O2262" t="s">
        <v>28</v>
      </c>
      <c r="P2262" t="s">
        <v>21</v>
      </c>
      <c r="Q2262" t="s">
        <v>25</v>
      </c>
      <c r="R2262">
        <v>0.5</v>
      </c>
      <c r="S2262" s="1">
        <v>41096</v>
      </c>
      <c r="T2262" t="str">
        <f t="shared" si="71"/>
        <v>06-Jul-2012</v>
      </c>
    </row>
    <row r="2263" spans="1:20" x14ac:dyDescent="0.3">
      <c r="A2263">
        <v>18593</v>
      </c>
      <c r="B2263" s="1">
        <v>40808</v>
      </c>
      <c r="C2263" t="s">
        <v>23</v>
      </c>
      <c r="D2263" t="str">
        <f t="shared" si="70"/>
        <v>22-Sep-2011</v>
      </c>
      <c r="E2263">
        <v>19</v>
      </c>
      <c r="F2263" s="13">
        <v>1051.992</v>
      </c>
      <c r="G2263">
        <v>0.09</v>
      </c>
      <c r="H2263" t="s">
        <v>24</v>
      </c>
      <c r="I2263" s="13">
        <v>-1280.5999999999999</v>
      </c>
      <c r="J2263">
        <v>70.89</v>
      </c>
      <c r="K2263">
        <v>89.3</v>
      </c>
      <c r="L2263" t="s">
        <v>396</v>
      </c>
      <c r="M2263" t="s">
        <v>394</v>
      </c>
      <c r="N2263" s="5" t="s">
        <v>105</v>
      </c>
      <c r="O2263" t="s">
        <v>28</v>
      </c>
      <c r="P2263" t="s">
        <v>32</v>
      </c>
      <c r="Q2263" t="s">
        <v>46</v>
      </c>
      <c r="R2263">
        <v>0.72</v>
      </c>
      <c r="S2263" s="1">
        <v>40810</v>
      </c>
      <c r="T2263" t="str">
        <f t="shared" si="71"/>
        <v>24-Sep-2011</v>
      </c>
    </row>
    <row r="2264" spans="1:20" x14ac:dyDescent="0.3">
      <c r="A2264">
        <v>34338</v>
      </c>
      <c r="B2264" s="1">
        <v>40359</v>
      </c>
      <c r="C2264" t="s">
        <v>18</v>
      </c>
      <c r="D2264" t="str">
        <f t="shared" si="70"/>
        <v>30-Jun-2010</v>
      </c>
      <c r="E2264">
        <v>26</v>
      </c>
      <c r="F2264" s="13">
        <v>1050.1600000000001</v>
      </c>
      <c r="G2264">
        <v>0.04</v>
      </c>
      <c r="H2264" t="s">
        <v>35</v>
      </c>
      <c r="I2264" s="13">
        <v>265.08999999999997</v>
      </c>
      <c r="J2264">
        <v>38.76</v>
      </c>
      <c r="K2264">
        <v>13.26</v>
      </c>
      <c r="L2264" t="s">
        <v>400</v>
      </c>
      <c r="M2264" t="s">
        <v>394</v>
      </c>
      <c r="N2264" s="5" t="s">
        <v>105</v>
      </c>
      <c r="O2264" t="s">
        <v>28</v>
      </c>
      <c r="P2264" t="s">
        <v>21</v>
      </c>
      <c r="Q2264" t="s">
        <v>37</v>
      </c>
      <c r="R2264">
        <v>0.36</v>
      </c>
      <c r="S2264" s="1">
        <v>40364</v>
      </c>
      <c r="T2264" t="str">
        <f t="shared" si="71"/>
        <v>05-Jul-2010</v>
      </c>
    </row>
    <row r="2265" spans="1:20" x14ac:dyDescent="0.3">
      <c r="A2265">
        <v>52706</v>
      </c>
      <c r="B2265" s="1">
        <v>41099</v>
      </c>
      <c r="C2265" t="s">
        <v>18</v>
      </c>
      <c r="D2265" t="str">
        <f t="shared" si="70"/>
        <v>09-Jul-2012</v>
      </c>
      <c r="E2265">
        <v>34</v>
      </c>
      <c r="F2265" s="13">
        <v>1041.6600000000001</v>
      </c>
      <c r="G2265">
        <v>0.02</v>
      </c>
      <c r="H2265" t="s">
        <v>35</v>
      </c>
      <c r="I2265" s="13">
        <v>480.53</v>
      </c>
      <c r="J2265">
        <v>28.53</v>
      </c>
      <c r="K2265">
        <v>1.49</v>
      </c>
      <c r="L2265" t="s">
        <v>415</v>
      </c>
      <c r="M2265" t="s">
        <v>394</v>
      </c>
      <c r="N2265" s="5" t="s">
        <v>105</v>
      </c>
      <c r="O2265" t="s">
        <v>28</v>
      </c>
      <c r="P2265" t="s">
        <v>21</v>
      </c>
      <c r="Q2265" t="s">
        <v>26</v>
      </c>
      <c r="R2265">
        <v>0.38</v>
      </c>
      <c r="S2265" s="1">
        <v>41106</v>
      </c>
      <c r="T2265" t="str">
        <f t="shared" si="71"/>
        <v>16-Jul-2012</v>
      </c>
    </row>
    <row r="2266" spans="1:20" x14ac:dyDescent="0.3">
      <c r="A2266">
        <v>18496</v>
      </c>
      <c r="B2266" s="1">
        <v>39948</v>
      </c>
      <c r="C2266" t="s">
        <v>23</v>
      </c>
      <c r="D2266" t="str">
        <f t="shared" si="70"/>
        <v>15-May-2009</v>
      </c>
      <c r="E2266">
        <v>30</v>
      </c>
      <c r="F2266" s="13">
        <v>991.01</v>
      </c>
      <c r="G2266">
        <v>0.01</v>
      </c>
      <c r="H2266" t="s">
        <v>19</v>
      </c>
      <c r="I2266" s="13">
        <v>46.29</v>
      </c>
      <c r="J2266">
        <v>30.98</v>
      </c>
      <c r="K2266">
        <v>6.5</v>
      </c>
      <c r="L2266" t="s">
        <v>408</v>
      </c>
      <c r="M2266" t="s">
        <v>394</v>
      </c>
      <c r="N2266" s="5" t="s">
        <v>105</v>
      </c>
      <c r="O2266" t="s">
        <v>28</v>
      </c>
      <c r="P2266" t="s">
        <v>29</v>
      </c>
      <c r="Q2266" t="s">
        <v>41</v>
      </c>
      <c r="R2266">
        <v>0.64</v>
      </c>
      <c r="S2266" s="1">
        <v>39949</v>
      </c>
      <c r="T2266" t="str">
        <f t="shared" si="71"/>
        <v>16-May-2009</v>
      </c>
    </row>
    <row r="2267" spans="1:20" x14ac:dyDescent="0.3">
      <c r="A2267">
        <v>14883</v>
      </c>
      <c r="B2267" s="1">
        <v>40669</v>
      </c>
      <c r="C2267" t="s">
        <v>18</v>
      </c>
      <c r="D2267" t="str">
        <f t="shared" si="70"/>
        <v>06-May-2011</v>
      </c>
      <c r="E2267">
        <v>38</v>
      </c>
      <c r="F2267" s="13">
        <v>978.4</v>
      </c>
      <c r="G2267">
        <v>7.0000000000000007E-2</v>
      </c>
      <c r="H2267" t="s">
        <v>24</v>
      </c>
      <c r="I2267" s="13">
        <v>-211.58</v>
      </c>
      <c r="J2267">
        <v>25.98</v>
      </c>
      <c r="K2267">
        <v>14.36</v>
      </c>
      <c r="L2267" t="s">
        <v>312</v>
      </c>
      <c r="M2267" t="s">
        <v>394</v>
      </c>
      <c r="N2267" s="5" t="s">
        <v>105</v>
      </c>
      <c r="O2267" t="s">
        <v>28</v>
      </c>
      <c r="P2267" t="s">
        <v>32</v>
      </c>
      <c r="Q2267" t="s">
        <v>56</v>
      </c>
      <c r="R2267">
        <v>0.6</v>
      </c>
      <c r="S2267" s="1">
        <v>40674</v>
      </c>
      <c r="T2267" t="str">
        <f t="shared" si="71"/>
        <v>11-May-2011</v>
      </c>
    </row>
    <row r="2268" spans="1:20" x14ac:dyDescent="0.3">
      <c r="A2268">
        <v>14563</v>
      </c>
      <c r="B2268" s="1">
        <v>40879</v>
      </c>
      <c r="C2268" t="s">
        <v>43</v>
      </c>
      <c r="D2268" t="str">
        <f t="shared" si="70"/>
        <v>02-Dec-2011</v>
      </c>
      <c r="E2268">
        <v>31</v>
      </c>
      <c r="F2268" s="13">
        <v>953.04549999999995</v>
      </c>
      <c r="G2268">
        <v>0.02</v>
      </c>
      <c r="H2268" t="s">
        <v>19</v>
      </c>
      <c r="I2268" s="13">
        <v>298.47000000000003</v>
      </c>
      <c r="J2268">
        <v>35.99</v>
      </c>
      <c r="K2268">
        <v>5.99</v>
      </c>
      <c r="L2268" t="s">
        <v>401</v>
      </c>
      <c r="M2268" t="s">
        <v>394</v>
      </c>
      <c r="N2268" s="5" t="s">
        <v>105</v>
      </c>
      <c r="O2268" t="s">
        <v>28</v>
      </c>
      <c r="P2268" t="s">
        <v>29</v>
      </c>
      <c r="Q2268" t="s">
        <v>30</v>
      </c>
      <c r="R2268">
        <v>0.38</v>
      </c>
      <c r="S2268" s="1">
        <v>40880</v>
      </c>
      <c r="T2268" t="str">
        <f t="shared" si="71"/>
        <v>03-Dec-2011</v>
      </c>
    </row>
    <row r="2269" spans="1:20" x14ac:dyDescent="0.3">
      <c r="A2269">
        <v>45511</v>
      </c>
      <c r="B2269" s="1">
        <v>40411</v>
      </c>
      <c r="C2269" t="s">
        <v>18</v>
      </c>
      <c r="D2269" t="str">
        <f t="shared" si="70"/>
        <v>21-Aug-2010</v>
      </c>
      <c r="E2269">
        <v>31</v>
      </c>
      <c r="F2269" s="13">
        <v>951.31</v>
      </c>
      <c r="G2269">
        <v>0.08</v>
      </c>
      <c r="H2269" t="s">
        <v>24</v>
      </c>
      <c r="I2269" s="13">
        <v>-1099.46</v>
      </c>
      <c r="J2269">
        <v>31.76</v>
      </c>
      <c r="K2269">
        <v>45.51</v>
      </c>
      <c r="L2269" t="s">
        <v>400</v>
      </c>
      <c r="M2269" t="s">
        <v>394</v>
      </c>
      <c r="N2269" s="5" t="s">
        <v>105</v>
      </c>
      <c r="O2269" t="s">
        <v>28</v>
      </c>
      <c r="P2269" t="s">
        <v>32</v>
      </c>
      <c r="Q2269" t="s">
        <v>46</v>
      </c>
      <c r="R2269">
        <v>0.65</v>
      </c>
      <c r="S2269" s="1">
        <v>40418</v>
      </c>
      <c r="T2269" t="str">
        <f t="shared" si="71"/>
        <v>28-Aug-2010</v>
      </c>
    </row>
    <row r="2270" spans="1:20" x14ac:dyDescent="0.3">
      <c r="A2270">
        <v>41154</v>
      </c>
      <c r="B2270" s="1">
        <v>39933</v>
      </c>
      <c r="C2270" t="s">
        <v>18</v>
      </c>
      <c r="D2270" t="str">
        <f t="shared" si="70"/>
        <v>30-Apr-2009</v>
      </c>
      <c r="E2270">
        <v>43</v>
      </c>
      <c r="F2270" s="13">
        <v>938.37</v>
      </c>
      <c r="G2270">
        <v>0.02</v>
      </c>
      <c r="H2270" t="s">
        <v>19</v>
      </c>
      <c r="I2270" s="13">
        <v>251.17</v>
      </c>
      <c r="J2270">
        <v>21.98</v>
      </c>
      <c r="K2270">
        <v>2.87</v>
      </c>
      <c r="L2270" t="s">
        <v>395</v>
      </c>
      <c r="M2270" t="s">
        <v>394</v>
      </c>
      <c r="N2270" s="5" t="s">
        <v>105</v>
      </c>
      <c r="O2270" t="s">
        <v>28</v>
      </c>
      <c r="P2270" t="s">
        <v>21</v>
      </c>
      <c r="Q2270" t="s">
        <v>50</v>
      </c>
      <c r="R2270">
        <v>0.55000000000000004</v>
      </c>
      <c r="S2270" s="1">
        <v>39935</v>
      </c>
      <c r="T2270" t="str">
        <f t="shared" si="71"/>
        <v>02-May-2009</v>
      </c>
    </row>
    <row r="2271" spans="1:20" x14ac:dyDescent="0.3">
      <c r="A2271">
        <v>35684</v>
      </c>
      <c r="B2271" s="1">
        <v>40758</v>
      </c>
      <c r="C2271" t="s">
        <v>18</v>
      </c>
      <c r="D2271" t="str">
        <f t="shared" si="70"/>
        <v>03-Aug-2011</v>
      </c>
      <c r="E2271">
        <v>10</v>
      </c>
      <c r="F2271" s="13">
        <v>910.98</v>
      </c>
      <c r="G2271">
        <v>7.0000000000000007E-2</v>
      </c>
      <c r="H2271" t="s">
        <v>19</v>
      </c>
      <c r="I2271" s="13">
        <v>18.77</v>
      </c>
      <c r="J2271">
        <v>96.45</v>
      </c>
      <c r="K2271">
        <v>13.99</v>
      </c>
      <c r="L2271" t="s">
        <v>170</v>
      </c>
      <c r="M2271" t="s">
        <v>394</v>
      </c>
      <c r="N2271" s="5" t="s">
        <v>105</v>
      </c>
      <c r="O2271" t="s">
        <v>28</v>
      </c>
      <c r="P2271" t="s">
        <v>29</v>
      </c>
      <c r="Q2271" t="s">
        <v>74</v>
      </c>
      <c r="R2271">
        <v>0.38</v>
      </c>
      <c r="S2271" s="1">
        <v>40763</v>
      </c>
      <c r="T2271" t="str">
        <f t="shared" si="71"/>
        <v>08-Aug-2011</v>
      </c>
    </row>
    <row r="2272" spans="1:20" x14ac:dyDescent="0.3">
      <c r="A2272">
        <v>11972</v>
      </c>
      <c r="B2272" s="1">
        <v>39816</v>
      </c>
      <c r="C2272" t="s">
        <v>31</v>
      </c>
      <c r="D2272" t="str">
        <f t="shared" si="70"/>
        <v>03-Jan-2009</v>
      </c>
      <c r="E2272">
        <v>4</v>
      </c>
      <c r="F2272" s="13">
        <v>896.49</v>
      </c>
      <c r="G2272">
        <v>0</v>
      </c>
      <c r="H2272" t="s">
        <v>24</v>
      </c>
      <c r="I2272" s="13">
        <v>-452.27</v>
      </c>
      <c r="J2272">
        <v>213.45</v>
      </c>
      <c r="K2272">
        <v>14.7</v>
      </c>
      <c r="L2272" t="s">
        <v>410</v>
      </c>
      <c r="M2272" t="s">
        <v>394</v>
      </c>
      <c r="N2272" s="5" t="s">
        <v>105</v>
      </c>
      <c r="O2272" t="s">
        <v>28</v>
      </c>
      <c r="P2272" t="s">
        <v>29</v>
      </c>
      <c r="Q2272" t="s">
        <v>74</v>
      </c>
      <c r="R2272">
        <v>0.59</v>
      </c>
      <c r="S2272" s="1">
        <v>39818</v>
      </c>
      <c r="T2272" t="str">
        <f t="shared" si="71"/>
        <v>05-Jan-2009</v>
      </c>
    </row>
    <row r="2273" spans="1:20" x14ac:dyDescent="0.3">
      <c r="A2273">
        <v>2659</v>
      </c>
      <c r="B2273" s="1">
        <v>40529</v>
      </c>
      <c r="C2273" t="s">
        <v>31</v>
      </c>
      <c r="D2273" t="str">
        <f t="shared" si="70"/>
        <v>17-Dec-2010</v>
      </c>
      <c r="E2273">
        <v>50</v>
      </c>
      <c r="F2273" s="13">
        <v>881.65</v>
      </c>
      <c r="G2273">
        <v>0.08</v>
      </c>
      <c r="H2273" t="s">
        <v>19</v>
      </c>
      <c r="I2273" s="13">
        <v>41.27</v>
      </c>
      <c r="J2273">
        <v>18.97</v>
      </c>
      <c r="K2273">
        <v>9.0299999999999994</v>
      </c>
      <c r="L2273" t="s">
        <v>405</v>
      </c>
      <c r="M2273" t="s">
        <v>394</v>
      </c>
      <c r="N2273" s="5" t="s">
        <v>105</v>
      </c>
      <c r="O2273" t="s">
        <v>28</v>
      </c>
      <c r="P2273" t="s">
        <v>21</v>
      </c>
      <c r="Q2273" t="s">
        <v>37</v>
      </c>
      <c r="R2273">
        <v>0.37</v>
      </c>
      <c r="S2273" s="1">
        <v>40531</v>
      </c>
      <c r="T2273" t="str">
        <f t="shared" si="71"/>
        <v>19-Dec-2010</v>
      </c>
    </row>
    <row r="2274" spans="1:20" x14ac:dyDescent="0.3">
      <c r="A2274">
        <v>25603</v>
      </c>
      <c r="B2274" s="1">
        <v>40607</v>
      </c>
      <c r="C2274" t="s">
        <v>18</v>
      </c>
      <c r="D2274" t="str">
        <f t="shared" si="70"/>
        <v>05-Mar-2011</v>
      </c>
      <c r="E2274">
        <v>23</v>
      </c>
      <c r="F2274" s="13">
        <v>862.64</v>
      </c>
      <c r="G2274">
        <v>0.04</v>
      </c>
      <c r="H2274" t="s">
        <v>19</v>
      </c>
      <c r="I2274" s="13">
        <v>122.11</v>
      </c>
      <c r="J2274">
        <v>35.89</v>
      </c>
      <c r="K2274">
        <v>14.72</v>
      </c>
      <c r="L2274" t="s">
        <v>404</v>
      </c>
      <c r="M2274" t="s">
        <v>394</v>
      </c>
      <c r="N2274" s="5" t="s">
        <v>105</v>
      </c>
      <c r="O2274" t="s">
        <v>28</v>
      </c>
      <c r="P2274" t="s">
        <v>21</v>
      </c>
      <c r="Q2274" t="s">
        <v>42</v>
      </c>
      <c r="R2274">
        <v>0.4</v>
      </c>
      <c r="S2274" s="1">
        <v>40609</v>
      </c>
      <c r="T2274" t="str">
        <f t="shared" si="71"/>
        <v>07-Mar-2011</v>
      </c>
    </row>
    <row r="2275" spans="1:20" x14ac:dyDescent="0.3">
      <c r="A2275">
        <v>16805</v>
      </c>
      <c r="B2275" s="1">
        <v>40907</v>
      </c>
      <c r="C2275" t="s">
        <v>18</v>
      </c>
      <c r="D2275" t="str">
        <f t="shared" si="70"/>
        <v>30-Dec-2011</v>
      </c>
      <c r="E2275">
        <v>29</v>
      </c>
      <c r="F2275" s="13">
        <v>852.75</v>
      </c>
      <c r="G2275">
        <v>0.08</v>
      </c>
      <c r="H2275" t="s">
        <v>19</v>
      </c>
      <c r="I2275" s="13">
        <v>358.73</v>
      </c>
      <c r="J2275">
        <v>30.44</v>
      </c>
      <c r="K2275">
        <v>1.49</v>
      </c>
      <c r="L2275" t="s">
        <v>405</v>
      </c>
      <c r="M2275" t="s">
        <v>394</v>
      </c>
      <c r="N2275" s="5" t="s">
        <v>105</v>
      </c>
      <c r="O2275" t="s">
        <v>28</v>
      </c>
      <c r="P2275" t="s">
        <v>21</v>
      </c>
      <c r="Q2275" t="s">
        <v>26</v>
      </c>
      <c r="R2275">
        <v>0.37</v>
      </c>
      <c r="S2275" s="1">
        <v>40909</v>
      </c>
      <c r="T2275" t="str">
        <f t="shared" si="71"/>
        <v>01-Jan-2012</v>
      </c>
    </row>
    <row r="2276" spans="1:20" x14ac:dyDescent="0.3">
      <c r="A2276">
        <v>1280</v>
      </c>
      <c r="B2276" s="1">
        <v>40188</v>
      </c>
      <c r="C2276" t="s">
        <v>18</v>
      </c>
      <c r="D2276" t="str">
        <f t="shared" si="70"/>
        <v>10-Jan-2010</v>
      </c>
      <c r="E2276">
        <v>40</v>
      </c>
      <c r="F2276" s="13">
        <v>827.27</v>
      </c>
      <c r="G2276">
        <v>0.05</v>
      </c>
      <c r="H2276" t="s">
        <v>19</v>
      </c>
      <c r="I2276" s="13">
        <v>-170.87</v>
      </c>
      <c r="J2276">
        <v>20.97</v>
      </c>
      <c r="K2276">
        <v>6.5</v>
      </c>
      <c r="L2276" t="s">
        <v>225</v>
      </c>
      <c r="M2276" t="s">
        <v>394</v>
      </c>
      <c r="N2276" s="5" t="s">
        <v>105</v>
      </c>
      <c r="O2276" t="s">
        <v>28</v>
      </c>
      <c r="P2276" t="s">
        <v>29</v>
      </c>
      <c r="Q2276" t="s">
        <v>41</v>
      </c>
      <c r="R2276">
        <v>0.78</v>
      </c>
      <c r="S2276" s="1">
        <v>40188</v>
      </c>
      <c r="T2276" t="str">
        <f t="shared" si="71"/>
        <v>10-Jan-2010</v>
      </c>
    </row>
    <row r="2277" spans="1:20" x14ac:dyDescent="0.3">
      <c r="A2277">
        <v>36292</v>
      </c>
      <c r="B2277" s="1">
        <v>40216</v>
      </c>
      <c r="C2277" t="s">
        <v>43</v>
      </c>
      <c r="D2277" t="str">
        <f t="shared" si="70"/>
        <v>07-Feb-2010</v>
      </c>
      <c r="E2277">
        <v>37</v>
      </c>
      <c r="F2277" s="13">
        <v>816.65</v>
      </c>
      <c r="G2277">
        <v>0.09</v>
      </c>
      <c r="H2277" t="s">
        <v>19</v>
      </c>
      <c r="I2277" s="13">
        <v>-182.8</v>
      </c>
      <c r="J2277">
        <v>22.84</v>
      </c>
      <c r="K2277">
        <v>16.87</v>
      </c>
      <c r="L2277" t="s">
        <v>371</v>
      </c>
      <c r="M2277" t="s">
        <v>394</v>
      </c>
      <c r="N2277" s="5" t="s">
        <v>105</v>
      </c>
      <c r="O2277" t="s">
        <v>28</v>
      </c>
      <c r="P2277" t="s">
        <v>21</v>
      </c>
      <c r="Q2277" t="s">
        <v>37</v>
      </c>
      <c r="R2277">
        <v>0.39</v>
      </c>
      <c r="S2277" s="1">
        <v>40216</v>
      </c>
      <c r="T2277" t="str">
        <f t="shared" si="71"/>
        <v>07-Feb-2010</v>
      </c>
    </row>
    <row r="2278" spans="1:20" x14ac:dyDescent="0.3">
      <c r="A2278">
        <v>22375</v>
      </c>
      <c r="B2278" s="1">
        <v>40640</v>
      </c>
      <c r="C2278" t="s">
        <v>31</v>
      </c>
      <c r="D2278" t="str">
        <f t="shared" si="70"/>
        <v>07-Apr-2011</v>
      </c>
      <c r="E2278">
        <v>43</v>
      </c>
      <c r="F2278" s="13">
        <v>816.11</v>
      </c>
      <c r="G2278">
        <v>0.04</v>
      </c>
      <c r="H2278" t="s">
        <v>19</v>
      </c>
      <c r="I2278" s="13">
        <v>66.14</v>
      </c>
      <c r="J2278">
        <v>18.97</v>
      </c>
      <c r="K2278">
        <v>9.5399999999999991</v>
      </c>
      <c r="L2278" t="s">
        <v>371</v>
      </c>
      <c r="M2278" t="s">
        <v>394</v>
      </c>
      <c r="N2278" s="5" t="s">
        <v>105</v>
      </c>
      <c r="O2278" t="s">
        <v>28</v>
      </c>
      <c r="P2278" t="s">
        <v>21</v>
      </c>
      <c r="Q2278" t="s">
        <v>37</v>
      </c>
      <c r="R2278">
        <v>0.37</v>
      </c>
      <c r="S2278" s="1">
        <v>40641</v>
      </c>
      <c r="T2278" t="str">
        <f t="shared" si="71"/>
        <v>08-Apr-2011</v>
      </c>
    </row>
    <row r="2279" spans="1:20" x14ac:dyDescent="0.3">
      <c r="A2279">
        <v>30913</v>
      </c>
      <c r="B2279" s="1">
        <v>41174</v>
      </c>
      <c r="C2279" t="s">
        <v>38</v>
      </c>
      <c r="D2279" t="str">
        <f t="shared" si="70"/>
        <v>22-Sep-2012</v>
      </c>
      <c r="E2279">
        <v>36</v>
      </c>
      <c r="F2279" s="13">
        <v>795.52</v>
      </c>
      <c r="G2279">
        <v>0.08</v>
      </c>
      <c r="H2279" t="s">
        <v>19</v>
      </c>
      <c r="I2279" s="13">
        <v>290.64</v>
      </c>
      <c r="J2279">
        <v>22.24</v>
      </c>
      <c r="K2279">
        <v>1.99</v>
      </c>
      <c r="L2279" t="s">
        <v>413</v>
      </c>
      <c r="M2279" t="s">
        <v>394</v>
      </c>
      <c r="N2279" s="5" t="s">
        <v>105</v>
      </c>
      <c r="O2279" t="s">
        <v>28</v>
      </c>
      <c r="P2279" t="s">
        <v>29</v>
      </c>
      <c r="Q2279" t="s">
        <v>41</v>
      </c>
      <c r="R2279">
        <v>0.43</v>
      </c>
      <c r="S2279" s="1">
        <v>41176</v>
      </c>
      <c r="T2279" t="str">
        <f t="shared" si="71"/>
        <v>24-Sep-2012</v>
      </c>
    </row>
    <row r="2280" spans="1:20" x14ac:dyDescent="0.3">
      <c r="A2280">
        <v>31043</v>
      </c>
      <c r="B2280" s="1">
        <v>40009</v>
      </c>
      <c r="C2280" t="s">
        <v>23</v>
      </c>
      <c r="D2280" t="str">
        <f t="shared" si="70"/>
        <v>15-Jul-2009</v>
      </c>
      <c r="E2280">
        <v>49</v>
      </c>
      <c r="F2280" s="13">
        <v>772.42</v>
      </c>
      <c r="G2280">
        <v>0.02</v>
      </c>
      <c r="H2280" t="s">
        <v>19</v>
      </c>
      <c r="I2280" s="13">
        <v>299.33</v>
      </c>
      <c r="J2280">
        <v>15.28</v>
      </c>
      <c r="K2280">
        <v>1.99</v>
      </c>
      <c r="L2280" t="s">
        <v>168</v>
      </c>
      <c r="M2280" t="s">
        <v>394</v>
      </c>
      <c r="N2280" s="5" t="s">
        <v>105</v>
      </c>
      <c r="O2280" t="s">
        <v>28</v>
      </c>
      <c r="P2280" t="s">
        <v>29</v>
      </c>
      <c r="Q2280" t="s">
        <v>41</v>
      </c>
      <c r="R2280">
        <v>0.42</v>
      </c>
      <c r="S2280" s="1">
        <v>40010</v>
      </c>
      <c r="T2280" t="str">
        <f t="shared" si="71"/>
        <v>16-Jul-2009</v>
      </c>
    </row>
    <row r="2281" spans="1:20" x14ac:dyDescent="0.3">
      <c r="A2281">
        <v>13282</v>
      </c>
      <c r="B2281" s="1">
        <v>41038</v>
      </c>
      <c r="C2281" t="s">
        <v>18</v>
      </c>
      <c r="D2281" t="str">
        <f t="shared" si="70"/>
        <v>09-May-2012</v>
      </c>
      <c r="E2281">
        <v>22</v>
      </c>
      <c r="F2281" s="13">
        <v>763.85</v>
      </c>
      <c r="G2281">
        <v>0.09</v>
      </c>
      <c r="H2281" t="s">
        <v>19</v>
      </c>
      <c r="I2281" s="13">
        <v>-126.6</v>
      </c>
      <c r="J2281">
        <v>34.979999999999997</v>
      </c>
      <c r="K2281">
        <v>7.53</v>
      </c>
      <c r="L2281" t="s">
        <v>413</v>
      </c>
      <c r="M2281" t="s">
        <v>394</v>
      </c>
      <c r="N2281" s="5" t="s">
        <v>105</v>
      </c>
      <c r="O2281" t="s">
        <v>28</v>
      </c>
      <c r="P2281" t="s">
        <v>29</v>
      </c>
      <c r="Q2281" t="s">
        <v>41</v>
      </c>
      <c r="R2281">
        <v>0.76</v>
      </c>
      <c r="S2281" s="1">
        <v>41043</v>
      </c>
      <c r="T2281" t="str">
        <f t="shared" si="71"/>
        <v>14-May-2012</v>
      </c>
    </row>
    <row r="2282" spans="1:20" x14ac:dyDescent="0.3">
      <c r="A2282">
        <v>12481</v>
      </c>
      <c r="B2282" s="1">
        <v>40734</v>
      </c>
      <c r="C2282" t="s">
        <v>43</v>
      </c>
      <c r="D2282" t="str">
        <f t="shared" si="70"/>
        <v>10-Jul-2011</v>
      </c>
      <c r="E2282">
        <v>37</v>
      </c>
      <c r="F2282" s="13">
        <v>744</v>
      </c>
      <c r="G2282">
        <v>0.04</v>
      </c>
      <c r="H2282" t="s">
        <v>19</v>
      </c>
      <c r="I2282" s="13">
        <v>215.8</v>
      </c>
      <c r="J2282">
        <v>20.89</v>
      </c>
      <c r="K2282">
        <v>1.99</v>
      </c>
      <c r="L2282" t="s">
        <v>132</v>
      </c>
      <c r="M2282" t="s">
        <v>394</v>
      </c>
      <c r="N2282" s="5" t="s">
        <v>105</v>
      </c>
      <c r="O2282" t="s">
        <v>28</v>
      </c>
      <c r="P2282" t="s">
        <v>29</v>
      </c>
      <c r="Q2282" t="s">
        <v>41</v>
      </c>
      <c r="R2282">
        <v>0.48</v>
      </c>
      <c r="S2282" s="1">
        <v>40736</v>
      </c>
      <c r="T2282" t="str">
        <f t="shared" si="71"/>
        <v>12-Jul-2011</v>
      </c>
    </row>
    <row r="2283" spans="1:20" x14ac:dyDescent="0.3">
      <c r="A2283">
        <v>35811</v>
      </c>
      <c r="B2283" s="1">
        <v>40911</v>
      </c>
      <c r="C2283" t="s">
        <v>43</v>
      </c>
      <c r="D2283" t="str">
        <f t="shared" si="70"/>
        <v>03-Jan-2012</v>
      </c>
      <c r="E2283">
        <v>49</v>
      </c>
      <c r="F2283" s="13">
        <v>741.57</v>
      </c>
      <c r="G2283">
        <v>0.1</v>
      </c>
      <c r="H2283" t="s">
        <v>19</v>
      </c>
      <c r="I2283" s="13">
        <v>352.41</v>
      </c>
      <c r="J2283">
        <v>15.57</v>
      </c>
      <c r="K2283">
        <v>1.39</v>
      </c>
      <c r="L2283" t="s">
        <v>132</v>
      </c>
      <c r="M2283" t="s">
        <v>394</v>
      </c>
      <c r="N2283" s="5" t="s">
        <v>105</v>
      </c>
      <c r="O2283" t="s">
        <v>28</v>
      </c>
      <c r="P2283" t="s">
        <v>21</v>
      </c>
      <c r="Q2283" t="s">
        <v>42</v>
      </c>
      <c r="R2283">
        <v>0.38</v>
      </c>
      <c r="S2283" s="1">
        <v>40912</v>
      </c>
      <c r="T2283" t="str">
        <f t="shared" si="71"/>
        <v>04-Jan-2012</v>
      </c>
    </row>
    <row r="2284" spans="1:20" x14ac:dyDescent="0.3">
      <c r="A2284">
        <v>44005</v>
      </c>
      <c r="B2284" s="1">
        <v>40424</v>
      </c>
      <c r="C2284" t="s">
        <v>38</v>
      </c>
      <c r="D2284" t="str">
        <f t="shared" si="70"/>
        <v>03-Sep-2010</v>
      </c>
      <c r="E2284">
        <v>7</v>
      </c>
      <c r="F2284" s="13">
        <v>733.36</v>
      </c>
      <c r="G2284">
        <v>0.02</v>
      </c>
      <c r="H2284" t="s">
        <v>19</v>
      </c>
      <c r="I2284" s="13">
        <v>-270.48</v>
      </c>
      <c r="J2284">
        <v>99.99</v>
      </c>
      <c r="K2284">
        <v>19.989999999999998</v>
      </c>
      <c r="L2284" t="s">
        <v>397</v>
      </c>
      <c r="M2284" t="s">
        <v>394</v>
      </c>
      <c r="N2284" s="5" t="s">
        <v>105</v>
      </c>
      <c r="O2284" t="s">
        <v>28</v>
      </c>
      <c r="P2284" t="s">
        <v>29</v>
      </c>
      <c r="Q2284" t="s">
        <v>41</v>
      </c>
      <c r="R2284">
        <v>0.52</v>
      </c>
      <c r="S2284" s="1">
        <v>40425</v>
      </c>
      <c r="T2284" t="str">
        <f t="shared" si="71"/>
        <v>04-Sep-2010</v>
      </c>
    </row>
    <row r="2285" spans="1:20" x14ac:dyDescent="0.3">
      <c r="A2285">
        <v>59942</v>
      </c>
      <c r="B2285" s="1">
        <v>39852</v>
      </c>
      <c r="C2285" t="s">
        <v>38</v>
      </c>
      <c r="D2285" t="str">
        <f t="shared" si="70"/>
        <v>08-Feb-2009</v>
      </c>
      <c r="E2285">
        <v>47</v>
      </c>
      <c r="F2285" s="13">
        <v>714.46</v>
      </c>
      <c r="G2285">
        <v>7.0000000000000007E-2</v>
      </c>
      <c r="H2285" t="s">
        <v>19</v>
      </c>
      <c r="I2285" s="13">
        <v>-268.64999999999998</v>
      </c>
      <c r="J2285">
        <v>15.98</v>
      </c>
      <c r="K2285">
        <v>8.99</v>
      </c>
      <c r="L2285" t="s">
        <v>275</v>
      </c>
      <c r="M2285" t="s">
        <v>394</v>
      </c>
      <c r="N2285" s="5" t="s">
        <v>105</v>
      </c>
      <c r="O2285" t="s">
        <v>28</v>
      </c>
      <c r="P2285" t="s">
        <v>29</v>
      </c>
      <c r="Q2285" t="s">
        <v>41</v>
      </c>
      <c r="R2285">
        <v>0.64</v>
      </c>
      <c r="S2285" s="1">
        <v>39854</v>
      </c>
      <c r="T2285" t="str">
        <f t="shared" si="71"/>
        <v>10-Feb-2009</v>
      </c>
    </row>
    <row r="2286" spans="1:20" x14ac:dyDescent="0.3">
      <c r="A2286">
        <v>11846</v>
      </c>
      <c r="B2286" s="1">
        <v>40288</v>
      </c>
      <c r="C2286" t="s">
        <v>18</v>
      </c>
      <c r="D2286" t="str">
        <f t="shared" si="70"/>
        <v>20-Apr-2010</v>
      </c>
      <c r="E2286">
        <v>28</v>
      </c>
      <c r="F2286" s="13">
        <v>707.44</v>
      </c>
      <c r="G2286">
        <v>0.01</v>
      </c>
      <c r="H2286" t="s">
        <v>35</v>
      </c>
      <c r="I2286" s="13">
        <v>-50.27</v>
      </c>
      <c r="J2286">
        <v>24.98</v>
      </c>
      <c r="K2286">
        <v>8.7899999999999991</v>
      </c>
      <c r="L2286" t="s">
        <v>398</v>
      </c>
      <c r="M2286" t="s">
        <v>394</v>
      </c>
      <c r="N2286" s="5" t="s">
        <v>105</v>
      </c>
      <c r="O2286" t="s">
        <v>28</v>
      </c>
      <c r="P2286" t="s">
        <v>21</v>
      </c>
      <c r="Q2286" t="s">
        <v>22</v>
      </c>
      <c r="R2286">
        <v>0.66</v>
      </c>
      <c r="S2286" s="1">
        <v>40295</v>
      </c>
      <c r="T2286" t="str">
        <f t="shared" si="71"/>
        <v>27-Apr-2010</v>
      </c>
    </row>
    <row r="2287" spans="1:20" x14ac:dyDescent="0.3">
      <c r="A2287">
        <v>45668</v>
      </c>
      <c r="B2287" s="1">
        <v>40524</v>
      </c>
      <c r="C2287" t="s">
        <v>31</v>
      </c>
      <c r="D2287" t="str">
        <f t="shared" si="70"/>
        <v>12-Dec-2010</v>
      </c>
      <c r="E2287">
        <v>8</v>
      </c>
      <c r="F2287" s="13">
        <v>704.77</v>
      </c>
      <c r="G2287">
        <v>0.01</v>
      </c>
      <c r="H2287" t="s">
        <v>24</v>
      </c>
      <c r="I2287" s="13">
        <v>-298.89999999999998</v>
      </c>
      <c r="J2287">
        <v>81.94</v>
      </c>
      <c r="K2287">
        <v>55.81</v>
      </c>
      <c r="L2287" t="s">
        <v>397</v>
      </c>
      <c r="M2287" t="s">
        <v>394</v>
      </c>
      <c r="N2287" s="5" t="s">
        <v>105</v>
      </c>
      <c r="O2287" t="s">
        <v>28</v>
      </c>
      <c r="P2287" t="s">
        <v>32</v>
      </c>
      <c r="Q2287" t="s">
        <v>45</v>
      </c>
      <c r="R2287">
        <v>0.6</v>
      </c>
      <c r="S2287" s="1">
        <v>40525</v>
      </c>
      <c r="T2287" t="str">
        <f t="shared" si="71"/>
        <v>13-Dec-2010</v>
      </c>
    </row>
    <row r="2288" spans="1:20" x14ac:dyDescent="0.3">
      <c r="A2288">
        <v>4199</v>
      </c>
      <c r="B2288" s="1">
        <v>40951</v>
      </c>
      <c r="C2288" t="s">
        <v>43</v>
      </c>
      <c r="D2288" t="str">
        <f t="shared" si="70"/>
        <v>12-Feb-2012</v>
      </c>
      <c r="E2288">
        <v>43</v>
      </c>
      <c r="F2288" s="13">
        <v>639.71</v>
      </c>
      <c r="G2288">
        <v>0.01</v>
      </c>
      <c r="H2288" t="s">
        <v>35</v>
      </c>
      <c r="I2288" s="13">
        <v>102.53</v>
      </c>
      <c r="J2288">
        <v>14.2</v>
      </c>
      <c r="K2288">
        <v>5.3</v>
      </c>
      <c r="L2288" t="s">
        <v>407</v>
      </c>
      <c r="M2288" t="s">
        <v>394</v>
      </c>
      <c r="N2288" s="5" t="s">
        <v>105</v>
      </c>
      <c r="O2288" t="s">
        <v>28</v>
      </c>
      <c r="P2288" t="s">
        <v>32</v>
      </c>
      <c r="Q2288" t="s">
        <v>33</v>
      </c>
      <c r="R2288">
        <v>0.46</v>
      </c>
      <c r="S2288" s="1">
        <v>40952</v>
      </c>
      <c r="T2288" t="str">
        <f t="shared" si="71"/>
        <v>13-Feb-2012</v>
      </c>
    </row>
    <row r="2289" spans="1:20" x14ac:dyDescent="0.3">
      <c r="A2289">
        <v>36387</v>
      </c>
      <c r="B2289" s="1">
        <v>40854</v>
      </c>
      <c r="C2289" t="s">
        <v>23</v>
      </c>
      <c r="D2289" t="str">
        <f t="shared" si="70"/>
        <v>07-Nov-2011</v>
      </c>
      <c r="E2289">
        <v>32</v>
      </c>
      <c r="F2289" s="13">
        <v>616.39</v>
      </c>
      <c r="G2289">
        <v>0.09</v>
      </c>
      <c r="H2289" t="s">
        <v>19</v>
      </c>
      <c r="I2289" s="13">
        <v>148.28</v>
      </c>
      <c r="J2289">
        <v>20.89</v>
      </c>
      <c r="K2289">
        <v>1.99</v>
      </c>
      <c r="L2289" t="s">
        <v>409</v>
      </c>
      <c r="M2289" t="s">
        <v>394</v>
      </c>
      <c r="N2289" s="5" t="s">
        <v>105</v>
      </c>
      <c r="O2289" t="s">
        <v>28</v>
      </c>
      <c r="P2289" t="s">
        <v>29</v>
      </c>
      <c r="Q2289" t="s">
        <v>41</v>
      </c>
      <c r="R2289">
        <v>0.48</v>
      </c>
      <c r="S2289" s="1">
        <v>40857</v>
      </c>
      <c r="T2289" t="str">
        <f t="shared" si="71"/>
        <v>10-Nov-2011</v>
      </c>
    </row>
    <row r="2290" spans="1:20" x14ac:dyDescent="0.3">
      <c r="A2290">
        <v>7552</v>
      </c>
      <c r="B2290" s="1">
        <v>41162</v>
      </c>
      <c r="C2290" t="s">
        <v>43</v>
      </c>
      <c r="D2290" t="str">
        <f t="shared" si="70"/>
        <v>10-Sep-2012</v>
      </c>
      <c r="E2290">
        <v>49</v>
      </c>
      <c r="F2290" s="13">
        <v>587.71</v>
      </c>
      <c r="G2290">
        <v>0.09</v>
      </c>
      <c r="H2290" t="s">
        <v>19</v>
      </c>
      <c r="I2290" s="13">
        <v>26.28</v>
      </c>
      <c r="J2290">
        <v>12.98</v>
      </c>
      <c r="K2290">
        <v>3.14</v>
      </c>
      <c r="L2290" t="s">
        <v>132</v>
      </c>
      <c r="M2290" t="s">
        <v>394</v>
      </c>
      <c r="N2290" s="5" t="s">
        <v>105</v>
      </c>
      <c r="O2290" t="s">
        <v>28</v>
      </c>
      <c r="P2290" t="s">
        <v>21</v>
      </c>
      <c r="Q2290" t="s">
        <v>67</v>
      </c>
      <c r="R2290">
        <v>0.6</v>
      </c>
      <c r="S2290" s="1">
        <v>41164</v>
      </c>
      <c r="T2290" t="str">
        <f t="shared" si="71"/>
        <v>12-Sep-2012</v>
      </c>
    </row>
    <row r="2291" spans="1:20" x14ac:dyDescent="0.3">
      <c r="A2291">
        <v>43911</v>
      </c>
      <c r="B2291" s="1">
        <v>39827</v>
      </c>
      <c r="C2291" t="s">
        <v>38</v>
      </c>
      <c r="D2291" t="str">
        <f t="shared" si="70"/>
        <v>14-Jan-2009</v>
      </c>
      <c r="E2291">
        <v>29</v>
      </c>
      <c r="F2291" s="13">
        <v>577.89</v>
      </c>
      <c r="G2291">
        <v>0.06</v>
      </c>
      <c r="H2291" t="s">
        <v>19</v>
      </c>
      <c r="I2291" s="13">
        <v>-53.89</v>
      </c>
      <c r="J2291">
        <v>19.989999999999998</v>
      </c>
      <c r="K2291">
        <v>11.17</v>
      </c>
      <c r="L2291" t="s">
        <v>396</v>
      </c>
      <c r="M2291" t="s">
        <v>394</v>
      </c>
      <c r="N2291" s="5" t="s">
        <v>105</v>
      </c>
      <c r="O2291" t="s">
        <v>28</v>
      </c>
      <c r="P2291" t="s">
        <v>32</v>
      </c>
      <c r="Q2291" t="s">
        <v>33</v>
      </c>
      <c r="R2291">
        <v>0.6</v>
      </c>
      <c r="S2291" s="1">
        <v>39827</v>
      </c>
      <c r="T2291" t="str">
        <f t="shared" si="71"/>
        <v>14-Jan-2009</v>
      </c>
    </row>
    <row r="2292" spans="1:20" x14ac:dyDescent="0.3">
      <c r="A2292">
        <v>11648</v>
      </c>
      <c r="B2292" s="1">
        <v>40642</v>
      </c>
      <c r="C2292" t="s">
        <v>18</v>
      </c>
      <c r="D2292" t="str">
        <f t="shared" si="70"/>
        <v>09-Apr-2011</v>
      </c>
      <c r="E2292">
        <v>33</v>
      </c>
      <c r="F2292" s="13">
        <v>570.51</v>
      </c>
      <c r="G2292">
        <v>0</v>
      </c>
      <c r="H2292" t="s">
        <v>19</v>
      </c>
      <c r="I2292" s="13">
        <v>-142.75</v>
      </c>
      <c r="J2292">
        <v>16.739999999999998</v>
      </c>
      <c r="K2292">
        <v>7.04</v>
      </c>
      <c r="L2292" t="s">
        <v>409</v>
      </c>
      <c r="M2292" t="s">
        <v>394</v>
      </c>
      <c r="N2292" s="5" t="s">
        <v>105</v>
      </c>
      <c r="O2292" t="s">
        <v>28</v>
      </c>
      <c r="P2292" t="s">
        <v>21</v>
      </c>
      <c r="Q2292" t="s">
        <v>22</v>
      </c>
      <c r="R2292">
        <v>0.81</v>
      </c>
      <c r="S2292" s="1">
        <v>40642</v>
      </c>
      <c r="T2292" t="str">
        <f t="shared" si="71"/>
        <v>09-Apr-2011</v>
      </c>
    </row>
    <row r="2293" spans="1:20" x14ac:dyDescent="0.3">
      <c r="A2293">
        <v>57281</v>
      </c>
      <c r="B2293" s="1">
        <v>40288</v>
      </c>
      <c r="C2293" t="s">
        <v>23</v>
      </c>
      <c r="D2293" t="str">
        <f t="shared" si="70"/>
        <v>20-Apr-2010</v>
      </c>
      <c r="E2293">
        <v>26</v>
      </c>
      <c r="F2293" s="13">
        <v>561.66</v>
      </c>
      <c r="G2293">
        <v>7.0000000000000007E-2</v>
      </c>
      <c r="H2293" t="s">
        <v>19</v>
      </c>
      <c r="I2293" s="13">
        <v>-111.33</v>
      </c>
      <c r="J2293">
        <v>22.38</v>
      </c>
      <c r="K2293">
        <v>15.1</v>
      </c>
      <c r="L2293" t="s">
        <v>199</v>
      </c>
      <c r="M2293" t="s">
        <v>394</v>
      </c>
      <c r="N2293" s="5" t="s">
        <v>105</v>
      </c>
      <c r="O2293" t="s">
        <v>28</v>
      </c>
      <c r="P2293" t="s">
        <v>21</v>
      </c>
      <c r="Q2293" t="s">
        <v>26</v>
      </c>
      <c r="R2293">
        <v>0.38</v>
      </c>
      <c r="S2293" s="1">
        <v>40288</v>
      </c>
      <c r="T2293" t="str">
        <f t="shared" si="71"/>
        <v>20-Apr-2010</v>
      </c>
    </row>
    <row r="2294" spans="1:20" x14ac:dyDescent="0.3">
      <c r="A2294">
        <v>24260</v>
      </c>
      <c r="B2294" s="1">
        <v>40454</v>
      </c>
      <c r="C2294" t="s">
        <v>31</v>
      </c>
      <c r="D2294" t="str">
        <f t="shared" si="70"/>
        <v>03-Oct-2010</v>
      </c>
      <c r="E2294">
        <v>48</v>
      </c>
      <c r="F2294" s="13">
        <v>548.29999999999995</v>
      </c>
      <c r="G2294">
        <v>0.09</v>
      </c>
      <c r="H2294" t="s">
        <v>35</v>
      </c>
      <c r="I2294" s="13">
        <v>-47.92</v>
      </c>
      <c r="J2294">
        <v>11.97</v>
      </c>
      <c r="K2294">
        <v>4.9800000000000004</v>
      </c>
      <c r="L2294" t="s">
        <v>395</v>
      </c>
      <c r="M2294" t="s">
        <v>394</v>
      </c>
      <c r="N2294" s="5" t="s">
        <v>105</v>
      </c>
      <c r="O2294" t="s">
        <v>28</v>
      </c>
      <c r="P2294" t="s">
        <v>21</v>
      </c>
      <c r="Q2294" t="s">
        <v>25</v>
      </c>
      <c r="R2294">
        <v>0.57999999999999996</v>
      </c>
      <c r="S2294" s="1">
        <v>40455</v>
      </c>
      <c r="T2294" t="str">
        <f t="shared" si="71"/>
        <v>04-Oct-2010</v>
      </c>
    </row>
    <row r="2295" spans="1:20" x14ac:dyDescent="0.3">
      <c r="A2295">
        <v>52357</v>
      </c>
      <c r="B2295" s="1">
        <v>40059</v>
      </c>
      <c r="C2295" t="s">
        <v>31</v>
      </c>
      <c r="D2295" t="str">
        <f t="shared" si="70"/>
        <v>03-Sep-2009</v>
      </c>
      <c r="E2295">
        <v>49</v>
      </c>
      <c r="F2295" s="13">
        <v>541.47</v>
      </c>
      <c r="G2295">
        <v>0.05</v>
      </c>
      <c r="H2295" t="s">
        <v>19</v>
      </c>
      <c r="I2295" s="13">
        <v>90.62</v>
      </c>
      <c r="J2295">
        <v>10.98</v>
      </c>
      <c r="K2295">
        <v>4.8</v>
      </c>
      <c r="L2295" t="s">
        <v>168</v>
      </c>
      <c r="M2295" t="s">
        <v>394</v>
      </c>
      <c r="N2295" s="5" t="s">
        <v>105</v>
      </c>
      <c r="O2295" t="s">
        <v>28</v>
      </c>
      <c r="P2295" t="s">
        <v>21</v>
      </c>
      <c r="Q2295" t="s">
        <v>42</v>
      </c>
      <c r="R2295">
        <v>0.36</v>
      </c>
      <c r="S2295" s="1">
        <v>40061</v>
      </c>
      <c r="T2295" t="str">
        <f t="shared" si="71"/>
        <v>05-Sep-2009</v>
      </c>
    </row>
    <row r="2296" spans="1:20" x14ac:dyDescent="0.3">
      <c r="A2296">
        <v>5347</v>
      </c>
      <c r="B2296" s="1">
        <v>40595</v>
      </c>
      <c r="C2296" t="s">
        <v>38</v>
      </c>
      <c r="D2296" t="str">
        <f t="shared" si="70"/>
        <v>21-Feb-2011</v>
      </c>
      <c r="E2296">
        <v>7</v>
      </c>
      <c r="F2296" s="13">
        <v>525.55499999999995</v>
      </c>
      <c r="G2296">
        <v>0.04</v>
      </c>
      <c r="H2296" t="s">
        <v>19</v>
      </c>
      <c r="I2296" s="13">
        <v>-60.67</v>
      </c>
      <c r="J2296">
        <v>85.99</v>
      </c>
      <c r="K2296">
        <v>1.25</v>
      </c>
      <c r="L2296" t="s">
        <v>115</v>
      </c>
      <c r="M2296" t="s">
        <v>394</v>
      </c>
      <c r="N2296" s="5" t="s">
        <v>105</v>
      </c>
      <c r="O2296" t="s">
        <v>28</v>
      </c>
      <c r="P2296" t="s">
        <v>29</v>
      </c>
      <c r="Q2296" t="s">
        <v>30</v>
      </c>
      <c r="R2296">
        <v>0.39</v>
      </c>
      <c r="S2296" s="1">
        <v>40597</v>
      </c>
      <c r="T2296" t="str">
        <f t="shared" si="71"/>
        <v>23-Feb-2011</v>
      </c>
    </row>
    <row r="2297" spans="1:20" x14ac:dyDescent="0.3">
      <c r="A2297">
        <v>20128</v>
      </c>
      <c r="B2297" s="1">
        <v>40056</v>
      </c>
      <c r="C2297" t="s">
        <v>31</v>
      </c>
      <c r="D2297" t="str">
        <f t="shared" si="70"/>
        <v>31-Aug-2009</v>
      </c>
      <c r="E2297">
        <v>5</v>
      </c>
      <c r="F2297" s="13">
        <v>515.22</v>
      </c>
      <c r="G2297">
        <v>0.03</v>
      </c>
      <c r="H2297" t="s">
        <v>19</v>
      </c>
      <c r="I2297" s="13">
        <v>-152.54</v>
      </c>
      <c r="J2297">
        <v>95.43</v>
      </c>
      <c r="K2297">
        <v>19.989999999999998</v>
      </c>
      <c r="L2297" t="s">
        <v>132</v>
      </c>
      <c r="M2297" t="s">
        <v>394</v>
      </c>
      <c r="N2297" s="5" t="s">
        <v>105</v>
      </c>
      <c r="O2297" t="s">
        <v>28</v>
      </c>
      <c r="P2297" t="s">
        <v>21</v>
      </c>
      <c r="Q2297" t="s">
        <v>22</v>
      </c>
      <c r="R2297">
        <v>0.79</v>
      </c>
      <c r="S2297" s="1">
        <v>40058</v>
      </c>
      <c r="T2297" t="str">
        <f t="shared" si="71"/>
        <v>02-Sep-2009</v>
      </c>
    </row>
    <row r="2298" spans="1:20" x14ac:dyDescent="0.3">
      <c r="A2298">
        <v>39075</v>
      </c>
      <c r="B2298" s="1">
        <v>40958</v>
      </c>
      <c r="C2298" t="s">
        <v>31</v>
      </c>
      <c r="D2298" t="str">
        <f t="shared" si="70"/>
        <v>19-Feb-2012</v>
      </c>
      <c r="E2298">
        <v>50</v>
      </c>
      <c r="F2298" s="13">
        <v>512.33000000000004</v>
      </c>
      <c r="G2298">
        <v>0.01</v>
      </c>
      <c r="H2298" t="s">
        <v>19</v>
      </c>
      <c r="I2298" s="13">
        <v>250.66</v>
      </c>
      <c r="J2298">
        <v>10.35</v>
      </c>
      <c r="K2298">
        <v>0.99</v>
      </c>
      <c r="L2298" t="s">
        <v>315</v>
      </c>
      <c r="M2298" t="s">
        <v>394</v>
      </c>
      <c r="N2298" s="5" t="s">
        <v>105</v>
      </c>
      <c r="O2298" t="s">
        <v>28</v>
      </c>
      <c r="P2298" t="s">
        <v>21</v>
      </c>
      <c r="Q2298" t="s">
        <v>48</v>
      </c>
      <c r="R2298">
        <v>0.37</v>
      </c>
      <c r="S2298" s="1">
        <v>40959</v>
      </c>
      <c r="T2298" t="str">
        <f t="shared" si="71"/>
        <v>20-Feb-2012</v>
      </c>
    </row>
    <row r="2299" spans="1:20" x14ac:dyDescent="0.3">
      <c r="A2299">
        <v>25824</v>
      </c>
      <c r="B2299" s="1">
        <v>40060</v>
      </c>
      <c r="C2299" t="s">
        <v>38</v>
      </c>
      <c r="D2299" t="str">
        <f t="shared" si="70"/>
        <v>04-Sep-2009</v>
      </c>
      <c r="E2299">
        <v>6</v>
      </c>
      <c r="F2299" s="13">
        <v>507.56049999999999</v>
      </c>
      <c r="G2299">
        <v>0.04</v>
      </c>
      <c r="H2299" t="s">
        <v>19</v>
      </c>
      <c r="I2299" s="13">
        <v>-258.23</v>
      </c>
      <c r="J2299">
        <v>95.99</v>
      </c>
      <c r="K2299">
        <v>4.9000000000000004</v>
      </c>
      <c r="L2299" t="s">
        <v>371</v>
      </c>
      <c r="M2299" t="s">
        <v>394</v>
      </c>
      <c r="N2299" s="5" t="s">
        <v>105</v>
      </c>
      <c r="O2299" t="s">
        <v>28</v>
      </c>
      <c r="P2299" t="s">
        <v>29</v>
      </c>
      <c r="Q2299" t="s">
        <v>30</v>
      </c>
      <c r="R2299">
        <v>0.56000000000000005</v>
      </c>
      <c r="S2299" s="1">
        <v>40062</v>
      </c>
      <c r="T2299" t="str">
        <f t="shared" si="71"/>
        <v>06-Sep-2009</v>
      </c>
    </row>
    <row r="2300" spans="1:20" x14ac:dyDescent="0.3">
      <c r="A2300">
        <v>30913</v>
      </c>
      <c r="B2300" s="1">
        <v>41174</v>
      </c>
      <c r="C2300" t="s">
        <v>38</v>
      </c>
      <c r="D2300" t="str">
        <f t="shared" si="70"/>
        <v>22-Sep-2012</v>
      </c>
      <c r="E2300">
        <v>24</v>
      </c>
      <c r="F2300" s="13">
        <v>496.62</v>
      </c>
      <c r="G2300">
        <v>7.0000000000000007E-2</v>
      </c>
      <c r="H2300" t="s">
        <v>35</v>
      </c>
      <c r="I2300" s="13">
        <v>49.86</v>
      </c>
      <c r="J2300">
        <v>19.98</v>
      </c>
      <c r="K2300">
        <v>10.49</v>
      </c>
      <c r="L2300" t="s">
        <v>413</v>
      </c>
      <c r="M2300" t="s">
        <v>394</v>
      </c>
      <c r="N2300" s="5" t="s">
        <v>105</v>
      </c>
      <c r="O2300" t="s">
        <v>28</v>
      </c>
      <c r="P2300" t="s">
        <v>32</v>
      </c>
      <c r="Q2300" t="s">
        <v>33</v>
      </c>
      <c r="R2300">
        <v>0.49</v>
      </c>
      <c r="S2300" s="1">
        <v>41176</v>
      </c>
      <c r="T2300" t="str">
        <f t="shared" si="71"/>
        <v>24-Sep-2012</v>
      </c>
    </row>
    <row r="2301" spans="1:20" x14ac:dyDescent="0.3">
      <c r="A2301">
        <v>36998</v>
      </c>
      <c r="B2301" s="1">
        <v>41181</v>
      </c>
      <c r="C2301" t="s">
        <v>18</v>
      </c>
      <c r="D2301" t="str">
        <f t="shared" si="70"/>
        <v>29-Sep-2012</v>
      </c>
      <c r="E2301">
        <v>50</v>
      </c>
      <c r="F2301" s="13">
        <v>481.23</v>
      </c>
      <c r="G2301">
        <v>7.0000000000000007E-2</v>
      </c>
      <c r="H2301" t="s">
        <v>19</v>
      </c>
      <c r="I2301" s="13">
        <v>-409.24</v>
      </c>
      <c r="J2301">
        <v>9.98</v>
      </c>
      <c r="K2301">
        <v>12.52</v>
      </c>
      <c r="L2301" t="s">
        <v>371</v>
      </c>
      <c r="M2301" t="s">
        <v>394</v>
      </c>
      <c r="N2301" s="5" t="s">
        <v>105</v>
      </c>
      <c r="O2301" t="s">
        <v>28</v>
      </c>
      <c r="P2301" t="s">
        <v>32</v>
      </c>
      <c r="Q2301" t="s">
        <v>33</v>
      </c>
      <c r="R2301">
        <v>0.56999999999999995</v>
      </c>
      <c r="S2301" s="1">
        <v>41186</v>
      </c>
      <c r="T2301" t="str">
        <f t="shared" si="71"/>
        <v>04-Oct-2012</v>
      </c>
    </row>
    <row r="2302" spans="1:20" x14ac:dyDescent="0.3">
      <c r="A2302">
        <v>26947</v>
      </c>
      <c r="B2302" s="1">
        <v>40333</v>
      </c>
      <c r="C2302" t="s">
        <v>23</v>
      </c>
      <c r="D2302" t="str">
        <f t="shared" si="70"/>
        <v>04-Jun-2010</v>
      </c>
      <c r="E2302">
        <v>4</v>
      </c>
      <c r="F2302" s="13">
        <v>467.15</v>
      </c>
      <c r="G2302">
        <v>0.01</v>
      </c>
      <c r="H2302" t="s">
        <v>24</v>
      </c>
      <c r="I2302" s="13">
        <v>-212.34</v>
      </c>
      <c r="J2302">
        <v>100.8</v>
      </c>
      <c r="K2302">
        <v>60</v>
      </c>
      <c r="L2302" t="s">
        <v>407</v>
      </c>
      <c r="M2302" t="s">
        <v>394</v>
      </c>
      <c r="N2302" s="5" t="s">
        <v>105</v>
      </c>
      <c r="O2302" t="s">
        <v>28</v>
      </c>
      <c r="P2302" t="s">
        <v>32</v>
      </c>
      <c r="Q2302" t="s">
        <v>46</v>
      </c>
      <c r="R2302">
        <v>0.59</v>
      </c>
      <c r="S2302" s="1">
        <v>40336</v>
      </c>
      <c r="T2302" t="str">
        <f t="shared" si="71"/>
        <v>07-Jun-2010</v>
      </c>
    </row>
    <row r="2303" spans="1:20" x14ac:dyDescent="0.3">
      <c r="A2303">
        <v>7078</v>
      </c>
      <c r="B2303" s="1">
        <v>40279</v>
      </c>
      <c r="C2303" t="s">
        <v>23</v>
      </c>
      <c r="D2303" t="str">
        <f t="shared" si="70"/>
        <v>11-Apr-2010</v>
      </c>
      <c r="E2303">
        <v>29</v>
      </c>
      <c r="F2303" s="13">
        <v>465.52</v>
      </c>
      <c r="G2303">
        <v>0.02</v>
      </c>
      <c r="H2303" t="s">
        <v>35</v>
      </c>
      <c r="I2303" s="13">
        <v>65.349999999999994</v>
      </c>
      <c r="J2303">
        <v>14.98</v>
      </c>
      <c r="K2303">
        <v>8.99</v>
      </c>
      <c r="L2303" t="s">
        <v>377</v>
      </c>
      <c r="M2303" t="s">
        <v>394</v>
      </c>
      <c r="N2303" s="5" t="s">
        <v>105</v>
      </c>
      <c r="O2303" t="s">
        <v>28</v>
      </c>
      <c r="P2303" t="s">
        <v>32</v>
      </c>
      <c r="Q2303" t="s">
        <v>33</v>
      </c>
      <c r="R2303">
        <v>0.39</v>
      </c>
      <c r="S2303" s="1">
        <v>40280</v>
      </c>
      <c r="T2303" t="str">
        <f t="shared" si="71"/>
        <v>12-Apr-2010</v>
      </c>
    </row>
    <row r="2304" spans="1:20" x14ac:dyDescent="0.3">
      <c r="A2304">
        <v>38914</v>
      </c>
      <c r="B2304" s="1">
        <v>41059</v>
      </c>
      <c r="C2304" t="s">
        <v>38</v>
      </c>
      <c r="D2304" t="str">
        <f t="shared" si="70"/>
        <v>30-May-2012</v>
      </c>
      <c r="E2304">
        <v>43</v>
      </c>
      <c r="F2304" s="13">
        <v>447.12</v>
      </c>
      <c r="G2304">
        <v>0.08</v>
      </c>
      <c r="H2304" t="s">
        <v>19</v>
      </c>
      <c r="I2304" s="13">
        <v>-14.27</v>
      </c>
      <c r="J2304">
        <v>10.64</v>
      </c>
      <c r="K2304">
        <v>5.16</v>
      </c>
      <c r="L2304" t="s">
        <v>404</v>
      </c>
      <c r="M2304" t="s">
        <v>394</v>
      </c>
      <c r="N2304" s="5" t="s">
        <v>105</v>
      </c>
      <c r="O2304" t="s">
        <v>28</v>
      </c>
      <c r="P2304" t="s">
        <v>32</v>
      </c>
      <c r="Q2304" t="s">
        <v>33</v>
      </c>
      <c r="R2304">
        <v>0.56999999999999995</v>
      </c>
      <c r="S2304" s="1">
        <v>41060</v>
      </c>
      <c r="T2304" t="str">
        <f t="shared" si="71"/>
        <v>31-May-2012</v>
      </c>
    </row>
    <row r="2305" spans="1:20" x14ac:dyDescent="0.3">
      <c r="A2305">
        <v>36101</v>
      </c>
      <c r="B2305" s="1">
        <v>41141</v>
      </c>
      <c r="C2305" t="s">
        <v>23</v>
      </c>
      <c r="D2305" t="str">
        <f t="shared" si="70"/>
        <v>20-Aug-2012</v>
      </c>
      <c r="E2305">
        <v>3</v>
      </c>
      <c r="F2305" s="13">
        <v>446.05</v>
      </c>
      <c r="G2305">
        <v>0.09</v>
      </c>
      <c r="H2305" t="s">
        <v>24</v>
      </c>
      <c r="I2305" s="13">
        <v>-271.26</v>
      </c>
      <c r="J2305">
        <v>140.97999999999999</v>
      </c>
      <c r="K2305">
        <v>53.48</v>
      </c>
      <c r="L2305" t="s">
        <v>410</v>
      </c>
      <c r="M2305" t="s">
        <v>394</v>
      </c>
      <c r="N2305" s="5" t="s">
        <v>105</v>
      </c>
      <c r="O2305" t="s">
        <v>28</v>
      </c>
      <c r="P2305" t="s">
        <v>32</v>
      </c>
      <c r="Q2305" t="s">
        <v>45</v>
      </c>
      <c r="R2305">
        <v>0.65</v>
      </c>
      <c r="S2305" s="1">
        <v>41142</v>
      </c>
      <c r="T2305" t="str">
        <f t="shared" si="71"/>
        <v>21-Aug-2012</v>
      </c>
    </row>
    <row r="2306" spans="1:20" x14ac:dyDescent="0.3">
      <c r="A2306">
        <v>51842</v>
      </c>
      <c r="B2306" s="1">
        <v>40875</v>
      </c>
      <c r="C2306" t="s">
        <v>18</v>
      </c>
      <c r="D2306" t="str">
        <f t="shared" ref="D2306:D2369" si="72">TEXT(B2306, "dd-mmm-yyyy" )</f>
        <v>28-Nov-2011</v>
      </c>
      <c r="E2306">
        <v>4</v>
      </c>
      <c r="F2306" s="13">
        <v>431.11</v>
      </c>
      <c r="G2306">
        <v>7.0000000000000007E-2</v>
      </c>
      <c r="H2306" t="s">
        <v>19</v>
      </c>
      <c r="I2306" s="13">
        <v>-244.33</v>
      </c>
      <c r="J2306">
        <v>101.41</v>
      </c>
      <c r="K2306">
        <v>35</v>
      </c>
      <c r="L2306" t="s">
        <v>396</v>
      </c>
      <c r="M2306" t="s">
        <v>394</v>
      </c>
      <c r="N2306" s="5" t="s">
        <v>105</v>
      </c>
      <c r="O2306" t="s">
        <v>28</v>
      </c>
      <c r="P2306" t="s">
        <v>21</v>
      </c>
      <c r="Q2306" t="s">
        <v>22</v>
      </c>
      <c r="R2306">
        <v>0.82</v>
      </c>
      <c r="S2306" s="1">
        <v>40879</v>
      </c>
      <c r="T2306" t="str">
        <f t="shared" ref="T2306:T2369" si="73">TEXT(S2306, "dd-mmm-yyyy")</f>
        <v>02-Dec-2011</v>
      </c>
    </row>
    <row r="2307" spans="1:20" x14ac:dyDescent="0.3">
      <c r="A2307">
        <v>40102</v>
      </c>
      <c r="B2307" s="1">
        <v>40577</v>
      </c>
      <c r="C2307" t="s">
        <v>38</v>
      </c>
      <c r="D2307" t="str">
        <f t="shared" si="72"/>
        <v>03-Feb-2011</v>
      </c>
      <c r="E2307">
        <v>46</v>
      </c>
      <c r="F2307" s="13">
        <v>412.37</v>
      </c>
      <c r="G2307">
        <v>0.06</v>
      </c>
      <c r="H2307" t="s">
        <v>35</v>
      </c>
      <c r="I2307" s="13">
        <v>2.71</v>
      </c>
      <c r="J2307">
        <v>8.67</v>
      </c>
      <c r="K2307">
        <v>3.5</v>
      </c>
      <c r="L2307" t="s">
        <v>405</v>
      </c>
      <c r="M2307" t="s">
        <v>394</v>
      </c>
      <c r="N2307" s="5" t="s">
        <v>105</v>
      </c>
      <c r="O2307" t="s">
        <v>28</v>
      </c>
      <c r="P2307" t="s">
        <v>21</v>
      </c>
      <c r="Q2307" t="s">
        <v>25</v>
      </c>
      <c r="R2307">
        <v>0.57999999999999996</v>
      </c>
      <c r="S2307" s="1">
        <v>40579</v>
      </c>
      <c r="T2307" t="str">
        <f t="shared" si="73"/>
        <v>05-Feb-2011</v>
      </c>
    </row>
    <row r="2308" spans="1:20" x14ac:dyDescent="0.3">
      <c r="A2308">
        <v>11169</v>
      </c>
      <c r="B2308" s="1">
        <v>40319</v>
      </c>
      <c r="C2308" t="s">
        <v>38</v>
      </c>
      <c r="D2308" t="str">
        <f t="shared" si="72"/>
        <v>21-May-2010</v>
      </c>
      <c r="E2308">
        <v>46</v>
      </c>
      <c r="F2308" s="13">
        <v>398.86</v>
      </c>
      <c r="G2308">
        <v>0.08</v>
      </c>
      <c r="H2308" t="s">
        <v>19</v>
      </c>
      <c r="I2308" s="13">
        <v>-26.45</v>
      </c>
      <c r="J2308">
        <v>8.85</v>
      </c>
      <c r="K2308">
        <v>5.6</v>
      </c>
      <c r="L2308" t="s">
        <v>371</v>
      </c>
      <c r="M2308" t="s">
        <v>394</v>
      </c>
      <c r="N2308" s="5" t="s">
        <v>105</v>
      </c>
      <c r="O2308" t="s">
        <v>28</v>
      </c>
      <c r="P2308" t="s">
        <v>21</v>
      </c>
      <c r="Q2308" t="s">
        <v>26</v>
      </c>
      <c r="R2308">
        <v>0.36</v>
      </c>
      <c r="S2308" s="1">
        <v>40320</v>
      </c>
      <c r="T2308" t="str">
        <f t="shared" si="73"/>
        <v>22-May-2010</v>
      </c>
    </row>
    <row r="2309" spans="1:20" x14ac:dyDescent="0.3">
      <c r="A2309">
        <v>12481</v>
      </c>
      <c r="B2309" s="1">
        <v>40734</v>
      </c>
      <c r="C2309" t="s">
        <v>43</v>
      </c>
      <c r="D2309" t="str">
        <f t="shared" si="72"/>
        <v>10-Jul-2011</v>
      </c>
      <c r="E2309">
        <v>12</v>
      </c>
      <c r="F2309" s="13">
        <v>388.86649999999997</v>
      </c>
      <c r="G2309">
        <v>0.01</v>
      </c>
      <c r="H2309" t="s">
        <v>19</v>
      </c>
      <c r="I2309" s="13">
        <v>103.05</v>
      </c>
      <c r="J2309">
        <v>35.99</v>
      </c>
      <c r="K2309">
        <v>0.99</v>
      </c>
      <c r="L2309" t="s">
        <v>132</v>
      </c>
      <c r="M2309" t="s">
        <v>394</v>
      </c>
      <c r="N2309" s="5" t="s">
        <v>105</v>
      </c>
      <c r="O2309" t="s">
        <v>28</v>
      </c>
      <c r="P2309" t="s">
        <v>29</v>
      </c>
      <c r="Q2309" t="s">
        <v>30</v>
      </c>
      <c r="R2309">
        <v>0.35</v>
      </c>
      <c r="S2309" s="1">
        <v>40734</v>
      </c>
      <c r="T2309" t="str">
        <f t="shared" si="73"/>
        <v>10-Jul-2011</v>
      </c>
    </row>
    <row r="2310" spans="1:20" x14ac:dyDescent="0.3">
      <c r="A2310">
        <v>27872</v>
      </c>
      <c r="B2310" s="1">
        <v>40829</v>
      </c>
      <c r="C2310" t="s">
        <v>31</v>
      </c>
      <c r="D2310" t="str">
        <f t="shared" si="72"/>
        <v>13-Oct-2011</v>
      </c>
      <c r="E2310">
        <v>25</v>
      </c>
      <c r="F2310" s="13">
        <v>388.71</v>
      </c>
      <c r="G2310">
        <v>0.01</v>
      </c>
      <c r="H2310" t="s">
        <v>19</v>
      </c>
      <c r="I2310" s="13">
        <v>36.43</v>
      </c>
      <c r="J2310">
        <v>14.27</v>
      </c>
      <c r="K2310">
        <v>7.27</v>
      </c>
      <c r="L2310" t="s">
        <v>397</v>
      </c>
      <c r="M2310" t="s">
        <v>394</v>
      </c>
      <c r="N2310" s="5" t="s">
        <v>105</v>
      </c>
      <c r="O2310" t="s">
        <v>28</v>
      </c>
      <c r="P2310" t="s">
        <v>21</v>
      </c>
      <c r="Q2310" t="s">
        <v>26</v>
      </c>
      <c r="R2310">
        <v>0.38</v>
      </c>
      <c r="S2310" s="1">
        <v>40831</v>
      </c>
      <c r="T2310" t="str">
        <f t="shared" si="73"/>
        <v>15-Oct-2011</v>
      </c>
    </row>
    <row r="2311" spans="1:20" x14ac:dyDescent="0.3">
      <c r="A2311">
        <v>21510</v>
      </c>
      <c r="B2311" s="1">
        <v>41037</v>
      </c>
      <c r="C2311" t="s">
        <v>23</v>
      </c>
      <c r="D2311" t="str">
        <f t="shared" si="72"/>
        <v>08-May-2012</v>
      </c>
      <c r="E2311">
        <v>16</v>
      </c>
      <c r="F2311" s="13">
        <v>372.09</v>
      </c>
      <c r="G2311">
        <v>0.04</v>
      </c>
      <c r="H2311" t="s">
        <v>35</v>
      </c>
      <c r="I2311" s="13">
        <v>98.28</v>
      </c>
      <c r="J2311">
        <v>22.24</v>
      </c>
      <c r="K2311">
        <v>1.99</v>
      </c>
      <c r="L2311" t="s">
        <v>404</v>
      </c>
      <c r="M2311" t="s">
        <v>394</v>
      </c>
      <c r="N2311" s="5" t="s">
        <v>105</v>
      </c>
      <c r="O2311" t="s">
        <v>28</v>
      </c>
      <c r="P2311" t="s">
        <v>29</v>
      </c>
      <c r="Q2311" t="s">
        <v>41</v>
      </c>
      <c r="R2311">
        <v>0.43</v>
      </c>
      <c r="S2311" s="1">
        <v>41037</v>
      </c>
      <c r="T2311" t="str">
        <f t="shared" si="73"/>
        <v>08-May-2012</v>
      </c>
    </row>
    <row r="2312" spans="1:20" x14ac:dyDescent="0.3">
      <c r="A2312">
        <v>26979</v>
      </c>
      <c r="B2312" s="1">
        <v>40996</v>
      </c>
      <c r="C2312" t="s">
        <v>38</v>
      </c>
      <c r="D2312" t="str">
        <f t="shared" si="72"/>
        <v>28-Mar-2012</v>
      </c>
      <c r="E2312">
        <v>43</v>
      </c>
      <c r="F2312" s="13">
        <v>337.01</v>
      </c>
      <c r="G2312">
        <v>0.05</v>
      </c>
      <c r="H2312" t="s">
        <v>19</v>
      </c>
      <c r="I2312" s="13">
        <v>147.19999999999999</v>
      </c>
      <c r="J2312">
        <v>7.98</v>
      </c>
      <c r="K2312">
        <v>1.25</v>
      </c>
      <c r="L2312" t="s">
        <v>403</v>
      </c>
      <c r="M2312" t="s">
        <v>394</v>
      </c>
      <c r="N2312" s="5" t="s">
        <v>105</v>
      </c>
      <c r="O2312" t="s">
        <v>28</v>
      </c>
      <c r="P2312" t="s">
        <v>21</v>
      </c>
      <c r="Q2312" t="s">
        <v>37</v>
      </c>
      <c r="R2312">
        <v>0.35</v>
      </c>
      <c r="S2312" s="1">
        <v>40998</v>
      </c>
      <c r="T2312" t="str">
        <f t="shared" si="73"/>
        <v>30-Mar-2012</v>
      </c>
    </row>
    <row r="2313" spans="1:20" x14ac:dyDescent="0.3">
      <c r="A2313">
        <v>194</v>
      </c>
      <c r="B2313" s="1">
        <v>41003</v>
      </c>
      <c r="C2313" t="s">
        <v>38</v>
      </c>
      <c r="D2313" t="str">
        <f t="shared" si="72"/>
        <v>04-Apr-2012</v>
      </c>
      <c r="E2313">
        <v>49</v>
      </c>
      <c r="F2313" s="13">
        <v>329.03</v>
      </c>
      <c r="G2313">
        <v>0.1</v>
      </c>
      <c r="H2313" t="s">
        <v>19</v>
      </c>
      <c r="I2313" s="13">
        <v>-197.25</v>
      </c>
      <c r="J2313">
        <v>7.28</v>
      </c>
      <c r="K2313">
        <v>7.98</v>
      </c>
      <c r="L2313" t="s">
        <v>215</v>
      </c>
      <c r="M2313" t="s">
        <v>394</v>
      </c>
      <c r="N2313" s="5" t="s">
        <v>105</v>
      </c>
      <c r="O2313" t="s">
        <v>28</v>
      </c>
      <c r="P2313" t="s">
        <v>32</v>
      </c>
      <c r="Q2313" t="s">
        <v>33</v>
      </c>
      <c r="R2313">
        <v>0.42</v>
      </c>
      <c r="S2313" s="1">
        <v>41005</v>
      </c>
      <c r="T2313" t="str">
        <f t="shared" si="73"/>
        <v>06-Apr-2012</v>
      </c>
    </row>
    <row r="2314" spans="1:20" x14ac:dyDescent="0.3">
      <c r="A2314">
        <v>23906</v>
      </c>
      <c r="B2314" s="1">
        <v>40441</v>
      </c>
      <c r="C2314" t="s">
        <v>43</v>
      </c>
      <c r="D2314" t="str">
        <f t="shared" si="72"/>
        <v>20-Sep-2010</v>
      </c>
      <c r="E2314">
        <v>37</v>
      </c>
      <c r="F2314" s="13">
        <v>321.02</v>
      </c>
      <c r="G2314">
        <v>0.1</v>
      </c>
      <c r="H2314" t="s">
        <v>35</v>
      </c>
      <c r="I2314" s="13">
        <v>-11.88</v>
      </c>
      <c r="J2314">
        <v>8.67</v>
      </c>
      <c r="K2314">
        <v>3.5</v>
      </c>
      <c r="L2314" t="s">
        <v>404</v>
      </c>
      <c r="M2314" t="s">
        <v>394</v>
      </c>
      <c r="N2314" s="5" t="s">
        <v>105</v>
      </c>
      <c r="O2314" t="s">
        <v>28</v>
      </c>
      <c r="P2314" t="s">
        <v>21</v>
      </c>
      <c r="Q2314" t="s">
        <v>25</v>
      </c>
      <c r="R2314">
        <v>0.57999999999999996</v>
      </c>
      <c r="S2314" s="1">
        <v>40442</v>
      </c>
      <c r="T2314" t="str">
        <f t="shared" si="73"/>
        <v>21-Sep-2010</v>
      </c>
    </row>
    <row r="2315" spans="1:20" x14ac:dyDescent="0.3">
      <c r="A2315">
        <v>14597</v>
      </c>
      <c r="B2315" s="1">
        <v>40420</v>
      </c>
      <c r="C2315" t="s">
        <v>43</v>
      </c>
      <c r="D2315" t="str">
        <f t="shared" si="72"/>
        <v>30-Aug-2010</v>
      </c>
      <c r="E2315">
        <v>41</v>
      </c>
      <c r="F2315" s="13">
        <v>320.42</v>
      </c>
      <c r="G2315">
        <v>0.03</v>
      </c>
      <c r="H2315" t="s">
        <v>35</v>
      </c>
      <c r="I2315" s="13">
        <v>-66.37</v>
      </c>
      <c r="J2315">
        <v>7.68</v>
      </c>
      <c r="K2315">
        <v>6.16</v>
      </c>
      <c r="L2315" t="s">
        <v>393</v>
      </c>
      <c r="M2315" t="s">
        <v>394</v>
      </c>
      <c r="N2315" s="5" t="s">
        <v>105</v>
      </c>
      <c r="O2315" t="s">
        <v>28</v>
      </c>
      <c r="P2315" t="s">
        <v>21</v>
      </c>
      <c r="Q2315" t="s">
        <v>26</v>
      </c>
      <c r="R2315">
        <v>0.35</v>
      </c>
      <c r="S2315" s="1">
        <v>40421</v>
      </c>
      <c r="T2315" t="str">
        <f t="shared" si="73"/>
        <v>31-Aug-2010</v>
      </c>
    </row>
    <row r="2316" spans="1:20" x14ac:dyDescent="0.3">
      <c r="A2316">
        <v>19140</v>
      </c>
      <c r="B2316" s="1">
        <v>40086</v>
      </c>
      <c r="C2316" t="s">
        <v>38</v>
      </c>
      <c r="D2316" t="str">
        <f t="shared" si="72"/>
        <v>30-Sep-2009</v>
      </c>
      <c r="E2316">
        <v>47</v>
      </c>
      <c r="F2316" s="13">
        <v>314</v>
      </c>
      <c r="G2316">
        <v>7.0000000000000007E-2</v>
      </c>
      <c r="H2316" t="s">
        <v>19</v>
      </c>
      <c r="I2316" s="13">
        <v>-66.040000000000006</v>
      </c>
      <c r="J2316">
        <v>6.54</v>
      </c>
      <c r="K2316">
        <v>5.27</v>
      </c>
      <c r="L2316" t="s">
        <v>410</v>
      </c>
      <c r="M2316" t="s">
        <v>394</v>
      </c>
      <c r="N2316" s="5" t="s">
        <v>105</v>
      </c>
      <c r="O2316" t="s">
        <v>28</v>
      </c>
      <c r="P2316" t="s">
        <v>21</v>
      </c>
      <c r="Q2316" t="s">
        <v>26</v>
      </c>
      <c r="R2316">
        <v>0.36</v>
      </c>
      <c r="S2316" s="1">
        <v>40087</v>
      </c>
      <c r="T2316" t="str">
        <f t="shared" si="73"/>
        <v>01-Oct-2009</v>
      </c>
    </row>
    <row r="2317" spans="1:20" x14ac:dyDescent="0.3">
      <c r="A2317">
        <v>35936</v>
      </c>
      <c r="B2317" s="1">
        <v>39834</v>
      </c>
      <c r="C2317" t="s">
        <v>38</v>
      </c>
      <c r="D2317" t="str">
        <f t="shared" si="72"/>
        <v>21-Jan-2009</v>
      </c>
      <c r="E2317">
        <v>41</v>
      </c>
      <c r="F2317" s="13">
        <v>312.26</v>
      </c>
      <c r="G2317">
        <v>0.08</v>
      </c>
      <c r="H2317" t="s">
        <v>19</v>
      </c>
      <c r="I2317" s="13">
        <v>-10.38</v>
      </c>
      <c r="J2317">
        <v>7.84</v>
      </c>
      <c r="K2317">
        <v>4.71</v>
      </c>
      <c r="L2317" t="s">
        <v>413</v>
      </c>
      <c r="M2317" t="s">
        <v>394</v>
      </c>
      <c r="N2317" s="5" t="s">
        <v>105</v>
      </c>
      <c r="O2317" t="s">
        <v>28</v>
      </c>
      <c r="P2317" t="s">
        <v>21</v>
      </c>
      <c r="Q2317" t="s">
        <v>26</v>
      </c>
      <c r="R2317">
        <v>0.35</v>
      </c>
      <c r="S2317" s="1">
        <v>39835</v>
      </c>
      <c r="T2317" t="str">
        <f t="shared" si="73"/>
        <v>22-Jan-2009</v>
      </c>
    </row>
    <row r="2318" spans="1:20" x14ac:dyDescent="0.3">
      <c r="A2318">
        <v>7904</v>
      </c>
      <c r="B2318" s="1">
        <v>40325</v>
      </c>
      <c r="C2318" t="s">
        <v>18</v>
      </c>
      <c r="D2318" t="str">
        <f t="shared" si="72"/>
        <v>27-May-2010</v>
      </c>
      <c r="E2318">
        <v>47</v>
      </c>
      <c r="F2318" s="13">
        <v>298.3</v>
      </c>
      <c r="G2318">
        <v>0.08</v>
      </c>
      <c r="H2318" t="s">
        <v>35</v>
      </c>
      <c r="I2318" s="13">
        <v>146.72</v>
      </c>
      <c r="J2318">
        <v>6.3</v>
      </c>
      <c r="K2318">
        <v>0.5</v>
      </c>
      <c r="L2318" t="s">
        <v>403</v>
      </c>
      <c r="M2318" t="s">
        <v>394</v>
      </c>
      <c r="N2318" s="5" t="s">
        <v>105</v>
      </c>
      <c r="O2318" t="s">
        <v>28</v>
      </c>
      <c r="P2318" t="s">
        <v>21</v>
      </c>
      <c r="Q2318" t="s">
        <v>48</v>
      </c>
      <c r="R2318">
        <v>0.39</v>
      </c>
      <c r="S2318" s="1">
        <v>40334</v>
      </c>
      <c r="T2318" t="str">
        <f t="shared" si="73"/>
        <v>05-Jun-2010</v>
      </c>
    </row>
    <row r="2319" spans="1:20" x14ac:dyDescent="0.3">
      <c r="A2319">
        <v>32931</v>
      </c>
      <c r="B2319" s="1">
        <v>40224</v>
      </c>
      <c r="C2319" t="s">
        <v>18</v>
      </c>
      <c r="D2319" t="str">
        <f t="shared" si="72"/>
        <v>15-Feb-2010</v>
      </c>
      <c r="E2319">
        <v>25</v>
      </c>
      <c r="F2319" s="13">
        <v>298.11</v>
      </c>
      <c r="G2319">
        <v>0.08</v>
      </c>
      <c r="H2319" t="s">
        <v>19</v>
      </c>
      <c r="I2319" s="13">
        <v>-60.79</v>
      </c>
      <c r="J2319">
        <v>12.44</v>
      </c>
      <c r="K2319">
        <v>6.27</v>
      </c>
      <c r="L2319" t="s">
        <v>397</v>
      </c>
      <c r="M2319" t="s">
        <v>394</v>
      </c>
      <c r="N2319" s="5" t="s">
        <v>105</v>
      </c>
      <c r="O2319" t="s">
        <v>28</v>
      </c>
      <c r="P2319" t="s">
        <v>21</v>
      </c>
      <c r="Q2319" t="s">
        <v>22</v>
      </c>
      <c r="R2319">
        <v>0.56999999999999995</v>
      </c>
      <c r="S2319" s="1">
        <v>40229</v>
      </c>
      <c r="T2319" t="str">
        <f t="shared" si="73"/>
        <v>20-Feb-2010</v>
      </c>
    </row>
    <row r="2320" spans="1:20" x14ac:dyDescent="0.3">
      <c r="A2320">
        <v>34179</v>
      </c>
      <c r="B2320" s="1">
        <v>40849</v>
      </c>
      <c r="C2320" t="s">
        <v>31</v>
      </c>
      <c r="D2320" t="str">
        <f t="shared" si="72"/>
        <v>02-Nov-2011</v>
      </c>
      <c r="E2320">
        <v>21</v>
      </c>
      <c r="F2320" s="13">
        <v>293.27</v>
      </c>
      <c r="G2320">
        <v>7.0000000000000007E-2</v>
      </c>
      <c r="H2320" t="s">
        <v>19</v>
      </c>
      <c r="I2320" s="13">
        <v>44.56</v>
      </c>
      <c r="J2320">
        <v>14.48</v>
      </c>
      <c r="K2320">
        <v>1.99</v>
      </c>
      <c r="L2320" t="s">
        <v>409</v>
      </c>
      <c r="M2320" t="s">
        <v>394</v>
      </c>
      <c r="N2320" s="5" t="s">
        <v>105</v>
      </c>
      <c r="O2320" t="s">
        <v>28</v>
      </c>
      <c r="P2320" t="s">
        <v>29</v>
      </c>
      <c r="Q2320" t="s">
        <v>41</v>
      </c>
      <c r="R2320">
        <v>0.49</v>
      </c>
      <c r="S2320" s="1">
        <v>40851</v>
      </c>
      <c r="T2320" t="str">
        <f t="shared" si="73"/>
        <v>04-Nov-2011</v>
      </c>
    </row>
    <row r="2321" spans="1:20" x14ac:dyDescent="0.3">
      <c r="A2321">
        <v>23046</v>
      </c>
      <c r="B2321" s="1">
        <v>40457</v>
      </c>
      <c r="C2321" t="s">
        <v>43</v>
      </c>
      <c r="D2321" t="str">
        <f t="shared" si="72"/>
        <v>06-Oct-2010</v>
      </c>
      <c r="E2321">
        <v>33</v>
      </c>
      <c r="F2321" s="13">
        <v>292.75</v>
      </c>
      <c r="G2321">
        <v>0.08</v>
      </c>
      <c r="H2321" t="s">
        <v>19</v>
      </c>
      <c r="I2321" s="13">
        <v>93.33</v>
      </c>
      <c r="J2321">
        <v>8.9499999999999993</v>
      </c>
      <c r="K2321">
        <v>2.0099999999999998</v>
      </c>
      <c r="L2321" t="s">
        <v>402</v>
      </c>
      <c r="M2321" t="s">
        <v>394</v>
      </c>
      <c r="N2321" s="5" t="s">
        <v>105</v>
      </c>
      <c r="O2321" t="s">
        <v>28</v>
      </c>
      <c r="P2321" t="s">
        <v>21</v>
      </c>
      <c r="Q2321" t="s">
        <v>37</v>
      </c>
      <c r="R2321">
        <v>0.39</v>
      </c>
      <c r="S2321" s="1">
        <v>40459</v>
      </c>
      <c r="T2321" t="str">
        <f t="shared" si="73"/>
        <v>08-Oct-2010</v>
      </c>
    </row>
    <row r="2322" spans="1:20" x14ac:dyDescent="0.3">
      <c r="A2322">
        <v>11014</v>
      </c>
      <c r="B2322" s="1">
        <v>40428</v>
      </c>
      <c r="C2322" t="s">
        <v>23</v>
      </c>
      <c r="D2322" t="str">
        <f t="shared" si="72"/>
        <v>07-Sep-2010</v>
      </c>
      <c r="E2322">
        <v>39</v>
      </c>
      <c r="F2322" s="13">
        <v>286.81</v>
      </c>
      <c r="G2322">
        <v>7.0000000000000007E-2</v>
      </c>
      <c r="H2322" t="s">
        <v>19</v>
      </c>
      <c r="I2322" s="13">
        <v>110.05</v>
      </c>
      <c r="J2322">
        <v>7.64</v>
      </c>
      <c r="K2322">
        <v>1.39</v>
      </c>
      <c r="L2322" t="s">
        <v>382</v>
      </c>
      <c r="M2322" t="s">
        <v>394</v>
      </c>
      <c r="N2322" s="5" t="s">
        <v>105</v>
      </c>
      <c r="O2322" t="s">
        <v>28</v>
      </c>
      <c r="P2322" t="s">
        <v>21</v>
      </c>
      <c r="Q2322" t="s">
        <v>42</v>
      </c>
      <c r="R2322">
        <v>0.36</v>
      </c>
      <c r="S2322" s="1">
        <v>40429</v>
      </c>
      <c r="T2322" t="str">
        <f t="shared" si="73"/>
        <v>08-Sep-2010</v>
      </c>
    </row>
    <row r="2323" spans="1:20" x14ac:dyDescent="0.3">
      <c r="A2323">
        <v>44869</v>
      </c>
      <c r="B2323" s="1">
        <v>41143</v>
      </c>
      <c r="C2323" t="s">
        <v>38</v>
      </c>
      <c r="D2323" t="str">
        <f t="shared" si="72"/>
        <v>22-Aug-2012</v>
      </c>
      <c r="E2323">
        <v>43</v>
      </c>
      <c r="F2323" s="13">
        <v>283.18</v>
      </c>
      <c r="G2323">
        <v>0.03</v>
      </c>
      <c r="H2323" t="s">
        <v>19</v>
      </c>
      <c r="I2323" s="13">
        <v>-154.94999999999999</v>
      </c>
      <c r="J2323">
        <v>6.48</v>
      </c>
      <c r="K2323">
        <v>7.49</v>
      </c>
      <c r="L2323" t="s">
        <v>400</v>
      </c>
      <c r="M2323" t="s">
        <v>394</v>
      </c>
      <c r="N2323" s="5" t="s">
        <v>105</v>
      </c>
      <c r="O2323" t="s">
        <v>28</v>
      </c>
      <c r="P2323" t="s">
        <v>21</v>
      </c>
      <c r="Q2323" t="s">
        <v>37</v>
      </c>
      <c r="R2323">
        <v>0.37</v>
      </c>
      <c r="S2323" s="1">
        <v>41145</v>
      </c>
      <c r="T2323" t="str">
        <f t="shared" si="73"/>
        <v>24-Aug-2012</v>
      </c>
    </row>
    <row r="2324" spans="1:20" x14ac:dyDescent="0.3">
      <c r="A2324">
        <v>20128</v>
      </c>
      <c r="B2324" s="1">
        <v>40056</v>
      </c>
      <c r="C2324" t="s">
        <v>31</v>
      </c>
      <c r="D2324" t="str">
        <f t="shared" si="72"/>
        <v>31-Aug-2009</v>
      </c>
      <c r="E2324">
        <v>32</v>
      </c>
      <c r="F2324" s="13">
        <v>279.43</v>
      </c>
      <c r="G2324">
        <v>0</v>
      </c>
      <c r="H2324" t="s">
        <v>19</v>
      </c>
      <c r="I2324" s="13">
        <v>48.47</v>
      </c>
      <c r="J2324">
        <v>8.5</v>
      </c>
      <c r="K2324">
        <v>1.99</v>
      </c>
      <c r="L2324" t="s">
        <v>132</v>
      </c>
      <c r="M2324" t="s">
        <v>394</v>
      </c>
      <c r="N2324" s="5" t="s">
        <v>105</v>
      </c>
      <c r="O2324" t="s">
        <v>28</v>
      </c>
      <c r="P2324" t="s">
        <v>29</v>
      </c>
      <c r="Q2324" t="s">
        <v>41</v>
      </c>
      <c r="R2324">
        <v>0.49</v>
      </c>
      <c r="S2324" s="1">
        <v>40058</v>
      </c>
      <c r="T2324" t="str">
        <f t="shared" si="73"/>
        <v>02-Sep-2009</v>
      </c>
    </row>
    <row r="2325" spans="1:20" x14ac:dyDescent="0.3">
      <c r="A2325">
        <v>32449</v>
      </c>
      <c r="B2325" s="1">
        <v>41252</v>
      </c>
      <c r="C2325" t="s">
        <v>43</v>
      </c>
      <c r="D2325" t="str">
        <f t="shared" si="72"/>
        <v>09-Dec-2012</v>
      </c>
      <c r="E2325">
        <v>39</v>
      </c>
      <c r="F2325" s="13">
        <v>277.58</v>
      </c>
      <c r="G2325">
        <v>0.08</v>
      </c>
      <c r="H2325" t="s">
        <v>19</v>
      </c>
      <c r="I2325" s="13">
        <v>-276.88</v>
      </c>
      <c r="J2325">
        <v>7.28</v>
      </c>
      <c r="K2325">
        <v>11.15</v>
      </c>
      <c r="L2325" t="s">
        <v>410</v>
      </c>
      <c r="M2325" t="s">
        <v>394</v>
      </c>
      <c r="N2325" s="5" t="s">
        <v>105</v>
      </c>
      <c r="O2325" t="s">
        <v>28</v>
      </c>
      <c r="P2325" t="s">
        <v>21</v>
      </c>
      <c r="Q2325" t="s">
        <v>37</v>
      </c>
      <c r="R2325">
        <v>0.37</v>
      </c>
      <c r="S2325" s="1">
        <v>41253</v>
      </c>
      <c r="T2325" t="str">
        <f t="shared" si="73"/>
        <v>10-Dec-2012</v>
      </c>
    </row>
    <row r="2326" spans="1:20" x14ac:dyDescent="0.3">
      <c r="A2326">
        <v>47456</v>
      </c>
      <c r="B2326" s="1">
        <v>41060</v>
      </c>
      <c r="C2326" t="s">
        <v>18</v>
      </c>
      <c r="D2326" t="str">
        <f t="shared" si="72"/>
        <v>31-May-2012</v>
      </c>
      <c r="E2326">
        <v>43</v>
      </c>
      <c r="F2326" s="13">
        <v>277.08</v>
      </c>
      <c r="G2326">
        <v>0.08</v>
      </c>
      <c r="H2326" t="s">
        <v>19</v>
      </c>
      <c r="I2326" s="13">
        <v>-179.11</v>
      </c>
      <c r="J2326">
        <v>6.48</v>
      </c>
      <c r="K2326">
        <v>7.91</v>
      </c>
      <c r="L2326" t="s">
        <v>409</v>
      </c>
      <c r="M2326" t="s">
        <v>394</v>
      </c>
      <c r="N2326" s="5" t="s">
        <v>105</v>
      </c>
      <c r="O2326" t="s">
        <v>28</v>
      </c>
      <c r="P2326" t="s">
        <v>21</v>
      </c>
      <c r="Q2326" t="s">
        <v>37</v>
      </c>
      <c r="R2326">
        <v>0.37</v>
      </c>
      <c r="S2326" s="1">
        <v>41067</v>
      </c>
      <c r="T2326" t="str">
        <f t="shared" si="73"/>
        <v>07-Jun-2012</v>
      </c>
    </row>
    <row r="2327" spans="1:20" x14ac:dyDescent="0.3">
      <c r="A2327">
        <v>5347</v>
      </c>
      <c r="B2327" s="1">
        <v>40595</v>
      </c>
      <c r="C2327" t="s">
        <v>38</v>
      </c>
      <c r="D2327" t="str">
        <f t="shared" si="72"/>
        <v>21-Feb-2011</v>
      </c>
      <c r="E2327">
        <v>39</v>
      </c>
      <c r="F2327" s="13">
        <v>276.029</v>
      </c>
      <c r="G2327">
        <v>0.05</v>
      </c>
      <c r="H2327" t="s">
        <v>19</v>
      </c>
      <c r="I2327" s="13">
        <v>-108.19</v>
      </c>
      <c r="J2327">
        <v>7.99</v>
      </c>
      <c r="K2327">
        <v>5.03</v>
      </c>
      <c r="L2327" t="s">
        <v>115</v>
      </c>
      <c r="M2327" t="s">
        <v>394</v>
      </c>
      <c r="N2327" s="5" t="s">
        <v>105</v>
      </c>
      <c r="O2327" t="s">
        <v>28</v>
      </c>
      <c r="P2327" t="s">
        <v>29</v>
      </c>
      <c r="Q2327" t="s">
        <v>30</v>
      </c>
      <c r="R2327">
        <v>0.6</v>
      </c>
      <c r="S2327" s="1">
        <v>40598</v>
      </c>
      <c r="T2327" t="str">
        <f t="shared" si="73"/>
        <v>24-Feb-2011</v>
      </c>
    </row>
    <row r="2328" spans="1:20" x14ac:dyDescent="0.3">
      <c r="A2328">
        <v>48486</v>
      </c>
      <c r="B2328" s="1">
        <v>40675</v>
      </c>
      <c r="C2328" t="s">
        <v>23</v>
      </c>
      <c r="D2328" t="str">
        <f t="shared" si="72"/>
        <v>12-May-2011</v>
      </c>
      <c r="E2328">
        <v>42</v>
      </c>
      <c r="F2328" s="13">
        <v>271.14</v>
      </c>
      <c r="G2328">
        <v>7.0000000000000007E-2</v>
      </c>
      <c r="H2328" t="s">
        <v>19</v>
      </c>
      <c r="I2328" s="13">
        <v>-174.74</v>
      </c>
      <c r="J2328">
        <v>6.48</v>
      </c>
      <c r="K2328">
        <v>7.91</v>
      </c>
      <c r="L2328" t="s">
        <v>406</v>
      </c>
      <c r="M2328" t="s">
        <v>394</v>
      </c>
      <c r="N2328" s="5" t="s">
        <v>105</v>
      </c>
      <c r="O2328" t="s">
        <v>28</v>
      </c>
      <c r="P2328" t="s">
        <v>21</v>
      </c>
      <c r="Q2328" t="s">
        <v>37</v>
      </c>
      <c r="R2328">
        <v>0.37</v>
      </c>
      <c r="S2328" s="1">
        <v>40677</v>
      </c>
      <c r="T2328" t="str">
        <f t="shared" si="73"/>
        <v>14-May-2011</v>
      </c>
    </row>
    <row r="2329" spans="1:20" x14ac:dyDescent="0.3">
      <c r="A2329">
        <v>18145</v>
      </c>
      <c r="B2329" s="1">
        <v>40425</v>
      </c>
      <c r="C2329" t="s">
        <v>38</v>
      </c>
      <c r="D2329" t="str">
        <f t="shared" si="72"/>
        <v>04-Sep-2010</v>
      </c>
      <c r="E2329">
        <v>47</v>
      </c>
      <c r="F2329" s="13">
        <v>270.32</v>
      </c>
      <c r="G2329">
        <v>0.06</v>
      </c>
      <c r="H2329" t="s">
        <v>19</v>
      </c>
      <c r="I2329" s="13">
        <v>-47.15</v>
      </c>
      <c r="J2329">
        <v>5.81</v>
      </c>
      <c r="K2329">
        <v>3.37</v>
      </c>
      <c r="L2329" t="s">
        <v>393</v>
      </c>
      <c r="M2329" t="s">
        <v>394</v>
      </c>
      <c r="N2329" s="5" t="s">
        <v>105</v>
      </c>
      <c r="O2329" t="s">
        <v>28</v>
      </c>
      <c r="P2329" t="s">
        <v>21</v>
      </c>
      <c r="Q2329" t="s">
        <v>39</v>
      </c>
      <c r="R2329">
        <v>0.54</v>
      </c>
      <c r="S2329" s="1">
        <v>40426</v>
      </c>
      <c r="T2329" t="str">
        <f t="shared" si="73"/>
        <v>05-Sep-2010</v>
      </c>
    </row>
    <row r="2330" spans="1:20" x14ac:dyDescent="0.3">
      <c r="A2330">
        <v>47524</v>
      </c>
      <c r="B2330" s="1">
        <v>40283</v>
      </c>
      <c r="C2330" t="s">
        <v>38</v>
      </c>
      <c r="D2330" t="str">
        <f t="shared" si="72"/>
        <v>15-Apr-2010</v>
      </c>
      <c r="E2330">
        <v>8</v>
      </c>
      <c r="F2330" s="13">
        <v>269.14</v>
      </c>
      <c r="G2330">
        <v>0.1</v>
      </c>
      <c r="H2330" t="s">
        <v>19</v>
      </c>
      <c r="I2330" s="13">
        <v>-160.72</v>
      </c>
      <c r="J2330">
        <v>35.770000000000003</v>
      </c>
      <c r="K2330">
        <v>9.02</v>
      </c>
      <c r="L2330" t="s">
        <v>81</v>
      </c>
      <c r="M2330" t="s">
        <v>394</v>
      </c>
      <c r="N2330" s="5" t="s">
        <v>105</v>
      </c>
      <c r="O2330" t="s">
        <v>28</v>
      </c>
      <c r="P2330" t="s">
        <v>29</v>
      </c>
      <c r="Q2330" t="s">
        <v>41</v>
      </c>
      <c r="R2330">
        <v>0.75</v>
      </c>
      <c r="S2330" s="1">
        <v>40285</v>
      </c>
      <c r="T2330" t="str">
        <f t="shared" si="73"/>
        <v>17-Apr-2010</v>
      </c>
    </row>
    <row r="2331" spans="1:20" x14ac:dyDescent="0.3">
      <c r="A2331">
        <v>14597</v>
      </c>
      <c r="B2331" s="1">
        <v>40420</v>
      </c>
      <c r="C2331" t="s">
        <v>43</v>
      </c>
      <c r="D2331" t="str">
        <f t="shared" si="72"/>
        <v>30-Aug-2010</v>
      </c>
      <c r="E2331">
        <v>35</v>
      </c>
      <c r="F2331" s="13">
        <v>266.64</v>
      </c>
      <c r="G2331">
        <v>7.0000000000000007E-2</v>
      </c>
      <c r="H2331" t="s">
        <v>19</v>
      </c>
      <c r="I2331" s="13">
        <v>-36.76</v>
      </c>
      <c r="J2331">
        <v>7.96</v>
      </c>
      <c r="K2331">
        <v>4.95</v>
      </c>
      <c r="L2331" t="s">
        <v>393</v>
      </c>
      <c r="M2331" t="s">
        <v>394</v>
      </c>
      <c r="N2331" s="5" t="s">
        <v>105</v>
      </c>
      <c r="O2331" t="s">
        <v>28</v>
      </c>
      <c r="P2331" t="s">
        <v>32</v>
      </c>
      <c r="Q2331" t="s">
        <v>33</v>
      </c>
      <c r="R2331">
        <v>0.41</v>
      </c>
      <c r="S2331" s="1">
        <v>40421</v>
      </c>
      <c r="T2331" t="str">
        <f t="shared" si="73"/>
        <v>31-Aug-2010</v>
      </c>
    </row>
    <row r="2332" spans="1:20" x14ac:dyDescent="0.3">
      <c r="A2332">
        <v>36998</v>
      </c>
      <c r="B2332" s="1">
        <v>41181</v>
      </c>
      <c r="C2332" t="s">
        <v>18</v>
      </c>
      <c r="D2332" t="str">
        <f t="shared" si="72"/>
        <v>29-Sep-2012</v>
      </c>
      <c r="E2332">
        <v>41</v>
      </c>
      <c r="F2332" s="13">
        <v>265.39</v>
      </c>
      <c r="G2332">
        <v>0.1</v>
      </c>
      <c r="H2332" t="s">
        <v>19</v>
      </c>
      <c r="I2332" s="13">
        <v>-237.01</v>
      </c>
      <c r="J2332">
        <v>6.48</v>
      </c>
      <c r="K2332">
        <v>9.5399999999999991</v>
      </c>
      <c r="L2332" t="s">
        <v>371</v>
      </c>
      <c r="M2332" t="s">
        <v>394</v>
      </c>
      <c r="N2332" s="5" t="s">
        <v>105</v>
      </c>
      <c r="O2332" t="s">
        <v>28</v>
      </c>
      <c r="P2332" t="s">
        <v>21</v>
      </c>
      <c r="Q2332" t="s">
        <v>37</v>
      </c>
      <c r="R2332">
        <v>0.37</v>
      </c>
      <c r="S2332" s="1">
        <v>41188</v>
      </c>
      <c r="T2332" t="str">
        <f t="shared" si="73"/>
        <v>06-Oct-2012</v>
      </c>
    </row>
    <row r="2333" spans="1:20" x14ac:dyDescent="0.3">
      <c r="A2333">
        <v>33700</v>
      </c>
      <c r="B2333" s="1">
        <v>40640</v>
      </c>
      <c r="C2333" t="s">
        <v>18</v>
      </c>
      <c r="D2333" t="str">
        <f t="shared" si="72"/>
        <v>07-Apr-2011</v>
      </c>
      <c r="E2333">
        <v>36</v>
      </c>
      <c r="F2333" s="13">
        <v>260.13</v>
      </c>
      <c r="G2333">
        <v>0</v>
      </c>
      <c r="H2333" t="s">
        <v>19</v>
      </c>
      <c r="I2333" s="13">
        <v>-133.97999999999999</v>
      </c>
      <c r="J2333">
        <v>6.48</v>
      </c>
      <c r="K2333">
        <v>8.19</v>
      </c>
      <c r="L2333" t="s">
        <v>132</v>
      </c>
      <c r="M2333" t="s">
        <v>394</v>
      </c>
      <c r="N2333" s="5" t="s">
        <v>105</v>
      </c>
      <c r="O2333" t="s">
        <v>28</v>
      </c>
      <c r="P2333" t="s">
        <v>21</v>
      </c>
      <c r="Q2333" t="s">
        <v>37</v>
      </c>
      <c r="R2333">
        <v>0.37</v>
      </c>
      <c r="S2333" s="1">
        <v>40644</v>
      </c>
      <c r="T2333" t="str">
        <f t="shared" si="73"/>
        <v>11-Apr-2011</v>
      </c>
    </row>
    <row r="2334" spans="1:20" x14ac:dyDescent="0.3">
      <c r="A2334">
        <v>3746</v>
      </c>
      <c r="B2334" s="1">
        <v>40066</v>
      </c>
      <c r="C2334" t="s">
        <v>31</v>
      </c>
      <c r="D2334" t="str">
        <f t="shared" si="72"/>
        <v>10-Sep-2009</v>
      </c>
      <c r="E2334">
        <v>38</v>
      </c>
      <c r="F2334" s="13">
        <v>246.3</v>
      </c>
      <c r="G2334">
        <v>0.02</v>
      </c>
      <c r="H2334" t="s">
        <v>19</v>
      </c>
      <c r="I2334" s="13">
        <v>-67.489999999999995</v>
      </c>
      <c r="J2334">
        <v>5.98</v>
      </c>
      <c r="K2334">
        <v>5.79</v>
      </c>
      <c r="L2334" t="s">
        <v>414</v>
      </c>
      <c r="M2334" t="s">
        <v>394</v>
      </c>
      <c r="N2334" s="5" t="s">
        <v>105</v>
      </c>
      <c r="O2334" t="s">
        <v>28</v>
      </c>
      <c r="P2334" t="s">
        <v>21</v>
      </c>
      <c r="Q2334" t="s">
        <v>37</v>
      </c>
      <c r="R2334">
        <v>0.36</v>
      </c>
      <c r="S2334" s="1">
        <v>40067</v>
      </c>
      <c r="T2334" t="str">
        <f t="shared" si="73"/>
        <v>11-Sep-2009</v>
      </c>
    </row>
    <row r="2335" spans="1:20" x14ac:dyDescent="0.3">
      <c r="A2335">
        <v>55490</v>
      </c>
      <c r="B2335" s="1">
        <v>40133</v>
      </c>
      <c r="C2335" t="s">
        <v>38</v>
      </c>
      <c r="D2335" t="str">
        <f t="shared" si="72"/>
        <v>16-Nov-2009</v>
      </c>
      <c r="E2335">
        <v>3</v>
      </c>
      <c r="F2335" s="13">
        <v>246.2</v>
      </c>
      <c r="G2335">
        <v>0.04</v>
      </c>
      <c r="H2335" t="s">
        <v>24</v>
      </c>
      <c r="I2335" s="13">
        <v>-184.16</v>
      </c>
      <c r="J2335">
        <v>70.89</v>
      </c>
      <c r="K2335">
        <v>89.3</v>
      </c>
      <c r="L2335" t="s">
        <v>401</v>
      </c>
      <c r="M2335" t="s">
        <v>394</v>
      </c>
      <c r="N2335" s="5" t="s">
        <v>105</v>
      </c>
      <c r="O2335" t="s">
        <v>28</v>
      </c>
      <c r="P2335" t="s">
        <v>32</v>
      </c>
      <c r="Q2335" t="s">
        <v>46</v>
      </c>
      <c r="R2335">
        <v>0.72</v>
      </c>
      <c r="S2335" s="1">
        <v>40134</v>
      </c>
      <c r="T2335" t="str">
        <f t="shared" si="73"/>
        <v>17-Nov-2009</v>
      </c>
    </row>
    <row r="2336" spans="1:20" x14ac:dyDescent="0.3">
      <c r="A2336">
        <v>54307</v>
      </c>
      <c r="B2336" s="1">
        <v>40916</v>
      </c>
      <c r="C2336" t="s">
        <v>23</v>
      </c>
      <c r="D2336" t="str">
        <f t="shared" si="72"/>
        <v>08-Jan-2012</v>
      </c>
      <c r="E2336">
        <v>15</v>
      </c>
      <c r="F2336" s="13">
        <v>243.52</v>
      </c>
      <c r="G2336">
        <v>0.01</v>
      </c>
      <c r="H2336" t="s">
        <v>19</v>
      </c>
      <c r="I2336" s="13">
        <v>-59.64</v>
      </c>
      <c r="J2336">
        <v>14.89</v>
      </c>
      <c r="K2336">
        <v>13.56</v>
      </c>
      <c r="L2336" t="s">
        <v>393</v>
      </c>
      <c r="M2336" t="s">
        <v>394</v>
      </c>
      <c r="N2336" s="5" t="s">
        <v>105</v>
      </c>
      <c r="O2336" t="s">
        <v>28</v>
      </c>
      <c r="P2336" t="s">
        <v>32</v>
      </c>
      <c r="Q2336" t="s">
        <v>33</v>
      </c>
      <c r="R2336">
        <v>0.57999999999999996</v>
      </c>
      <c r="S2336" s="1">
        <v>40917</v>
      </c>
      <c r="T2336" t="str">
        <f t="shared" si="73"/>
        <v>09-Jan-2012</v>
      </c>
    </row>
    <row r="2337" spans="1:20" x14ac:dyDescent="0.3">
      <c r="A2337">
        <v>59686</v>
      </c>
      <c r="B2337" s="1">
        <v>40610</v>
      </c>
      <c r="C2337" t="s">
        <v>18</v>
      </c>
      <c r="D2337" t="str">
        <f t="shared" si="72"/>
        <v>08-Mar-2011</v>
      </c>
      <c r="E2337">
        <v>41</v>
      </c>
      <c r="F2337" s="13">
        <v>243.37</v>
      </c>
      <c r="G2337">
        <v>0.01</v>
      </c>
      <c r="H2337" t="s">
        <v>19</v>
      </c>
      <c r="I2337" s="13">
        <v>-106.42</v>
      </c>
      <c r="J2337">
        <v>5.8</v>
      </c>
      <c r="K2337">
        <v>5.59</v>
      </c>
      <c r="L2337" t="s">
        <v>397</v>
      </c>
      <c r="M2337" t="s">
        <v>394</v>
      </c>
      <c r="N2337" s="5" t="s">
        <v>105</v>
      </c>
      <c r="O2337" t="s">
        <v>28</v>
      </c>
      <c r="P2337" t="s">
        <v>21</v>
      </c>
      <c r="Q2337" t="s">
        <v>26</v>
      </c>
      <c r="R2337">
        <v>0.4</v>
      </c>
      <c r="S2337" s="1">
        <v>40615</v>
      </c>
      <c r="T2337" t="str">
        <f t="shared" si="73"/>
        <v>13-Mar-2011</v>
      </c>
    </row>
    <row r="2338" spans="1:20" x14ac:dyDescent="0.3">
      <c r="A2338">
        <v>21735</v>
      </c>
      <c r="B2338" s="1">
        <v>40246</v>
      </c>
      <c r="C2338" t="s">
        <v>31</v>
      </c>
      <c r="D2338" t="str">
        <f t="shared" si="72"/>
        <v>09-Mar-2010</v>
      </c>
      <c r="E2338">
        <v>23</v>
      </c>
      <c r="F2338" s="13">
        <v>239.49</v>
      </c>
      <c r="G2338">
        <v>0.04</v>
      </c>
      <c r="H2338" t="s">
        <v>19</v>
      </c>
      <c r="I2338" s="13">
        <v>-159.35</v>
      </c>
      <c r="J2338">
        <v>9.98</v>
      </c>
      <c r="K2338">
        <v>12.52</v>
      </c>
      <c r="L2338" t="s">
        <v>355</v>
      </c>
      <c r="M2338" t="s">
        <v>394</v>
      </c>
      <c r="N2338" s="5" t="s">
        <v>105</v>
      </c>
      <c r="O2338" t="s">
        <v>28</v>
      </c>
      <c r="P2338" t="s">
        <v>32</v>
      </c>
      <c r="Q2338" t="s">
        <v>33</v>
      </c>
      <c r="R2338">
        <v>0.56999999999999995</v>
      </c>
      <c r="S2338" s="1">
        <v>40248</v>
      </c>
      <c r="T2338" t="str">
        <f t="shared" si="73"/>
        <v>11-Mar-2010</v>
      </c>
    </row>
    <row r="2339" spans="1:20" x14ac:dyDescent="0.3">
      <c r="A2339">
        <v>30401</v>
      </c>
      <c r="B2339" s="1">
        <v>41200</v>
      </c>
      <c r="C2339" t="s">
        <v>38</v>
      </c>
      <c r="D2339" t="str">
        <f t="shared" si="72"/>
        <v>18-Oct-2012</v>
      </c>
      <c r="E2339">
        <v>39</v>
      </c>
      <c r="F2339" s="13">
        <v>239.4</v>
      </c>
      <c r="G2339">
        <v>7.0000000000000007E-2</v>
      </c>
      <c r="H2339" t="s">
        <v>19</v>
      </c>
      <c r="I2339" s="13">
        <v>-57.37</v>
      </c>
      <c r="J2339">
        <v>5.98</v>
      </c>
      <c r="K2339">
        <v>5.15</v>
      </c>
      <c r="L2339" t="s">
        <v>403</v>
      </c>
      <c r="M2339" t="s">
        <v>394</v>
      </c>
      <c r="N2339" s="5" t="s">
        <v>105</v>
      </c>
      <c r="O2339" t="s">
        <v>28</v>
      </c>
      <c r="P2339" t="s">
        <v>21</v>
      </c>
      <c r="Q2339" t="s">
        <v>37</v>
      </c>
      <c r="R2339">
        <v>0.36</v>
      </c>
      <c r="S2339" s="1">
        <v>41202</v>
      </c>
      <c r="T2339" t="str">
        <f t="shared" si="73"/>
        <v>20-Oct-2012</v>
      </c>
    </row>
    <row r="2340" spans="1:20" x14ac:dyDescent="0.3">
      <c r="A2340">
        <v>34311</v>
      </c>
      <c r="B2340" s="1">
        <v>40061</v>
      </c>
      <c r="C2340" t="s">
        <v>23</v>
      </c>
      <c r="D2340" t="str">
        <f t="shared" si="72"/>
        <v>05-Sep-2009</v>
      </c>
      <c r="E2340">
        <v>32</v>
      </c>
      <c r="F2340" s="13">
        <v>232.85</v>
      </c>
      <c r="G2340">
        <v>0.03</v>
      </c>
      <c r="H2340" t="s">
        <v>19</v>
      </c>
      <c r="I2340" s="13">
        <v>-262.62</v>
      </c>
      <c r="J2340">
        <v>6.98</v>
      </c>
      <c r="K2340">
        <v>9.69</v>
      </c>
      <c r="L2340" t="s">
        <v>78</v>
      </c>
      <c r="M2340" t="s">
        <v>394</v>
      </c>
      <c r="N2340" s="5" t="s">
        <v>105</v>
      </c>
      <c r="O2340" t="s">
        <v>28</v>
      </c>
      <c r="P2340" t="s">
        <v>21</v>
      </c>
      <c r="Q2340" t="s">
        <v>22</v>
      </c>
      <c r="R2340">
        <v>0.83</v>
      </c>
      <c r="S2340" s="1">
        <v>40063</v>
      </c>
      <c r="T2340" t="str">
        <f t="shared" si="73"/>
        <v>07-Sep-2009</v>
      </c>
    </row>
    <row r="2341" spans="1:20" x14ac:dyDescent="0.3">
      <c r="A2341">
        <v>42725</v>
      </c>
      <c r="B2341" s="1">
        <v>40665</v>
      </c>
      <c r="C2341" t="s">
        <v>38</v>
      </c>
      <c r="D2341" t="str">
        <f t="shared" si="72"/>
        <v>02-May-2011</v>
      </c>
      <c r="E2341">
        <v>18</v>
      </c>
      <c r="F2341" s="13">
        <v>231.06</v>
      </c>
      <c r="G2341">
        <v>0.04</v>
      </c>
      <c r="H2341" t="s">
        <v>19</v>
      </c>
      <c r="I2341" s="13">
        <v>-29.83</v>
      </c>
      <c r="J2341">
        <v>12.28</v>
      </c>
      <c r="K2341">
        <v>6.13</v>
      </c>
      <c r="L2341" t="s">
        <v>406</v>
      </c>
      <c r="M2341" t="s">
        <v>394</v>
      </c>
      <c r="N2341" s="5" t="s">
        <v>105</v>
      </c>
      <c r="O2341" t="s">
        <v>28</v>
      </c>
      <c r="P2341" t="s">
        <v>21</v>
      </c>
      <c r="Q2341" t="s">
        <v>22</v>
      </c>
      <c r="R2341">
        <v>0.56999999999999995</v>
      </c>
      <c r="S2341" s="1">
        <v>40666</v>
      </c>
      <c r="T2341" t="str">
        <f t="shared" si="73"/>
        <v>03-May-2011</v>
      </c>
    </row>
    <row r="2342" spans="1:20" x14ac:dyDescent="0.3">
      <c r="A2342">
        <v>11013</v>
      </c>
      <c r="B2342" s="1">
        <v>39920</v>
      </c>
      <c r="C2342" t="s">
        <v>23</v>
      </c>
      <c r="D2342" t="str">
        <f t="shared" si="72"/>
        <v>17-Apr-2009</v>
      </c>
      <c r="E2342">
        <v>2</v>
      </c>
      <c r="F2342" s="13">
        <v>226.88200000000001</v>
      </c>
      <c r="G2342">
        <v>0.01</v>
      </c>
      <c r="H2342" t="s">
        <v>19</v>
      </c>
      <c r="I2342" s="13">
        <v>-582.65</v>
      </c>
      <c r="J2342">
        <v>125.99</v>
      </c>
      <c r="K2342">
        <v>8.99</v>
      </c>
      <c r="L2342" t="s">
        <v>412</v>
      </c>
      <c r="M2342" t="s">
        <v>394</v>
      </c>
      <c r="N2342" s="5" t="s">
        <v>105</v>
      </c>
      <c r="O2342" t="s">
        <v>28</v>
      </c>
      <c r="P2342" t="s">
        <v>29</v>
      </c>
      <c r="Q2342" t="s">
        <v>30</v>
      </c>
      <c r="R2342">
        <v>0.59</v>
      </c>
      <c r="S2342" s="1">
        <v>39921</v>
      </c>
      <c r="T2342" t="str">
        <f t="shared" si="73"/>
        <v>18-Apr-2009</v>
      </c>
    </row>
    <row r="2343" spans="1:20" x14ac:dyDescent="0.3">
      <c r="A2343">
        <v>31043</v>
      </c>
      <c r="B2343" s="1">
        <v>40009</v>
      </c>
      <c r="C2343" t="s">
        <v>23</v>
      </c>
      <c r="D2343" t="str">
        <f t="shared" si="72"/>
        <v>15-Jul-2009</v>
      </c>
      <c r="E2343">
        <v>3</v>
      </c>
      <c r="F2343" s="13">
        <v>221.4675</v>
      </c>
      <c r="G2343">
        <v>0</v>
      </c>
      <c r="H2343" t="s">
        <v>19</v>
      </c>
      <c r="I2343" s="13">
        <v>-302.23</v>
      </c>
      <c r="J2343">
        <v>85.99</v>
      </c>
      <c r="K2343">
        <v>3.3</v>
      </c>
      <c r="L2343" t="s">
        <v>168</v>
      </c>
      <c r="M2343" t="s">
        <v>394</v>
      </c>
      <c r="N2343" s="5" t="s">
        <v>105</v>
      </c>
      <c r="O2343" t="s">
        <v>28</v>
      </c>
      <c r="P2343" t="s">
        <v>29</v>
      </c>
      <c r="Q2343" t="s">
        <v>30</v>
      </c>
      <c r="R2343">
        <v>0.37</v>
      </c>
      <c r="S2343" s="1">
        <v>40010</v>
      </c>
      <c r="T2343" t="str">
        <f t="shared" si="73"/>
        <v>16-Jul-2009</v>
      </c>
    </row>
    <row r="2344" spans="1:20" x14ac:dyDescent="0.3">
      <c r="A2344">
        <v>55846</v>
      </c>
      <c r="B2344" s="1">
        <v>40014</v>
      </c>
      <c r="C2344" t="s">
        <v>31</v>
      </c>
      <c r="D2344" t="str">
        <f t="shared" si="72"/>
        <v>20-Jul-2009</v>
      </c>
      <c r="E2344">
        <v>30</v>
      </c>
      <c r="F2344" s="13">
        <v>221.05</v>
      </c>
      <c r="G2344">
        <v>0.02</v>
      </c>
      <c r="H2344" t="s">
        <v>19</v>
      </c>
      <c r="I2344" s="13">
        <v>-66.38</v>
      </c>
      <c r="J2344">
        <v>7.1</v>
      </c>
      <c r="K2344">
        <v>6.05</v>
      </c>
      <c r="L2344" t="s">
        <v>208</v>
      </c>
      <c r="M2344" t="s">
        <v>394</v>
      </c>
      <c r="N2344" s="5" t="s">
        <v>105</v>
      </c>
      <c r="O2344" t="s">
        <v>28</v>
      </c>
      <c r="P2344" t="s">
        <v>21</v>
      </c>
      <c r="Q2344" t="s">
        <v>26</v>
      </c>
      <c r="R2344">
        <v>0.39</v>
      </c>
      <c r="S2344" s="1">
        <v>40014</v>
      </c>
      <c r="T2344" t="str">
        <f t="shared" si="73"/>
        <v>20-Jul-2009</v>
      </c>
    </row>
    <row r="2345" spans="1:20" x14ac:dyDescent="0.3">
      <c r="A2345">
        <v>59329</v>
      </c>
      <c r="B2345" s="1">
        <v>41247</v>
      </c>
      <c r="C2345" t="s">
        <v>43</v>
      </c>
      <c r="D2345" t="str">
        <f t="shared" si="72"/>
        <v>04-Dec-2012</v>
      </c>
      <c r="E2345">
        <v>41</v>
      </c>
      <c r="F2345" s="13">
        <v>214.23</v>
      </c>
      <c r="G2345">
        <v>0.01</v>
      </c>
      <c r="H2345" t="s">
        <v>19</v>
      </c>
      <c r="I2345" s="13">
        <v>-165.42</v>
      </c>
      <c r="J2345">
        <v>4.8600000000000003</v>
      </c>
      <c r="K2345">
        <v>7.1</v>
      </c>
      <c r="L2345" t="s">
        <v>208</v>
      </c>
      <c r="M2345" t="s">
        <v>394</v>
      </c>
      <c r="N2345" s="5" t="s">
        <v>105</v>
      </c>
      <c r="O2345" t="s">
        <v>28</v>
      </c>
      <c r="P2345" t="s">
        <v>32</v>
      </c>
      <c r="Q2345" t="s">
        <v>33</v>
      </c>
      <c r="R2345">
        <v>0.42</v>
      </c>
      <c r="S2345" s="1">
        <v>41249</v>
      </c>
      <c r="T2345" t="str">
        <f t="shared" si="73"/>
        <v>06-Dec-2012</v>
      </c>
    </row>
    <row r="2346" spans="1:20" x14ac:dyDescent="0.3">
      <c r="A2346">
        <v>59329</v>
      </c>
      <c r="B2346" s="1">
        <v>41247</v>
      </c>
      <c r="C2346" t="s">
        <v>43</v>
      </c>
      <c r="D2346" t="str">
        <f t="shared" si="72"/>
        <v>04-Dec-2012</v>
      </c>
      <c r="E2346">
        <v>41</v>
      </c>
      <c r="F2346" s="13">
        <v>214.19</v>
      </c>
      <c r="G2346">
        <v>0.05</v>
      </c>
      <c r="H2346" t="s">
        <v>19</v>
      </c>
      <c r="I2346" s="13">
        <v>-66.06</v>
      </c>
      <c r="J2346">
        <v>4.9800000000000004</v>
      </c>
      <c r="K2346">
        <v>4.7</v>
      </c>
      <c r="L2346" t="s">
        <v>208</v>
      </c>
      <c r="M2346" t="s">
        <v>394</v>
      </c>
      <c r="N2346" s="5" t="s">
        <v>105</v>
      </c>
      <c r="O2346" t="s">
        <v>28</v>
      </c>
      <c r="P2346" t="s">
        <v>21</v>
      </c>
      <c r="Q2346" t="s">
        <v>37</v>
      </c>
      <c r="R2346">
        <v>0.38</v>
      </c>
      <c r="S2346" s="1">
        <v>41248</v>
      </c>
      <c r="T2346" t="str">
        <f t="shared" si="73"/>
        <v>05-Dec-2012</v>
      </c>
    </row>
    <row r="2347" spans="1:20" x14ac:dyDescent="0.3">
      <c r="A2347">
        <v>18368</v>
      </c>
      <c r="B2347" s="1">
        <v>41243</v>
      </c>
      <c r="C2347" t="s">
        <v>31</v>
      </c>
      <c r="D2347" t="str">
        <f t="shared" si="72"/>
        <v>30-Nov-2012</v>
      </c>
      <c r="E2347">
        <v>3</v>
      </c>
      <c r="F2347" s="13">
        <v>212.91</v>
      </c>
      <c r="G2347">
        <v>0</v>
      </c>
      <c r="H2347" t="s">
        <v>19</v>
      </c>
      <c r="I2347" s="13">
        <v>-65.150000000000006</v>
      </c>
      <c r="J2347">
        <v>70.97</v>
      </c>
      <c r="K2347">
        <v>3.5</v>
      </c>
      <c r="L2347" t="s">
        <v>404</v>
      </c>
      <c r="M2347" t="s">
        <v>394</v>
      </c>
      <c r="N2347" s="5" t="s">
        <v>105</v>
      </c>
      <c r="O2347" t="s">
        <v>28</v>
      </c>
      <c r="P2347" t="s">
        <v>21</v>
      </c>
      <c r="Q2347" t="s">
        <v>25</v>
      </c>
      <c r="R2347">
        <v>0.59</v>
      </c>
      <c r="S2347" s="1">
        <v>41245</v>
      </c>
      <c r="T2347" t="str">
        <f t="shared" si="73"/>
        <v>02-Dec-2012</v>
      </c>
    </row>
    <row r="2348" spans="1:20" x14ac:dyDescent="0.3">
      <c r="A2348">
        <v>54949</v>
      </c>
      <c r="B2348" s="1">
        <v>40035</v>
      </c>
      <c r="C2348" t="s">
        <v>18</v>
      </c>
      <c r="D2348" t="str">
        <f t="shared" si="72"/>
        <v>10-Aug-2009</v>
      </c>
      <c r="E2348">
        <v>32</v>
      </c>
      <c r="F2348" s="13">
        <v>210.94</v>
      </c>
      <c r="G2348">
        <v>0.08</v>
      </c>
      <c r="H2348" t="s">
        <v>19</v>
      </c>
      <c r="I2348" s="13">
        <v>-94.59</v>
      </c>
      <c r="J2348">
        <v>6.48</v>
      </c>
      <c r="K2348">
        <v>6.81</v>
      </c>
      <c r="L2348" t="s">
        <v>397</v>
      </c>
      <c r="M2348" t="s">
        <v>394</v>
      </c>
      <c r="N2348" s="5" t="s">
        <v>105</v>
      </c>
      <c r="O2348" t="s">
        <v>28</v>
      </c>
      <c r="P2348" t="s">
        <v>21</v>
      </c>
      <c r="Q2348" t="s">
        <v>37</v>
      </c>
      <c r="R2348">
        <v>0.36</v>
      </c>
      <c r="S2348" s="1">
        <v>40040</v>
      </c>
      <c r="T2348" t="str">
        <f t="shared" si="73"/>
        <v>15-Aug-2009</v>
      </c>
    </row>
    <row r="2349" spans="1:20" x14ac:dyDescent="0.3">
      <c r="A2349">
        <v>56834</v>
      </c>
      <c r="B2349" s="1">
        <v>40664</v>
      </c>
      <c r="C2349" t="s">
        <v>23</v>
      </c>
      <c r="D2349" t="str">
        <f t="shared" si="72"/>
        <v>01-May-2011</v>
      </c>
      <c r="E2349">
        <v>33</v>
      </c>
      <c r="F2349" s="13">
        <v>205.52</v>
      </c>
      <c r="G2349">
        <v>0.09</v>
      </c>
      <c r="H2349" t="s">
        <v>19</v>
      </c>
      <c r="I2349" s="13">
        <v>-118.55</v>
      </c>
      <c r="J2349">
        <v>6.48</v>
      </c>
      <c r="K2349">
        <v>7.03</v>
      </c>
      <c r="L2349" t="s">
        <v>195</v>
      </c>
      <c r="M2349" t="s">
        <v>394</v>
      </c>
      <c r="N2349" s="5" t="s">
        <v>105</v>
      </c>
      <c r="O2349" t="s">
        <v>28</v>
      </c>
      <c r="P2349" t="s">
        <v>21</v>
      </c>
      <c r="Q2349" t="s">
        <v>37</v>
      </c>
      <c r="R2349">
        <v>0.37</v>
      </c>
      <c r="S2349" s="1">
        <v>40665</v>
      </c>
      <c r="T2349" t="str">
        <f t="shared" si="73"/>
        <v>02-May-2011</v>
      </c>
    </row>
    <row r="2350" spans="1:20" x14ac:dyDescent="0.3">
      <c r="A2350">
        <v>19457</v>
      </c>
      <c r="B2350" s="1">
        <v>40006</v>
      </c>
      <c r="C2350" t="s">
        <v>23</v>
      </c>
      <c r="D2350" t="str">
        <f t="shared" si="72"/>
        <v>12-Jul-2009</v>
      </c>
      <c r="E2350">
        <v>34</v>
      </c>
      <c r="F2350" s="13">
        <v>203.49</v>
      </c>
      <c r="G2350">
        <v>0.05</v>
      </c>
      <c r="H2350" t="s">
        <v>19</v>
      </c>
      <c r="I2350" s="13">
        <v>90.35</v>
      </c>
      <c r="J2350">
        <v>6.3</v>
      </c>
      <c r="K2350">
        <v>0.5</v>
      </c>
      <c r="L2350" t="s">
        <v>405</v>
      </c>
      <c r="M2350" t="s">
        <v>394</v>
      </c>
      <c r="N2350" s="5" t="s">
        <v>105</v>
      </c>
      <c r="O2350" t="s">
        <v>28</v>
      </c>
      <c r="P2350" t="s">
        <v>21</v>
      </c>
      <c r="Q2350" t="s">
        <v>48</v>
      </c>
      <c r="R2350">
        <v>0.39</v>
      </c>
      <c r="S2350" s="1">
        <v>40007</v>
      </c>
      <c r="T2350" t="str">
        <f t="shared" si="73"/>
        <v>13-Jul-2009</v>
      </c>
    </row>
    <row r="2351" spans="1:20" x14ac:dyDescent="0.3">
      <c r="A2351">
        <v>6304</v>
      </c>
      <c r="B2351" s="1">
        <v>40766</v>
      </c>
      <c r="C2351" t="s">
        <v>23</v>
      </c>
      <c r="D2351" t="str">
        <f t="shared" si="72"/>
        <v>11-Aug-2011</v>
      </c>
      <c r="E2351">
        <v>30</v>
      </c>
      <c r="F2351" s="13">
        <v>199.11</v>
      </c>
      <c r="G2351">
        <v>0.01</v>
      </c>
      <c r="H2351" t="s">
        <v>19</v>
      </c>
      <c r="I2351" s="13">
        <v>-83.33</v>
      </c>
      <c r="J2351">
        <v>6.48</v>
      </c>
      <c r="K2351">
        <v>6.65</v>
      </c>
      <c r="L2351" t="s">
        <v>402</v>
      </c>
      <c r="M2351" t="s">
        <v>394</v>
      </c>
      <c r="N2351" s="5" t="s">
        <v>105</v>
      </c>
      <c r="O2351" t="s">
        <v>28</v>
      </c>
      <c r="P2351" t="s">
        <v>21</v>
      </c>
      <c r="Q2351" t="s">
        <v>37</v>
      </c>
      <c r="R2351">
        <v>0.36</v>
      </c>
      <c r="S2351" s="1">
        <v>40768</v>
      </c>
      <c r="T2351" t="str">
        <f t="shared" si="73"/>
        <v>13-Aug-2011</v>
      </c>
    </row>
    <row r="2352" spans="1:20" x14ac:dyDescent="0.3">
      <c r="A2352">
        <v>54949</v>
      </c>
      <c r="B2352" s="1">
        <v>40035</v>
      </c>
      <c r="C2352" t="s">
        <v>18</v>
      </c>
      <c r="D2352" t="str">
        <f t="shared" si="72"/>
        <v>10-Aug-2009</v>
      </c>
      <c r="E2352">
        <v>7</v>
      </c>
      <c r="F2352" s="13">
        <v>192.02</v>
      </c>
      <c r="G2352">
        <v>0.09</v>
      </c>
      <c r="H2352" t="s">
        <v>24</v>
      </c>
      <c r="I2352" s="13">
        <v>-293.74</v>
      </c>
      <c r="J2352">
        <v>20.98</v>
      </c>
      <c r="K2352">
        <v>53.03</v>
      </c>
      <c r="L2352" t="s">
        <v>397</v>
      </c>
      <c r="M2352" t="s">
        <v>394</v>
      </c>
      <c r="N2352" s="5" t="s">
        <v>105</v>
      </c>
      <c r="O2352" t="s">
        <v>28</v>
      </c>
      <c r="P2352" t="s">
        <v>21</v>
      </c>
      <c r="Q2352" t="s">
        <v>22</v>
      </c>
      <c r="R2352">
        <v>0.78</v>
      </c>
      <c r="S2352" s="1">
        <v>40042</v>
      </c>
      <c r="T2352" t="str">
        <f t="shared" si="73"/>
        <v>17-Aug-2009</v>
      </c>
    </row>
    <row r="2353" spans="1:20" x14ac:dyDescent="0.3">
      <c r="A2353">
        <v>5347</v>
      </c>
      <c r="B2353" s="1">
        <v>40595</v>
      </c>
      <c r="C2353" t="s">
        <v>38</v>
      </c>
      <c r="D2353" t="str">
        <f t="shared" si="72"/>
        <v>21-Feb-2011</v>
      </c>
      <c r="E2353">
        <v>1</v>
      </c>
      <c r="F2353" s="13">
        <v>187.20400000000001</v>
      </c>
      <c r="G2353">
        <v>0.01</v>
      </c>
      <c r="H2353" t="s">
        <v>19</v>
      </c>
      <c r="I2353" s="13">
        <v>-796.76</v>
      </c>
      <c r="J2353">
        <v>205.99</v>
      </c>
      <c r="K2353">
        <v>5.26</v>
      </c>
      <c r="L2353" t="s">
        <v>115</v>
      </c>
      <c r="M2353" t="s">
        <v>394</v>
      </c>
      <c r="N2353" s="5" t="s">
        <v>105</v>
      </c>
      <c r="O2353" t="s">
        <v>28</v>
      </c>
      <c r="P2353" t="s">
        <v>29</v>
      </c>
      <c r="Q2353" t="s">
        <v>30</v>
      </c>
      <c r="R2353">
        <v>0.56000000000000005</v>
      </c>
      <c r="S2353" s="1">
        <v>40596</v>
      </c>
      <c r="T2353" t="str">
        <f t="shared" si="73"/>
        <v>22-Feb-2011</v>
      </c>
    </row>
    <row r="2354" spans="1:20" x14ac:dyDescent="0.3">
      <c r="A2354">
        <v>8165</v>
      </c>
      <c r="B2354" s="1">
        <v>40101</v>
      </c>
      <c r="C2354" t="s">
        <v>18</v>
      </c>
      <c r="D2354" t="str">
        <f t="shared" si="72"/>
        <v>15-Oct-2009</v>
      </c>
      <c r="E2354">
        <v>35</v>
      </c>
      <c r="F2354" s="13">
        <v>183.45</v>
      </c>
      <c r="G2354">
        <v>0.01</v>
      </c>
      <c r="H2354" t="s">
        <v>19</v>
      </c>
      <c r="I2354" s="13">
        <v>-149.66</v>
      </c>
      <c r="J2354">
        <v>4.9800000000000004</v>
      </c>
      <c r="K2354">
        <v>7.44</v>
      </c>
      <c r="L2354" t="s">
        <v>170</v>
      </c>
      <c r="M2354" t="s">
        <v>394</v>
      </c>
      <c r="N2354" s="5" t="s">
        <v>105</v>
      </c>
      <c r="O2354" t="s">
        <v>28</v>
      </c>
      <c r="P2354" t="s">
        <v>21</v>
      </c>
      <c r="Q2354" t="s">
        <v>37</v>
      </c>
      <c r="R2354">
        <v>0.36</v>
      </c>
      <c r="S2354" s="1">
        <v>40110</v>
      </c>
      <c r="T2354" t="str">
        <f t="shared" si="73"/>
        <v>24-Oct-2009</v>
      </c>
    </row>
    <row r="2355" spans="1:20" x14ac:dyDescent="0.3">
      <c r="A2355">
        <v>4389</v>
      </c>
      <c r="B2355" s="1">
        <v>39937</v>
      </c>
      <c r="C2355" t="s">
        <v>38</v>
      </c>
      <c r="D2355" t="str">
        <f t="shared" si="72"/>
        <v>04-May-2009</v>
      </c>
      <c r="E2355">
        <v>35</v>
      </c>
      <c r="F2355" s="13">
        <v>179.45</v>
      </c>
      <c r="G2355">
        <v>7.0000000000000007E-2</v>
      </c>
      <c r="H2355" t="s">
        <v>19</v>
      </c>
      <c r="I2355" s="13">
        <v>-116.35</v>
      </c>
      <c r="J2355">
        <v>5.34</v>
      </c>
      <c r="K2355">
        <v>5.63</v>
      </c>
      <c r="L2355" t="s">
        <v>382</v>
      </c>
      <c r="M2355" t="s">
        <v>394</v>
      </c>
      <c r="N2355" s="5" t="s">
        <v>105</v>
      </c>
      <c r="O2355" t="s">
        <v>28</v>
      </c>
      <c r="P2355" t="s">
        <v>21</v>
      </c>
      <c r="Q2355" t="s">
        <v>26</v>
      </c>
      <c r="R2355">
        <v>0.39</v>
      </c>
      <c r="S2355" s="1">
        <v>39939</v>
      </c>
      <c r="T2355" t="str">
        <f t="shared" si="73"/>
        <v>06-May-2009</v>
      </c>
    </row>
    <row r="2356" spans="1:20" x14ac:dyDescent="0.3">
      <c r="A2356">
        <v>42945</v>
      </c>
      <c r="B2356" s="1">
        <v>41272</v>
      </c>
      <c r="C2356" t="s">
        <v>31</v>
      </c>
      <c r="D2356" t="str">
        <f t="shared" si="72"/>
        <v>29-Dec-2012</v>
      </c>
      <c r="E2356">
        <v>45</v>
      </c>
      <c r="F2356" s="13">
        <v>178.7</v>
      </c>
      <c r="G2356">
        <v>7.0000000000000007E-2</v>
      </c>
      <c r="H2356" t="s">
        <v>19</v>
      </c>
      <c r="I2356" s="13">
        <v>-164.92</v>
      </c>
      <c r="J2356">
        <v>3.95</v>
      </c>
      <c r="K2356">
        <v>5.13</v>
      </c>
      <c r="L2356" t="s">
        <v>315</v>
      </c>
      <c r="M2356" t="s">
        <v>394</v>
      </c>
      <c r="N2356" s="5" t="s">
        <v>105</v>
      </c>
      <c r="O2356" t="s">
        <v>28</v>
      </c>
      <c r="P2356" t="s">
        <v>21</v>
      </c>
      <c r="Q2356" t="s">
        <v>25</v>
      </c>
      <c r="R2356">
        <v>0.59</v>
      </c>
      <c r="S2356" s="1">
        <v>41272</v>
      </c>
      <c r="T2356" t="str">
        <f t="shared" si="73"/>
        <v>29-Dec-2012</v>
      </c>
    </row>
    <row r="2357" spans="1:20" x14ac:dyDescent="0.3">
      <c r="A2357">
        <v>47778</v>
      </c>
      <c r="B2357" s="1">
        <v>40223</v>
      </c>
      <c r="C2357" t="s">
        <v>43</v>
      </c>
      <c r="D2357" t="str">
        <f t="shared" si="72"/>
        <v>14-Feb-2010</v>
      </c>
      <c r="E2357">
        <v>12</v>
      </c>
      <c r="F2357" s="13">
        <v>174.11</v>
      </c>
      <c r="G2357">
        <v>0.06</v>
      </c>
      <c r="H2357" t="s">
        <v>19</v>
      </c>
      <c r="I2357" s="13">
        <v>-24.52</v>
      </c>
      <c r="J2357">
        <v>13.73</v>
      </c>
      <c r="K2357">
        <v>6.85</v>
      </c>
      <c r="L2357" t="s">
        <v>406</v>
      </c>
      <c r="M2357" t="s">
        <v>394</v>
      </c>
      <c r="N2357" s="5" t="s">
        <v>105</v>
      </c>
      <c r="O2357" t="s">
        <v>28</v>
      </c>
      <c r="P2357" t="s">
        <v>32</v>
      </c>
      <c r="Q2357" t="s">
        <v>33</v>
      </c>
      <c r="R2357">
        <v>0.54</v>
      </c>
      <c r="S2357" s="1">
        <v>40225</v>
      </c>
      <c r="T2357" t="str">
        <f t="shared" si="73"/>
        <v>16-Feb-2010</v>
      </c>
    </row>
    <row r="2358" spans="1:20" x14ac:dyDescent="0.3">
      <c r="A2358">
        <v>16805</v>
      </c>
      <c r="B2358" s="1">
        <v>40907</v>
      </c>
      <c r="C2358" t="s">
        <v>18</v>
      </c>
      <c r="D2358" t="str">
        <f t="shared" si="72"/>
        <v>30-Dec-2011</v>
      </c>
      <c r="E2358">
        <v>26</v>
      </c>
      <c r="F2358" s="13">
        <v>172.33</v>
      </c>
      <c r="G2358">
        <v>0.04</v>
      </c>
      <c r="H2358" t="s">
        <v>19</v>
      </c>
      <c r="I2358" s="13">
        <v>-52.21</v>
      </c>
      <c r="J2358">
        <v>6.48</v>
      </c>
      <c r="K2358">
        <v>5.74</v>
      </c>
      <c r="L2358" t="s">
        <v>405</v>
      </c>
      <c r="M2358" t="s">
        <v>394</v>
      </c>
      <c r="N2358" s="5" t="s">
        <v>105</v>
      </c>
      <c r="O2358" t="s">
        <v>28</v>
      </c>
      <c r="P2358" t="s">
        <v>21</v>
      </c>
      <c r="Q2358" t="s">
        <v>37</v>
      </c>
      <c r="R2358">
        <v>0.37</v>
      </c>
      <c r="S2358" s="1">
        <v>40909</v>
      </c>
      <c r="T2358" t="str">
        <f t="shared" si="73"/>
        <v>01-Jan-2012</v>
      </c>
    </row>
    <row r="2359" spans="1:20" x14ac:dyDescent="0.3">
      <c r="A2359">
        <v>2503</v>
      </c>
      <c r="B2359" s="1">
        <v>40348</v>
      </c>
      <c r="C2359" t="s">
        <v>38</v>
      </c>
      <c r="D2359" t="str">
        <f t="shared" si="72"/>
        <v>19-Jun-2010</v>
      </c>
      <c r="E2359">
        <v>46</v>
      </c>
      <c r="F2359" s="13">
        <v>171.48</v>
      </c>
      <c r="G2359">
        <v>0.1</v>
      </c>
      <c r="H2359" t="s">
        <v>19</v>
      </c>
      <c r="I2359" s="13">
        <v>66.13</v>
      </c>
      <c r="J2359">
        <v>4.13</v>
      </c>
      <c r="K2359">
        <v>0.5</v>
      </c>
      <c r="L2359" t="s">
        <v>215</v>
      </c>
      <c r="M2359" t="s">
        <v>394</v>
      </c>
      <c r="N2359" s="5" t="s">
        <v>105</v>
      </c>
      <c r="O2359" t="s">
        <v>28</v>
      </c>
      <c r="P2359" t="s">
        <v>21</v>
      </c>
      <c r="Q2359" t="s">
        <v>48</v>
      </c>
      <c r="R2359">
        <v>0.39</v>
      </c>
      <c r="S2359" s="1">
        <v>40349</v>
      </c>
      <c r="T2359" t="str">
        <f t="shared" si="73"/>
        <v>20-Jun-2010</v>
      </c>
    </row>
    <row r="2360" spans="1:20" x14ac:dyDescent="0.3">
      <c r="A2360">
        <v>39585</v>
      </c>
      <c r="B2360" s="1">
        <v>40906</v>
      </c>
      <c r="C2360" t="s">
        <v>31</v>
      </c>
      <c r="D2360" t="str">
        <f t="shared" si="72"/>
        <v>29-Dec-2011</v>
      </c>
      <c r="E2360">
        <v>32</v>
      </c>
      <c r="F2360" s="13">
        <v>166.17</v>
      </c>
      <c r="G2360">
        <v>0.01</v>
      </c>
      <c r="H2360" t="s">
        <v>19</v>
      </c>
      <c r="I2360" s="13">
        <v>-22.74</v>
      </c>
      <c r="J2360">
        <v>5.08</v>
      </c>
      <c r="K2360">
        <v>3.63</v>
      </c>
      <c r="L2360" t="s">
        <v>275</v>
      </c>
      <c r="M2360" t="s">
        <v>394</v>
      </c>
      <c r="N2360" s="5" t="s">
        <v>105</v>
      </c>
      <c r="O2360" t="s">
        <v>28</v>
      </c>
      <c r="P2360" t="s">
        <v>32</v>
      </c>
      <c r="Q2360" t="s">
        <v>33</v>
      </c>
      <c r="R2360">
        <v>0.51</v>
      </c>
      <c r="S2360" s="1">
        <v>40907</v>
      </c>
      <c r="T2360" t="str">
        <f t="shared" si="73"/>
        <v>30-Dec-2011</v>
      </c>
    </row>
    <row r="2361" spans="1:20" x14ac:dyDescent="0.3">
      <c r="A2361">
        <v>59329</v>
      </c>
      <c r="B2361" s="1">
        <v>41247</v>
      </c>
      <c r="C2361" t="s">
        <v>43</v>
      </c>
      <c r="D2361" t="str">
        <f t="shared" si="72"/>
        <v>04-Dec-2012</v>
      </c>
      <c r="E2361">
        <v>25</v>
      </c>
      <c r="F2361" s="13">
        <v>165.62</v>
      </c>
      <c r="G2361">
        <v>0.03</v>
      </c>
      <c r="H2361" t="s">
        <v>19</v>
      </c>
      <c r="I2361" s="13">
        <v>-64.72</v>
      </c>
      <c r="J2361">
        <v>6.24</v>
      </c>
      <c r="K2361">
        <v>5.22</v>
      </c>
      <c r="L2361" t="s">
        <v>208</v>
      </c>
      <c r="M2361" t="s">
        <v>394</v>
      </c>
      <c r="N2361" s="5" t="s">
        <v>105</v>
      </c>
      <c r="O2361" t="s">
        <v>28</v>
      </c>
      <c r="P2361" t="s">
        <v>32</v>
      </c>
      <c r="Q2361" t="s">
        <v>33</v>
      </c>
      <c r="R2361">
        <v>0.6</v>
      </c>
      <c r="S2361" s="1">
        <v>41247</v>
      </c>
      <c r="T2361" t="str">
        <f t="shared" si="73"/>
        <v>04-Dec-2012</v>
      </c>
    </row>
    <row r="2362" spans="1:20" x14ac:dyDescent="0.3">
      <c r="A2362">
        <v>9476</v>
      </c>
      <c r="B2362" s="1">
        <v>39958</v>
      </c>
      <c r="C2362" t="s">
        <v>31</v>
      </c>
      <c r="D2362" t="str">
        <f t="shared" si="72"/>
        <v>25-May-2009</v>
      </c>
      <c r="E2362">
        <v>10</v>
      </c>
      <c r="F2362" s="13">
        <v>165.04</v>
      </c>
      <c r="G2362">
        <v>0.08</v>
      </c>
      <c r="H2362" t="s">
        <v>35</v>
      </c>
      <c r="I2362" s="13">
        <v>-66.59</v>
      </c>
      <c r="J2362">
        <v>15.99</v>
      </c>
      <c r="K2362">
        <v>13.18</v>
      </c>
      <c r="L2362" t="s">
        <v>412</v>
      </c>
      <c r="M2362" t="s">
        <v>394</v>
      </c>
      <c r="N2362" s="5" t="s">
        <v>105</v>
      </c>
      <c r="O2362" t="s">
        <v>28</v>
      </c>
      <c r="P2362" t="s">
        <v>21</v>
      </c>
      <c r="Q2362" t="s">
        <v>26</v>
      </c>
      <c r="R2362">
        <v>0.37</v>
      </c>
      <c r="S2362" s="1">
        <v>39960</v>
      </c>
      <c r="T2362" t="str">
        <f t="shared" si="73"/>
        <v>27-May-2009</v>
      </c>
    </row>
    <row r="2363" spans="1:20" x14ac:dyDescent="0.3">
      <c r="A2363">
        <v>36262</v>
      </c>
      <c r="B2363" s="1">
        <v>40386</v>
      </c>
      <c r="C2363" t="s">
        <v>31</v>
      </c>
      <c r="D2363" t="str">
        <f t="shared" si="72"/>
        <v>27-Jul-2010</v>
      </c>
      <c r="E2363">
        <v>23</v>
      </c>
      <c r="F2363" s="13">
        <v>164.02</v>
      </c>
      <c r="G2363">
        <v>0.03</v>
      </c>
      <c r="H2363" t="s">
        <v>35</v>
      </c>
      <c r="I2363" s="13">
        <v>-47.64</v>
      </c>
      <c r="J2363">
        <v>6.68</v>
      </c>
      <c r="K2363">
        <v>6.15</v>
      </c>
      <c r="L2363" t="s">
        <v>60</v>
      </c>
      <c r="M2363" t="s">
        <v>394</v>
      </c>
      <c r="N2363" s="5" t="s">
        <v>105</v>
      </c>
      <c r="O2363" t="s">
        <v>28</v>
      </c>
      <c r="P2363" t="s">
        <v>21</v>
      </c>
      <c r="Q2363" t="s">
        <v>37</v>
      </c>
      <c r="R2363">
        <v>0.37</v>
      </c>
      <c r="S2363" s="1">
        <v>40387</v>
      </c>
      <c r="T2363" t="str">
        <f t="shared" si="73"/>
        <v>28-Jul-2010</v>
      </c>
    </row>
    <row r="2364" spans="1:20" x14ac:dyDescent="0.3">
      <c r="A2364">
        <v>2503</v>
      </c>
      <c r="B2364" s="1">
        <v>40348</v>
      </c>
      <c r="C2364" t="s">
        <v>38</v>
      </c>
      <c r="D2364" t="str">
        <f t="shared" si="72"/>
        <v>19-Jun-2010</v>
      </c>
      <c r="E2364">
        <v>9</v>
      </c>
      <c r="F2364" s="13">
        <v>162.15450000000001</v>
      </c>
      <c r="G2364">
        <v>0.08</v>
      </c>
      <c r="H2364" t="s">
        <v>19</v>
      </c>
      <c r="I2364" s="13">
        <v>-73.739999999999995</v>
      </c>
      <c r="J2364">
        <v>20.99</v>
      </c>
      <c r="K2364">
        <v>4.8099999999999996</v>
      </c>
      <c r="L2364" t="s">
        <v>215</v>
      </c>
      <c r="M2364" t="s">
        <v>394</v>
      </c>
      <c r="N2364" s="5" t="s">
        <v>105</v>
      </c>
      <c r="O2364" t="s">
        <v>28</v>
      </c>
      <c r="P2364" t="s">
        <v>29</v>
      </c>
      <c r="Q2364" t="s">
        <v>30</v>
      </c>
      <c r="R2364">
        <v>0.57999999999999996</v>
      </c>
      <c r="S2364" s="1">
        <v>40350</v>
      </c>
      <c r="T2364" t="str">
        <f t="shared" si="73"/>
        <v>21-Jun-2010</v>
      </c>
    </row>
    <row r="2365" spans="1:20" x14ac:dyDescent="0.3">
      <c r="A2365">
        <v>54084</v>
      </c>
      <c r="B2365" s="1">
        <v>40796</v>
      </c>
      <c r="C2365" t="s">
        <v>43</v>
      </c>
      <c r="D2365" t="str">
        <f t="shared" si="72"/>
        <v>10-Sep-2011</v>
      </c>
      <c r="E2365">
        <v>3</v>
      </c>
      <c r="F2365" s="13">
        <v>160.52000000000001</v>
      </c>
      <c r="G2365">
        <v>0.08</v>
      </c>
      <c r="H2365" t="s">
        <v>24</v>
      </c>
      <c r="I2365" s="13">
        <v>-69.66</v>
      </c>
      <c r="J2365">
        <v>50.98</v>
      </c>
      <c r="K2365">
        <v>14.19</v>
      </c>
      <c r="L2365" t="s">
        <v>393</v>
      </c>
      <c r="M2365" t="s">
        <v>394</v>
      </c>
      <c r="N2365" s="5" t="s">
        <v>105</v>
      </c>
      <c r="O2365" t="s">
        <v>28</v>
      </c>
      <c r="P2365" t="s">
        <v>32</v>
      </c>
      <c r="Q2365" t="s">
        <v>56</v>
      </c>
      <c r="R2365">
        <v>0.56000000000000005</v>
      </c>
      <c r="S2365" s="1">
        <v>40798</v>
      </c>
      <c r="T2365" t="str">
        <f t="shared" si="73"/>
        <v>12-Sep-2011</v>
      </c>
    </row>
    <row r="2366" spans="1:20" x14ac:dyDescent="0.3">
      <c r="A2366">
        <v>32</v>
      </c>
      <c r="B2366" s="1">
        <v>40739</v>
      </c>
      <c r="C2366" t="s">
        <v>23</v>
      </c>
      <c r="D2366" t="str">
        <f t="shared" si="72"/>
        <v>15-Jul-2011</v>
      </c>
      <c r="E2366">
        <v>23</v>
      </c>
      <c r="F2366" s="13">
        <v>160.23349999999999</v>
      </c>
      <c r="G2366">
        <v>0.04</v>
      </c>
      <c r="H2366" t="s">
        <v>19</v>
      </c>
      <c r="I2366" s="13">
        <v>-85.13</v>
      </c>
      <c r="J2366">
        <v>7.99</v>
      </c>
      <c r="K2366">
        <v>5.03</v>
      </c>
      <c r="L2366" t="s">
        <v>355</v>
      </c>
      <c r="M2366" t="s">
        <v>394</v>
      </c>
      <c r="N2366" s="5" t="s">
        <v>105</v>
      </c>
      <c r="O2366" t="s">
        <v>28</v>
      </c>
      <c r="P2366" t="s">
        <v>29</v>
      </c>
      <c r="Q2366" t="s">
        <v>30</v>
      </c>
      <c r="R2366">
        <v>0.6</v>
      </c>
      <c r="S2366" s="1">
        <v>40741</v>
      </c>
      <c r="T2366" t="str">
        <f t="shared" si="73"/>
        <v>17-Jul-2011</v>
      </c>
    </row>
    <row r="2367" spans="1:20" x14ac:dyDescent="0.3">
      <c r="A2367">
        <v>40006</v>
      </c>
      <c r="B2367" s="1">
        <v>39979</v>
      </c>
      <c r="C2367" t="s">
        <v>31</v>
      </c>
      <c r="D2367" t="str">
        <f t="shared" si="72"/>
        <v>15-Jun-2009</v>
      </c>
      <c r="E2367">
        <v>35</v>
      </c>
      <c r="F2367" s="13">
        <v>157.99</v>
      </c>
      <c r="G2367">
        <v>0.03</v>
      </c>
      <c r="H2367" t="s">
        <v>19</v>
      </c>
      <c r="I2367" s="13">
        <v>-105.55</v>
      </c>
      <c r="J2367">
        <v>4.24</v>
      </c>
      <c r="K2367">
        <v>5.41</v>
      </c>
      <c r="L2367" t="s">
        <v>402</v>
      </c>
      <c r="M2367" t="s">
        <v>394</v>
      </c>
      <c r="N2367" s="5" t="s">
        <v>105</v>
      </c>
      <c r="O2367" t="s">
        <v>28</v>
      </c>
      <c r="P2367" t="s">
        <v>21</v>
      </c>
      <c r="Q2367" t="s">
        <v>26</v>
      </c>
      <c r="R2367">
        <v>0.35</v>
      </c>
      <c r="S2367" s="1">
        <v>39981</v>
      </c>
      <c r="T2367" t="str">
        <f t="shared" si="73"/>
        <v>17-Jun-2009</v>
      </c>
    </row>
    <row r="2368" spans="1:20" x14ac:dyDescent="0.3">
      <c r="A2368">
        <v>19140</v>
      </c>
      <c r="B2368" s="1">
        <v>40086</v>
      </c>
      <c r="C2368" t="s">
        <v>38</v>
      </c>
      <c r="D2368" t="str">
        <f t="shared" si="72"/>
        <v>30-Sep-2009</v>
      </c>
      <c r="E2368">
        <v>50</v>
      </c>
      <c r="F2368" s="13">
        <v>155.54</v>
      </c>
      <c r="G2368">
        <v>0.09</v>
      </c>
      <c r="H2368" t="s">
        <v>19</v>
      </c>
      <c r="I2368" s="13">
        <v>15.66</v>
      </c>
      <c r="J2368">
        <v>3.29</v>
      </c>
      <c r="K2368">
        <v>1.35</v>
      </c>
      <c r="L2368" t="s">
        <v>410</v>
      </c>
      <c r="M2368" t="s">
        <v>394</v>
      </c>
      <c r="N2368" s="5" t="s">
        <v>105</v>
      </c>
      <c r="O2368" t="s">
        <v>28</v>
      </c>
      <c r="P2368" t="s">
        <v>21</v>
      </c>
      <c r="Q2368" t="s">
        <v>39</v>
      </c>
      <c r="R2368">
        <v>0.4</v>
      </c>
      <c r="S2368" s="1">
        <v>40087</v>
      </c>
      <c r="T2368" t="str">
        <f t="shared" si="73"/>
        <v>01-Oct-2009</v>
      </c>
    </row>
    <row r="2369" spans="1:20" x14ac:dyDescent="0.3">
      <c r="A2369">
        <v>4672</v>
      </c>
      <c r="B2369" s="1">
        <v>40853</v>
      </c>
      <c r="C2369" t="s">
        <v>43</v>
      </c>
      <c r="D2369" t="str">
        <f t="shared" si="72"/>
        <v>06-Nov-2011</v>
      </c>
      <c r="E2369">
        <v>20</v>
      </c>
      <c r="F2369" s="13">
        <v>152.44</v>
      </c>
      <c r="G2369">
        <v>0.08</v>
      </c>
      <c r="H2369" t="s">
        <v>19</v>
      </c>
      <c r="I2369" s="13">
        <v>-16.64</v>
      </c>
      <c r="J2369">
        <v>7.7</v>
      </c>
      <c r="K2369">
        <v>3.68</v>
      </c>
      <c r="L2369" t="s">
        <v>414</v>
      </c>
      <c r="M2369" t="s">
        <v>394</v>
      </c>
      <c r="N2369" s="5" t="s">
        <v>105</v>
      </c>
      <c r="O2369" t="s">
        <v>28</v>
      </c>
      <c r="P2369" t="s">
        <v>32</v>
      </c>
      <c r="Q2369" t="s">
        <v>33</v>
      </c>
      <c r="R2369">
        <v>0.52</v>
      </c>
      <c r="S2369" s="1">
        <v>40854</v>
      </c>
      <c r="T2369" t="str">
        <f t="shared" si="73"/>
        <v>07-Nov-2011</v>
      </c>
    </row>
    <row r="2370" spans="1:20" x14ac:dyDescent="0.3">
      <c r="A2370">
        <v>35046</v>
      </c>
      <c r="B2370" s="1">
        <v>40383</v>
      </c>
      <c r="C2370" t="s">
        <v>38</v>
      </c>
      <c r="D2370" t="str">
        <f t="shared" ref="D2370:D2433" si="74">TEXT(B2370, "dd-mmm-yyyy" )</f>
        <v>24-Jul-2010</v>
      </c>
      <c r="E2370">
        <v>21</v>
      </c>
      <c r="F2370" s="13">
        <v>151.86000000000001</v>
      </c>
      <c r="G2370">
        <v>0.1</v>
      </c>
      <c r="H2370" t="s">
        <v>35</v>
      </c>
      <c r="I2370" s="13">
        <v>-54.67</v>
      </c>
      <c r="J2370">
        <v>7.1</v>
      </c>
      <c r="K2370">
        <v>6.05</v>
      </c>
      <c r="L2370" t="s">
        <v>170</v>
      </c>
      <c r="M2370" t="s">
        <v>394</v>
      </c>
      <c r="N2370" s="5" t="s">
        <v>105</v>
      </c>
      <c r="O2370" t="s">
        <v>28</v>
      </c>
      <c r="P2370" t="s">
        <v>21</v>
      </c>
      <c r="Q2370" t="s">
        <v>26</v>
      </c>
      <c r="R2370">
        <v>0.39</v>
      </c>
      <c r="S2370" s="1">
        <v>40383</v>
      </c>
      <c r="T2370" t="str">
        <f t="shared" ref="T2370:T2433" si="75">TEXT(S2370, "dd-mmm-yyyy")</f>
        <v>24-Jul-2010</v>
      </c>
    </row>
    <row r="2371" spans="1:20" x14ac:dyDescent="0.3">
      <c r="A2371">
        <v>37218</v>
      </c>
      <c r="B2371" s="1">
        <v>40531</v>
      </c>
      <c r="C2371" t="s">
        <v>23</v>
      </c>
      <c r="D2371" t="str">
        <f t="shared" si="74"/>
        <v>19-Dec-2010</v>
      </c>
      <c r="E2371">
        <v>23</v>
      </c>
      <c r="F2371" s="13">
        <v>147.05000000000001</v>
      </c>
      <c r="G2371">
        <v>0.08</v>
      </c>
      <c r="H2371" t="s">
        <v>19</v>
      </c>
      <c r="I2371" s="13">
        <v>-54.91</v>
      </c>
      <c r="J2371">
        <v>6.48</v>
      </c>
      <c r="K2371">
        <v>5.82</v>
      </c>
      <c r="L2371" t="s">
        <v>406</v>
      </c>
      <c r="M2371" t="s">
        <v>394</v>
      </c>
      <c r="N2371" s="5" t="s">
        <v>105</v>
      </c>
      <c r="O2371" t="s">
        <v>28</v>
      </c>
      <c r="P2371" t="s">
        <v>21</v>
      </c>
      <c r="Q2371" t="s">
        <v>37</v>
      </c>
      <c r="R2371">
        <v>0.37</v>
      </c>
      <c r="S2371" s="1">
        <v>40532</v>
      </c>
      <c r="T2371" t="str">
        <f t="shared" si="75"/>
        <v>20-Dec-2010</v>
      </c>
    </row>
    <row r="2372" spans="1:20" x14ac:dyDescent="0.3">
      <c r="A2372">
        <v>30913</v>
      </c>
      <c r="B2372" s="1">
        <v>41174</v>
      </c>
      <c r="C2372" t="s">
        <v>38</v>
      </c>
      <c r="D2372" t="str">
        <f t="shared" si="74"/>
        <v>22-Sep-2012</v>
      </c>
      <c r="E2372">
        <v>23</v>
      </c>
      <c r="F2372" s="13">
        <v>143.1</v>
      </c>
      <c r="G2372">
        <v>0.01</v>
      </c>
      <c r="H2372" t="s">
        <v>19</v>
      </c>
      <c r="I2372" s="13">
        <v>36.75</v>
      </c>
      <c r="J2372">
        <v>5.98</v>
      </c>
      <c r="K2372">
        <v>1.49</v>
      </c>
      <c r="L2372" t="s">
        <v>413</v>
      </c>
      <c r="M2372" t="s">
        <v>394</v>
      </c>
      <c r="N2372" s="5" t="s">
        <v>105</v>
      </c>
      <c r="O2372" t="s">
        <v>28</v>
      </c>
      <c r="P2372" t="s">
        <v>21</v>
      </c>
      <c r="Q2372" t="s">
        <v>26</v>
      </c>
      <c r="R2372">
        <v>0.39</v>
      </c>
      <c r="S2372" s="1">
        <v>41175</v>
      </c>
      <c r="T2372" t="str">
        <f t="shared" si="75"/>
        <v>23-Sep-2012</v>
      </c>
    </row>
    <row r="2373" spans="1:20" x14ac:dyDescent="0.3">
      <c r="A2373">
        <v>40006</v>
      </c>
      <c r="B2373" s="1">
        <v>39979</v>
      </c>
      <c r="C2373" t="s">
        <v>31</v>
      </c>
      <c r="D2373" t="str">
        <f t="shared" si="74"/>
        <v>15-Jun-2009</v>
      </c>
      <c r="E2373">
        <v>48</v>
      </c>
      <c r="F2373" s="13">
        <v>141.59</v>
      </c>
      <c r="G2373">
        <v>0.04</v>
      </c>
      <c r="H2373" t="s">
        <v>19</v>
      </c>
      <c r="I2373" s="13">
        <v>20.260000000000002</v>
      </c>
      <c r="J2373">
        <v>2.94</v>
      </c>
      <c r="K2373">
        <v>0.7</v>
      </c>
      <c r="L2373" t="s">
        <v>402</v>
      </c>
      <c r="M2373" t="s">
        <v>394</v>
      </c>
      <c r="N2373" s="5" t="s">
        <v>105</v>
      </c>
      <c r="O2373" t="s">
        <v>28</v>
      </c>
      <c r="P2373" t="s">
        <v>21</v>
      </c>
      <c r="Q2373" t="s">
        <v>50</v>
      </c>
      <c r="R2373">
        <v>0.57999999999999996</v>
      </c>
      <c r="S2373" s="1">
        <v>39980</v>
      </c>
      <c r="T2373" t="str">
        <f t="shared" si="75"/>
        <v>16-Jun-2009</v>
      </c>
    </row>
    <row r="2374" spans="1:20" x14ac:dyDescent="0.3">
      <c r="A2374">
        <v>29317</v>
      </c>
      <c r="B2374" s="1">
        <v>40818</v>
      </c>
      <c r="C2374" t="s">
        <v>31</v>
      </c>
      <c r="D2374" t="str">
        <f t="shared" si="74"/>
        <v>02-Oct-2011</v>
      </c>
      <c r="E2374">
        <v>31</v>
      </c>
      <c r="F2374" s="13">
        <v>140.69</v>
      </c>
      <c r="G2374">
        <v>0.06</v>
      </c>
      <c r="H2374" t="s">
        <v>19</v>
      </c>
      <c r="I2374" s="13">
        <v>-14.54</v>
      </c>
      <c r="J2374">
        <v>4.71</v>
      </c>
      <c r="K2374">
        <v>0.7</v>
      </c>
      <c r="L2374" t="s">
        <v>401</v>
      </c>
      <c r="M2374" t="s">
        <v>394</v>
      </c>
      <c r="N2374" s="5" t="s">
        <v>105</v>
      </c>
      <c r="O2374" t="s">
        <v>28</v>
      </c>
      <c r="P2374" t="s">
        <v>21</v>
      </c>
      <c r="Q2374" t="s">
        <v>39</v>
      </c>
      <c r="R2374">
        <v>0.85</v>
      </c>
      <c r="S2374" s="1">
        <v>40818</v>
      </c>
      <c r="T2374" t="str">
        <f t="shared" si="75"/>
        <v>02-Oct-2011</v>
      </c>
    </row>
    <row r="2375" spans="1:20" x14ac:dyDescent="0.3">
      <c r="A2375">
        <v>39750</v>
      </c>
      <c r="B2375" s="1">
        <v>39899</v>
      </c>
      <c r="C2375" t="s">
        <v>23</v>
      </c>
      <c r="D2375" t="str">
        <f t="shared" si="74"/>
        <v>27-Mar-2009</v>
      </c>
      <c r="E2375">
        <v>7</v>
      </c>
      <c r="F2375" s="13">
        <v>140.59</v>
      </c>
      <c r="G2375">
        <v>0.01</v>
      </c>
      <c r="H2375" t="s">
        <v>19</v>
      </c>
      <c r="I2375" s="13">
        <v>-35.880000000000003</v>
      </c>
      <c r="J2375">
        <v>17.98</v>
      </c>
      <c r="K2375">
        <v>8.51</v>
      </c>
      <c r="L2375" t="s">
        <v>402</v>
      </c>
      <c r="M2375" t="s">
        <v>394</v>
      </c>
      <c r="N2375" s="5" t="s">
        <v>105</v>
      </c>
      <c r="O2375" t="s">
        <v>28</v>
      </c>
      <c r="P2375" t="s">
        <v>29</v>
      </c>
      <c r="Q2375" t="s">
        <v>74</v>
      </c>
      <c r="R2375">
        <v>0.4</v>
      </c>
      <c r="S2375" s="1">
        <v>39900</v>
      </c>
      <c r="T2375" t="str">
        <f t="shared" si="75"/>
        <v>28-Mar-2009</v>
      </c>
    </row>
    <row r="2376" spans="1:20" x14ac:dyDescent="0.3">
      <c r="A2376">
        <v>12417</v>
      </c>
      <c r="B2376" s="1">
        <v>40475</v>
      </c>
      <c r="C2376" t="s">
        <v>43</v>
      </c>
      <c r="D2376" t="str">
        <f t="shared" si="74"/>
        <v>24-Oct-2010</v>
      </c>
      <c r="E2376">
        <v>19</v>
      </c>
      <c r="F2376" s="13">
        <v>137.84</v>
      </c>
      <c r="G2376">
        <v>0.06</v>
      </c>
      <c r="H2376" t="s">
        <v>19</v>
      </c>
      <c r="I2376" s="13">
        <v>34.31</v>
      </c>
      <c r="J2376">
        <v>7.4</v>
      </c>
      <c r="K2376">
        <v>1.71</v>
      </c>
      <c r="L2376" t="s">
        <v>302</v>
      </c>
      <c r="M2376" t="s">
        <v>394</v>
      </c>
      <c r="N2376" s="5" t="s">
        <v>105</v>
      </c>
      <c r="O2376" t="s">
        <v>28</v>
      </c>
      <c r="P2376" t="s">
        <v>21</v>
      </c>
      <c r="Q2376" t="s">
        <v>37</v>
      </c>
      <c r="R2376">
        <v>0.4</v>
      </c>
      <c r="S2376" s="1">
        <v>40477</v>
      </c>
      <c r="T2376" t="str">
        <f t="shared" si="75"/>
        <v>26-Oct-2010</v>
      </c>
    </row>
    <row r="2377" spans="1:20" x14ac:dyDescent="0.3">
      <c r="A2377">
        <v>36262</v>
      </c>
      <c r="B2377" s="1">
        <v>40386</v>
      </c>
      <c r="C2377" t="s">
        <v>31</v>
      </c>
      <c r="D2377" t="str">
        <f t="shared" si="74"/>
        <v>27-Jul-2010</v>
      </c>
      <c r="E2377">
        <v>23</v>
      </c>
      <c r="F2377" s="13">
        <v>136.81</v>
      </c>
      <c r="G2377">
        <v>0.01</v>
      </c>
      <c r="H2377" t="s">
        <v>19</v>
      </c>
      <c r="I2377" s="13">
        <v>-30.51</v>
      </c>
      <c r="J2377">
        <v>5.68</v>
      </c>
      <c r="K2377">
        <v>3.6</v>
      </c>
      <c r="L2377" t="s">
        <v>60</v>
      </c>
      <c r="M2377" t="s">
        <v>394</v>
      </c>
      <c r="N2377" s="5" t="s">
        <v>105</v>
      </c>
      <c r="O2377" t="s">
        <v>28</v>
      </c>
      <c r="P2377" t="s">
        <v>21</v>
      </c>
      <c r="Q2377" t="s">
        <v>67</v>
      </c>
      <c r="R2377">
        <v>0.56000000000000005</v>
      </c>
      <c r="S2377" s="1">
        <v>40387</v>
      </c>
      <c r="T2377" t="str">
        <f t="shared" si="75"/>
        <v>28-Jul-2010</v>
      </c>
    </row>
    <row r="2378" spans="1:20" x14ac:dyDescent="0.3">
      <c r="A2378">
        <v>42855</v>
      </c>
      <c r="B2378" s="1">
        <v>40732</v>
      </c>
      <c r="C2378" t="s">
        <v>31</v>
      </c>
      <c r="D2378" t="str">
        <f t="shared" si="74"/>
        <v>08-Jul-2011</v>
      </c>
      <c r="E2378">
        <v>17</v>
      </c>
      <c r="F2378" s="13">
        <v>135.38</v>
      </c>
      <c r="G2378">
        <v>0.05</v>
      </c>
      <c r="H2378" t="s">
        <v>19</v>
      </c>
      <c r="I2378" s="13">
        <v>-71.12</v>
      </c>
      <c r="J2378">
        <v>7.98</v>
      </c>
      <c r="K2378">
        <v>6.5</v>
      </c>
      <c r="L2378" t="s">
        <v>400</v>
      </c>
      <c r="M2378" t="s">
        <v>394</v>
      </c>
      <c r="N2378" s="5" t="s">
        <v>105</v>
      </c>
      <c r="O2378" t="s">
        <v>28</v>
      </c>
      <c r="P2378" t="s">
        <v>21</v>
      </c>
      <c r="Q2378" t="s">
        <v>22</v>
      </c>
      <c r="R2378">
        <v>0.59</v>
      </c>
      <c r="S2378" s="1">
        <v>40734</v>
      </c>
      <c r="T2378" t="str">
        <f t="shared" si="75"/>
        <v>10-Jul-2011</v>
      </c>
    </row>
    <row r="2379" spans="1:20" x14ac:dyDescent="0.3">
      <c r="A2379">
        <v>7142</v>
      </c>
      <c r="B2379" s="1">
        <v>40745</v>
      </c>
      <c r="C2379" t="s">
        <v>43</v>
      </c>
      <c r="D2379" t="str">
        <f t="shared" si="74"/>
        <v>21-Jul-2011</v>
      </c>
      <c r="E2379">
        <v>36</v>
      </c>
      <c r="F2379" s="13">
        <v>132.86000000000001</v>
      </c>
      <c r="G2379">
        <v>0.06</v>
      </c>
      <c r="H2379" t="s">
        <v>19</v>
      </c>
      <c r="I2379" s="13">
        <v>57</v>
      </c>
      <c r="J2379">
        <v>3.69</v>
      </c>
      <c r="K2379">
        <v>0.5</v>
      </c>
      <c r="L2379" t="s">
        <v>170</v>
      </c>
      <c r="M2379" t="s">
        <v>394</v>
      </c>
      <c r="N2379" s="5" t="s">
        <v>105</v>
      </c>
      <c r="O2379" t="s">
        <v>28</v>
      </c>
      <c r="P2379" t="s">
        <v>21</v>
      </c>
      <c r="Q2379" t="s">
        <v>48</v>
      </c>
      <c r="R2379">
        <v>0.38</v>
      </c>
      <c r="S2379" s="1">
        <v>40747</v>
      </c>
      <c r="T2379" t="str">
        <f t="shared" si="75"/>
        <v>23-Jul-2011</v>
      </c>
    </row>
    <row r="2380" spans="1:20" x14ac:dyDescent="0.3">
      <c r="A2380">
        <v>34311</v>
      </c>
      <c r="B2380" s="1">
        <v>40061</v>
      </c>
      <c r="C2380" t="s">
        <v>23</v>
      </c>
      <c r="D2380" t="str">
        <f t="shared" si="74"/>
        <v>05-Sep-2009</v>
      </c>
      <c r="E2380">
        <v>39</v>
      </c>
      <c r="F2380" s="13">
        <v>132.79</v>
      </c>
      <c r="G2380">
        <v>0.05</v>
      </c>
      <c r="H2380" t="s">
        <v>19</v>
      </c>
      <c r="I2380" s="13">
        <v>-100.24</v>
      </c>
      <c r="J2380">
        <v>3.28</v>
      </c>
      <c r="K2380">
        <v>3.97</v>
      </c>
      <c r="L2380" t="s">
        <v>78</v>
      </c>
      <c r="M2380" t="s">
        <v>394</v>
      </c>
      <c r="N2380" s="5" t="s">
        <v>105</v>
      </c>
      <c r="O2380" t="s">
        <v>28</v>
      </c>
      <c r="P2380" t="s">
        <v>21</v>
      </c>
      <c r="Q2380" t="s">
        <v>50</v>
      </c>
      <c r="R2380">
        <v>0.56000000000000005</v>
      </c>
      <c r="S2380" s="1">
        <v>40062</v>
      </c>
      <c r="T2380" t="str">
        <f t="shared" si="75"/>
        <v>06-Sep-2009</v>
      </c>
    </row>
    <row r="2381" spans="1:20" x14ac:dyDescent="0.3">
      <c r="A2381">
        <v>49442</v>
      </c>
      <c r="B2381" s="1">
        <v>41130</v>
      </c>
      <c r="C2381" t="s">
        <v>23</v>
      </c>
      <c r="D2381" t="str">
        <f t="shared" si="74"/>
        <v>09-Aug-2012</v>
      </c>
      <c r="E2381">
        <v>11</v>
      </c>
      <c r="F2381" s="13">
        <v>131.12</v>
      </c>
      <c r="G2381">
        <v>0.03</v>
      </c>
      <c r="H2381" t="s">
        <v>19</v>
      </c>
      <c r="I2381" s="13">
        <v>-24.81</v>
      </c>
      <c r="J2381">
        <v>11.5</v>
      </c>
      <c r="K2381">
        <v>7.19</v>
      </c>
      <c r="L2381" t="s">
        <v>409</v>
      </c>
      <c r="M2381" t="s">
        <v>394</v>
      </c>
      <c r="N2381" s="5" t="s">
        <v>105</v>
      </c>
      <c r="O2381" t="s">
        <v>28</v>
      </c>
      <c r="P2381" t="s">
        <v>21</v>
      </c>
      <c r="Q2381" t="s">
        <v>26</v>
      </c>
      <c r="R2381">
        <v>0.4</v>
      </c>
      <c r="S2381" s="1">
        <v>41130</v>
      </c>
      <c r="T2381" t="str">
        <f t="shared" si="75"/>
        <v>09-Aug-2012</v>
      </c>
    </row>
    <row r="2382" spans="1:20" x14ac:dyDescent="0.3">
      <c r="A2382">
        <v>30343</v>
      </c>
      <c r="B2382" s="1">
        <v>41050</v>
      </c>
      <c r="C2382" t="s">
        <v>43</v>
      </c>
      <c r="D2382" t="str">
        <f t="shared" si="74"/>
        <v>21-May-2012</v>
      </c>
      <c r="E2382">
        <v>28</v>
      </c>
      <c r="F2382" s="13">
        <v>130.28</v>
      </c>
      <c r="G2382">
        <v>0.08</v>
      </c>
      <c r="H2382" t="s">
        <v>19</v>
      </c>
      <c r="I2382" s="13">
        <v>56.97</v>
      </c>
      <c r="J2382">
        <v>4.91</v>
      </c>
      <c r="K2382">
        <v>0.5</v>
      </c>
      <c r="L2382" t="s">
        <v>409</v>
      </c>
      <c r="M2382" t="s">
        <v>394</v>
      </c>
      <c r="N2382" s="5" t="s">
        <v>105</v>
      </c>
      <c r="O2382" t="s">
        <v>28</v>
      </c>
      <c r="P2382" t="s">
        <v>21</v>
      </c>
      <c r="Q2382" t="s">
        <v>48</v>
      </c>
      <c r="R2382">
        <v>0.36</v>
      </c>
      <c r="S2382" s="1">
        <v>41052</v>
      </c>
      <c r="T2382" t="str">
        <f t="shared" si="75"/>
        <v>23-May-2012</v>
      </c>
    </row>
    <row r="2383" spans="1:20" x14ac:dyDescent="0.3">
      <c r="A2383">
        <v>25412</v>
      </c>
      <c r="B2383" s="1">
        <v>40700</v>
      </c>
      <c r="C2383" t="s">
        <v>31</v>
      </c>
      <c r="D2383" t="str">
        <f t="shared" si="74"/>
        <v>06-Jun-2011</v>
      </c>
      <c r="E2383">
        <v>18</v>
      </c>
      <c r="F2383" s="13">
        <v>129.77000000000001</v>
      </c>
      <c r="G2383">
        <v>0.01</v>
      </c>
      <c r="H2383" t="s">
        <v>19</v>
      </c>
      <c r="I2383" s="13">
        <v>-99.42</v>
      </c>
      <c r="J2383">
        <v>6.48</v>
      </c>
      <c r="K2383">
        <v>9.68</v>
      </c>
      <c r="L2383" t="s">
        <v>411</v>
      </c>
      <c r="M2383" t="s">
        <v>394</v>
      </c>
      <c r="N2383" s="5" t="s">
        <v>105</v>
      </c>
      <c r="O2383" t="s">
        <v>28</v>
      </c>
      <c r="P2383" t="s">
        <v>21</v>
      </c>
      <c r="Q2383" t="s">
        <v>37</v>
      </c>
      <c r="R2383">
        <v>0.36</v>
      </c>
      <c r="S2383" s="1">
        <v>40702</v>
      </c>
      <c r="T2383" t="str">
        <f t="shared" si="75"/>
        <v>08-Jun-2011</v>
      </c>
    </row>
    <row r="2384" spans="1:20" x14ac:dyDescent="0.3">
      <c r="A2384">
        <v>26309</v>
      </c>
      <c r="B2384" s="1">
        <v>40958</v>
      </c>
      <c r="C2384" t="s">
        <v>18</v>
      </c>
      <c r="D2384" t="str">
        <f t="shared" si="74"/>
        <v>19-Feb-2012</v>
      </c>
      <c r="E2384">
        <v>42</v>
      </c>
      <c r="F2384" s="13">
        <v>128.13</v>
      </c>
      <c r="G2384">
        <v>0.09</v>
      </c>
      <c r="H2384" t="s">
        <v>19</v>
      </c>
      <c r="I2384" s="13">
        <v>32.53</v>
      </c>
      <c r="J2384">
        <v>3.08</v>
      </c>
      <c r="K2384">
        <v>0.99</v>
      </c>
      <c r="L2384" t="s">
        <v>414</v>
      </c>
      <c r="M2384" t="s">
        <v>394</v>
      </c>
      <c r="N2384" s="5" t="s">
        <v>105</v>
      </c>
      <c r="O2384" t="s">
        <v>28</v>
      </c>
      <c r="P2384" t="s">
        <v>21</v>
      </c>
      <c r="Q2384" t="s">
        <v>48</v>
      </c>
      <c r="R2384">
        <v>0.37</v>
      </c>
      <c r="S2384" s="1">
        <v>40960</v>
      </c>
      <c r="T2384" t="str">
        <f t="shared" si="75"/>
        <v>21-Feb-2012</v>
      </c>
    </row>
    <row r="2385" spans="1:20" x14ac:dyDescent="0.3">
      <c r="A2385">
        <v>59329</v>
      </c>
      <c r="B2385" s="1">
        <v>41247</v>
      </c>
      <c r="C2385" t="s">
        <v>43</v>
      </c>
      <c r="D2385" t="str">
        <f t="shared" si="74"/>
        <v>04-Dec-2012</v>
      </c>
      <c r="E2385">
        <v>35</v>
      </c>
      <c r="F2385" s="13">
        <v>128.12</v>
      </c>
      <c r="G2385">
        <v>0.08</v>
      </c>
      <c r="H2385" t="s">
        <v>19</v>
      </c>
      <c r="I2385" s="13">
        <v>-135.6</v>
      </c>
      <c r="J2385">
        <v>3.81</v>
      </c>
      <c r="K2385">
        <v>5.44</v>
      </c>
      <c r="L2385" t="s">
        <v>208</v>
      </c>
      <c r="M2385" t="s">
        <v>394</v>
      </c>
      <c r="N2385" s="5" t="s">
        <v>105</v>
      </c>
      <c r="O2385" t="s">
        <v>28</v>
      </c>
      <c r="P2385" t="s">
        <v>21</v>
      </c>
      <c r="Q2385" t="s">
        <v>26</v>
      </c>
      <c r="R2385">
        <v>0.36</v>
      </c>
      <c r="S2385" s="1">
        <v>41249</v>
      </c>
      <c r="T2385" t="str">
        <f t="shared" si="75"/>
        <v>06-Dec-2012</v>
      </c>
    </row>
    <row r="2386" spans="1:20" x14ac:dyDescent="0.3">
      <c r="A2386">
        <v>54051</v>
      </c>
      <c r="B2386" s="1">
        <v>40766</v>
      </c>
      <c r="C2386" t="s">
        <v>38</v>
      </c>
      <c r="D2386" t="str">
        <f t="shared" si="74"/>
        <v>11-Aug-2011</v>
      </c>
      <c r="E2386">
        <v>28</v>
      </c>
      <c r="F2386" s="13">
        <v>126.95</v>
      </c>
      <c r="G2386">
        <v>0.06</v>
      </c>
      <c r="H2386" t="s">
        <v>35</v>
      </c>
      <c r="I2386" s="13">
        <v>45.87</v>
      </c>
      <c r="J2386">
        <v>4.13</v>
      </c>
      <c r="K2386">
        <v>0.99</v>
      </c>
      <c r="L2386" t="s">
        <v>405</v>
      </c>
      <c r="M2386" t="s">
        <v>394</v>
      </c>
      <c r="N2386" s="5" t="s">
        <v>105</v>
      </c>
      <c r="O2386" t="s">
        <v>28</v>
      </c>
      <c r="P2386" t="s">
        <v>21</v>
      </c>
      <c r="Q2386" t="s">
        <v>48</v>
      </c>
      <c r="R2386">
        <v>0.39</v>
      </c>
      <c r="S2386" s="1">
        <v>40767</v>
      </c>
      <c r="T2386" t="str">
        <f t="shared" si="75"/>
        <v>12-Aug-2011</v>
      </c>
    </row>
    <row r="2387" spans="1:20" x14ac:dyDescent="0.3">
      <c r="A2387">
        <v>30913</v>
      </c>
      <c r="B2387" s="1">
        <v>41174</v>
      </c>
      <c r="C2387" t="s">
        <v>38</v>
      </c>
      <c r="D2387" t="str">
        <f t="shared" si="74"/>
        <v>22-Sep-2012</v>
      </c>
      <c r="E2387">
        <v>44</v>
      </c>
      <c r="F2387" s="13">
        <v>126.36</v>
      </c>
      <c r="G2387">
        <v>0.02</v>
      </c>
      <c r="H2387" t="s">
        <v>19</v>
      </c>
      <c r="I2387" s="13">
        <v>50.26</v>
      </c>
      <c r="J2387">
        <v>2.89</v>
      </c>
      <c r="K2387">
        <v>0.5</v>
      </c>
      <c r="L2387" t="s">
        <v>413</v>
      </c>
      <c r="M2387" t="s">
        <v>394</v>
      </c>
      <c r="N2387" s="5" t="s">
        <v>105</v>
      </c>
      <c r="O2387" t="s">
        <v>28</v>
      </c>
      <c r="P2387" t="s">
        <v>21</v>
      </c>
      <c r="Q2387" t="s">
        <v>48</v>
      </c>
      <c r="R2387">
        <v>0.38</v>
      </c>
      <c r="S2387" s="1">
        <v>41176</v>
      </c>
      <c r="T2387" t="str">
        <f t="shared" si="75"/>
        <v>24-Sep-2012</v>
      </c>
    </row>
    <row r="2388" spans="1:20" x14ac:dyDescent="0.3">
      <c r="A2388">
        <v>4705</v>
      </c>
      <c r="B2388" s="1">
        <v>40989</v>
      </c>
      <c r="C2388" t="s">
        <v>31</v>
      </c>
      <c r="D2388" t="str">
        <f t="shared" si="74"/>
        <v>21-Mar-2012</v>
      </c>
      <c r="E2388">
        <v>16</v>
      </c>
      <c r="F2388" s="13">
        <v>123.85</v>
      </c>
      <c r="G2388">
        <v>0.09</v>
      </c>
      <c r="H2388" t="s">
        <v>19</v>
      </c>
      <c r="I2388" s="13">
        <v>-71.44</v>
      </c>
      <c r="J2388">
        <v>7.98</v>
      </c>
      <c r="K2388">
        <v>6.5</v>
      </c>
      <c r="L2388" t="s">
        <v>68</v>
      </c>
      <c r="M2388" t="s">
        <v>394</v>
      </c>
      <c r="N2388" s="5" t="s">
        <v>105</v>
      </c>
      <c r="O2388" t="s">
        <v>28</v>
      </c>
      <c r="P2388" t="s">
        <v>21</v>
      </c>
      <c r="Q2388" t="s">
        <v>22</v>
      </c>
      <c r="R2388">
        <v>0.59</v>
      </c>
      <c r="S2388" s="1">
        <v>40991</v>
      </c>
      <c r="T2388" t="str">
        <f t="shared" si="75"/>
        <v>23-Mar-2012</v>
      </c>
    </row>
    <row r="2389" spans="1:20" x14ac:dyDescent="0.3">
      <c r="A2389">
        <v>29761</v>
      </c>
      <c r="B2389" s="1">
        <v>41093</v>
      </c>
      <c r="C2389" t="s">
        <v>38</v>
      </c>
      <c r="D2389" t="str">
        <f t="shared" si="74"/>
        <v>03-Jul-2012</v>
      </c>
      <c r="E2389">
        <v>19</v>
      </c>
      <c r="F2389" s="13">
        <v>123.67</v>
      </c>
      <c r="G2389">
        <v>0.03</v>
      </c>
      <c r="H2389" t="s">
        <v>19</v>
      </c>
      <c r="I2389" s="13">
        <v>-34.17</v>
      </c>
      <c r="J2389">
        <v>6.24</v>
      </c>
      <c r="K2389">
        <v>5.22</v>
      </c>
      <c r="L2389" t="s">
        <v>398</v>
      </c>
      <c r="M2389" t="s">
        <v>394</v>
      </c>
      <c r="N2389" s="5" t="s">
        <v>105</v>
      </c>
      <c r="O2389" t="s">
        <v>28</v>
      </c>
      <c r="P2389" t="s">
        <v>32</v>
      </c>
      <c r="Q2389" t="s">
        <v>33</v>
      </c>
      <c r="R2389">
        <v>0.6</v>
      </c>
      <c r="S2389" s="1">
        <v>41095</v>
      </c>
      <c r="T2389" t="str">
        <f t="shared" si="75"/>
        <v>05-Jul-2012</v>
      </c>
    </row>
    <row r="2390" spans="1:20" x14ac:dyDescent="0.3">
      <c r="A2390">
        <v>52870</v>
      </c>
      <c r="B2390" s="1">
        <v>39881</v>
      </c>
      <c r="C2390" t="s">
        <v>31</v>
      </c>
      <c r="D2390" t="str">
        <f t="shared" si="74"/>
        <v>09-Mar-2009</v>
      </c>
      <c r="E2390">
        <v>21</v>
      </c>
      <c r="F2390" s="13">
        <v>118.51</v>
      </c>
      <c r="G2390">
        <v>0.03</v>
      </c>
      <c r="H2390" t="s">
        <v>19</v>
      </c>
      <c r="I2390" s="13">
        <v>-948.71</v>
      </c>
      <c r="J2390">
        <v>3.25</v>
      </c>
      <c r="K2390">
        <v>49</v>
      </c>
      <c r="L2390" t="s">
        <v>410</v>
      </c>
      <c r="M2390" t="s">
        <v>394</v>
      </c>
      <c r="N2390" s="5" t="s">
        <v>105</v>
      </c>
      <c r="O2390" t="s">
        <v>28</v>
      </c>
      <c r="P2390" t="s">
        <v>21</v>
      </c>
      <c r="Q2390" t="s">
        <v>25</v>
      </c>
      <c r="R2390">
        <v>0.56000000000000005</v>
      </c>
      <c r="S2390" s="1">
        <v>39883</v>
      </c>
      <c r="T2390" t="str">
        <f t="shared" si="75"/>
        <v>11-Mar-2009</v>
      </c>
    </row>
    <row r="2391" spans="1:20" x14ac:dyDescent="0.3">
      <c r="A2391">
        <v>44391</v>
      </c>
      <c r="B2391" s="1">
        <v>39823</v>
      </c>
      <c r="C2391" t="s">
        <v>31</v>
      </c>
      <c r="D2391" t="str">
        <f t="shared" si="74"/>
        <v>10-Jan-2009</v>
      </c>
      <c r="E2391">
        <v>16</v>
      </c>
      <c r="F2391" s="13">
        <v>112.81</v>
      </c>
      <c r="G2391">
        <v>0.02</v>
      </c>
      <c r="H2391" t="s">
        <v>19</v>
      </c>
      <c r="I2391" s="13">
        <v>-85.23</v>
      </c>
      <c r="J2391">
        <v>6.48</v>
      </c>
      <c r="K2391">
        <v>9.17</v>
      </c>
      <c r="L2391" t="s">
        <v>410</v>
      </c>
      <c r="M2391" t="s">
        <v>394</v>
      </c>
      <c r="N2391" s="5" t="s">
        <v>105</v>
      </c>
      <c r="O2391" t="s">
        <v>28</v>
      </c>
      <c r="P2391" t="s">
        <v>21</v>
      </c>
      <c r="Q2391" t="s">
        <v>37</v>
      </c>
      <c r="R2391">
        <v>0.37</v>
      </c>
      <c r="S2391" s="1">
        <v>39824</v>
      </c>
      <c r="T2391" t="str">
        <f t="shared" si="75"/>
        <v>11-Jan-2009</v>
      </c>
    </row>
    <row r="2392" spans="1:20" x14ac:dyDescent="0.3">
      <c r="A2392">
        <v>7078</v>
      </c>
      <c r="B2392" s="1">
        <v>40279</v>
      </c>
      <c r="C2392" t="s">
        <v>23</v>
      </c>
      <c r="D2392" t="str">
        <f t="shared" si="74"/>
        <v>11-Apr-2010</v>
      </c>
      <c r="E2392">
        <v>9</v>
      </c>
      <c r="F2392" s="13">
        <v>112.12</v>
      </c>
      <c r="G2392">
        <v>0.01</v>
      </c>
      <c r="H2392" t="s">
        <v>19</v>
      </c>
      <c r="I2392" s="13">
        <v>-8.4499999999999993</v>
      </c>
      <c r="J2392">
        <v>11.33</v>
      </c>
      <c r="K2392">
        <v>6.12</v>
      </c>
      <c r="L2392" t="s">
        <v>377</v>
      </c>
      <c r="M2392" t="s">
        <v>394</v>
      </c>
      <c r="N2392" s="5" t="s">
        <v>105</v>
      </c>
      <c r="O2392" t="s">
        <v>28</v>
      </c>
      <c r="P2392" t="s">
        <v>21</v>
      </c>
      <c r="Q2392" t="s">
        <v>25</v>
      </c>
      <c r="R2392">
        <v>0.42</v>
      </c>
      <c r="S2392" s="1">
        <v>40281</v>
      </c>
      <c r="T2392" t="str">
        <f t="shared" si="75"/>
        <v>13-Apr-2010</v>
      </c>
    </row>
    <row r="2393" spans="1:20" x14ac:dyDescent="0.3">
      <c r="A2393">
        <v>9696</v>
      </c>
      <c r="B2393" s="1">
        <v>40593</v>
      </c>
      <c r="C2393" t="s">
        <v>31</v>
      </c>
      <c r="D2393" t="str">
        <f t="shared" si="74"/>
        <v>19-Feb-2011</v>
      </c>
      <c r="E2393">
        <v>15</v>
      </c>
      <c r="F2393" s="13">
        <v>110.15</v>
      </c>
      <c r="G2393">
        <v>0.02</v>
      </c>
      <c r="H2393" t="s">
        <v>19</v>
      </c>
      <c r="I2393" s="13">
        <v>13.91</v>
      </c>
      <c r="J2393">
        <v>6.75</v>
      </c>
      <c r="K2393">
        <v>2.99</v>
      </c>
      <c r="L2393" t="s">
        <v>225</v>
      </c>
      <c r="M2393" t="s">
        <v>394</v>
      </c>
      <c r="N2393" s="5" t="s">
        <v>105</v>
      </c>
      <c r="O2393" t="s">
        <v>28</v>
      </c>
      <c r="P2393" t="s">
        <v>21</v>
      </c>
      <c r="Q2393" t="s">
        <v>26</v>
      </c>
      <c r="R2393">
        <v>0.35</v>
      </c>
      <c r="S2393" s="1">
        <v>40595</v>
      </c>
      <c r="T2393" t="str">
        <f t="shared" si="75"/>
        <v>21-Feb-2011</v>
      </c>
    </row>
    <row r="2394" spans="1:20" x14ac:dyDescent="0.3">
      <c r="A2394">
        <v>36292</v>
      </c>
      <c r="B2394" s="1">
        <v>40216</v>
      </c>
      <c r="C2394" t="s">
        <v>43</v>
      </c>
      <c r="D2394" t="str">
        <f t="shared" si="74"/>
        <v>07-Feb-2010</v>
      </c>
      <c r="E2394">
        <v>21</v>
      </c>
      <c r="F2394" s="13">
        <v>109.87</v>
      </c>
      <c r="G2394">
        <v>0.05</v>
      </c>
      <c r="H2394" t="s">
        <v>19</v>
      </c>
      <c r="I2394" s="13">
        <v>-98.17</v>
      </c>
      <c r="J2394">
        <v>4.9800000000000004</v>
      </c>
      <c r="K2394">
        <v>7.54</v>
      </c>
      <c r="L2394" t="s">
        <v>371</v>
      </c>
      <c r="M2394" t="s">
        <v>394</v>
      </c>
      <c r="N2394" s="5" t="s">
        <v>105</v>
      </c>
      <c r="O2394" t="s">
        <v>28</v>
      </c>
      <c r="P2394" t="s">
        <v>21</v>
      </c>
      <c r="Q2394" t="s">
        <v>37</v>
      </c>
      <c r="R2394">
        <v>0.38</v>
      </c>
      <c r="S2394" s="1">
        <v>40217</v>
      </c>
      <c r="T2394" t="str">
        <f t="shared" si="75"/>
        <v>08-Feb-2010</v>
      </c>
    </row>
    <row r="2395" spans="1:20" x14ac:dyDescent="0.3">
      <c r="A2395">
        <v>57216</v>
      </c>
      <c r="B2395" s="1">
        <v>40388</v>
      </c>
      <c r="C2395" t="s">
        <v>23</v>
      </c>
      <c r="D2395" t="str">
        <f t="shared" si="74"/>
        <v>29-Jul-2010</v>
      </c>
      <c r="E2395">
        <v>48</v>
      </c>
      <c r="F2395" s="13">
        <v>109.78</v>
      </c>
      <c r="G2395">
        <v>0.03</v>
      </c>
      <c r="H2395" t="s">
        <v>19</v>
      </c>
      <c r="I2395" s="13">
        <v>4.4800000000000004</v>
      </c>
      <c r="J2395">
        <v>2.2000000000000002</v>
      </c>
      <c r="K2395">
        <v>1.2</v>
      </c>
      <c r="L2395" t="s">
        <v>412</v>
      </c>
      <c r="M2395" t="s">
        <v>394</v>
      </c>
      <c r="N2395" s="5" t="s">
        <v>105</v>
      </c>
      <c r="O2395" t="s">
        <v>28</v>
      </c>
      <c r="P2395" t="s">
        <v>21</v>
      </c>
      <c r="Q2395" t="s">
        <v>50</v>
      </c>
      <c r="R2395">
        <v>0.41</v>
      </c>
      <c r="S2395" s="1">
        <v>40390</v>
      </c>
      <c r="T2395" t="str">
        <f t="shared" si="75"/>
        <v>31-Jul-2010</v>
      </c>
    </row>
    <row r="2396" spans="1:20" x14ac:dyDescent="0.3">
      <c r="A2396">
        <v>54656</v>
      </c>
      <c r="B2396" s="1">
        <v>41232</v>
      </c>
      <c r="C2396" t="s">
        <v>23</v>
      </c>
      <c r="D2396" t="str">
        <f t="shared" si="74"/>
        <v>19-Nov-2012</v>
      </c>
      <c r="E2396">
        <v>22</v>
      </c>
      <c r="F2396" s="13">
        <v>109.52</v>
      </c>
      <c r="G2396">
        <v>0.09</v>
      </c>
      <c r="H2396" t="s">
        <v>35</v>
      </c>
      <c r="I2396" s="13">
        <v>-73.349999999999994</v>
      </c>
      <c r="J2396">
        <v>4.54</v>
      </c>
      <c r="K2396">
        <v>5.83</v>
      </c>
      <c r="L2396" t="s">
        <v>396</v>
      </c>
      <c r="M2396" t="s">
        <v>394</v>
      </c>
      <c r="N2396" s="5" t="s">
        <v>105</v>
      </c>
      <c r="O2396" t="s">
        <v>28</v>
      </c>
      <c r="P2396" t="s">
        <v>21</v>
      </c>
      <c r="Q2396" t="s">
        <v>26</v>
      </c>
      <c r="R2396">
        <v>0.36</v>
      </c>
      <c r="S2396" s="1">
        <v>41234</v>
      </c>
      <c r="T2396" t="str">
        <f t="shared" si="75"/>
        <v>21-Nov-2012</v>
      </c>
    </row>
    <row r="2397" spans="1:20" x14ac:dyDescent="0.3">
      <c r="A2397">
        <v>11169</v>
      </c>
      <c r="B2397" s="1">
        <v>40319</v>
      </c>
      <c r="C2397" t="s">
        <v>38</v>
      </c>
      <c r="D2397" t="str">
        <f t="shared" si="74"/>
        <v>21-May-2010</v>
      </c>
      <c r="E2397">
        <v>44</v>
      </c>
      <c r="F2397" s="13">
        <v>109.18</v>
      </c>
      <c r="G2397">
        <v>0.09</v>
      </c>
      <c r="H2397" t="s">
        <v>19</v>
      </c>
      <c r="I2397" s="13">
        <v>37.17</v>
      </c>
      <c r="J2397">
        <v>2.61</v>
      </c>
      <c r="K2397">
        <v>0.5</v>
      </c>
      <c r="L2397" t="s">
        <v>371</v>
      </c>
      <c r="M2397" t="s">
        <v>394</v>
      </c>
      <c r="N2397" s="5" t="s">
        <v>105</v>
      </c>
      <c r="O2397" t="s">
        <v>28</v>
      </c>
      <c r="P2397" t="s">
        <v>21</v>
      </c>
      <c r="Q2397" t="s">
        <v>48</v>
      </c>
      <c r="R2397">
        <v>0.39</v>
      </c>
      <c r="S2397" s="1">
        <v>40319</v>
      </c>
      <c r="T2397" t="str">
        <f t="shared" si="75"/>
        <v>21-May-2010</v>
      </c>
    </row>
    <row r="2398" spans="1:20" x14ac:dyDescent="0.3">
      <c r="A2398">
        <v>48775</v>
      </c>
      <c r="B2398" s="1">
        <v>40062</v>
      </c>
      <c r="C2398" t="s">
        <v>18</v>
      </c>
      <c r="D2398" t="str">
        <f t="shared" si="74"/>
        <v>06-Sep-2009</v>
      </c>
      <c r="E2398">
        <v>17</v>
      </c>
      <c r="F2398" s="13">
        <v>108.11</v>
      </c>
      <c r="G2398">
        <v>0.09</v>
      </c>
      <c r="H2398" t="s">
        <v>19</v>
      </c>
      <c r="I2398" s="13">
        <v>-62.23</v>
      </c>
      <c r="J2398">
        <v>6.48</v>
      </c>
      <c r="K2398">
        <v>6.86</v>
      </c>
      <c r="L2398" t="s">
        <v>166</v>
      </c>
      <c r="M2398" t="s">
        <v>394</v>
      </c>
      <c r="N2398" s="5" t="s">
        <v>105</v>
      </c>
      <c r="O2398" t="s">
        <v>28</v>
      </c>
      <c r="P2398" t="s">
        <v>21</v>
      </c>
      <c r="Q2398" t="s">
        <v>37</v>
      </c>
      <c r="R2398">
        <v>0.37</v>
      </c>
      <c r="S2398" s="1">
        <v>40064</v>
      </c>
      <c r="T2398" t="str">
        <f t="shared" si="75"/>
        <v>08-Sep-2009</v>
      </c>
    </row>
    <row r="2399" spans="1:20" x14ac:dyDescent="0.3">
      <c r="A2399">
        <v>50246</v>
      </c>
      <c r="B2399" s="1">
        <v>40408</v>
      </c>
      <c r="C2399" t="s">
        <v>38</v>
      </c>
      <c r="D2399" t="str">
        <f t="shared" si="74"/>
        <v>18-Aug-2010</v>
      </c>
      <c r="E2399">
        <v>14</v>
      </c>
      <c r="F2399" s="13">
        <v>102.04</v>
      </c>
      <c r="G2399">
        <v>0.05</v>
      </c>
      <c r="H2399" t="s">
        <v>35</v>
      </c>
      <c r="I2399" s="13">
        <v>-47.67</v>
      </c>
      <c r="J2399">
        <v>6.48</v>
      </c>
      <c r="K2399">
        <v>7.37</v>
      </c>
      <c r="L2399" t="s">
        <v>195</v>
      </c>
      <c r="M2399" t="s">
        <v>394</v>
      </c>
      <c r="N2399" s="5" t="s">
        <v>105</v>
      </c>
      <c r="O2399" t="s">
        <v>28</v>
      </c>
      <c r="P2399" t="s">
        <v>21</v>
      </c>
      <c r="Q2399" t="s">
        <v>37</v>
      </c>
      <c r="R2399">
        <v>0.37</v>
      </c>
      <c r="S2399" s="1">
        <v>40409</v>
      </c>
      <c r="T2399" t="str">
        <f t="shared" si="75"/>
        <v>19-Aug-2010</v>
      </c>
    </row>
    <row r="2400" spans="1:20" x14ac:dyDescent="0.3">
      <c r="A2400">
        <v>50726</v>
      </c>
      <c r="B2400" s="1">
        <v>40847</v>
      </c>
      <c r="C2400" t="s">
        <v>18</v>
      </c>
      <c r="D2400" t="str">
        <f t="shared" si="74"/>
        <v>31-Oct-2011</v>
      </c>
      <c r="E2400">
        <v>21</v>
      </c>
      <c r="F2400" s="13">
        <v>98.88</v>
      </c>
      <c r="G2400">
        <v>7.0000000000000007E-2</v>
      </c>
      <c r="H2400" t="s">
        <v>35</v>
      </c>
      <c r="I2400" s="13">
        <v>36.01</v>
      </c>
      <c r="J2400">
        <v>4.13</v>
      </c>
      <c r="K2400">
        <v>0.99</v>
      </c>
      <c r="L2400" t="s">
        <v>412</v>
      </c>
      <c r="M2400" t="s">
        <v>394</v>
      </c>
      <c r="N2400" s="5" t="s">
        <v>105</v>
      </c>
      <c r="O2400" t="s">
        <v>28</v>
      </c>
      <c r="P2400" t="s">
        <v>21</v>
      </c>
      <c r="Q2400" t="s">
        <v>48</v>
      </c>
      <c r="R2400">
        <v>0.39</v>
      </c>
      <c r="S2400" s="1">
        <v>40847</v>
      </c>
      <c r="T2400" t="str">
        <f t="shared" si="75"/>
        <v>31-Oct-2011</v>
      </c>
    </row>
    <row r="2401" spans="1:20" x14ac:dyDescent="0.3">
      <c r="A2401">
        <v>46469</v>
      </c>
      <c r="B2401" s="1">
        <v>40041</v>
      </c>
      <c r="C2401" t="s">
        <v>43</v>
      </c>
      <c r="D2401" t="str">
        <f t="shared" si="74"/>
        <v>16-Aug-2009</v>
      </c>
      <c r="E2401">
        <v>18</v>
      </c>
      <c r="F2401" s="13">
        <v>93.26</v>
      </c>
      <c r="G2401">
        <v>0.05</v>
      </c>
      <c r="H2401" t="s">
        <v>19</v>
      </c>
      <c r="I2401" s="13">
        <v>-35.36</v>
      </c>
      <c r="J2401">
        <v>4.9800000000000004</v>
      </c>
      <c r="K2401">
        <v>4.7</v>
      </c>
      <c r="L2401" t="s">
        <v>402</v>
      </c>
      <c r="M2401" t="s">
        <v>394</v>
      </c>
      <c r="N2401" s="5" t="s">
        <v>105</v>
      </c>
      <c r="O2401" t="s">
        <v>28</v>
      </c>
      <c r="P2401" t="s">
        <v>21</v>
      </c>
      <c r="Q2401" t="s">
        <v>37</v>
      </c>
      <c r="R2401">
        <v>0.38</v>
      </c>
      <c r="S2401" s="1">
        <v>40043</v>
      </c>
      <c r="T2401" t="str">
        <f t="shared" si="75"/>
        <v>18-Aug-2009</v>
      </c>
    </row>
    <row r="2402" spans="1:20" x14ac:dyDescent="0.3">
      <c r="A2402">
        <v>52199</v>
      </c>
      <c r="B2402" s="1">
        <v>40569</v>
      </c>
      <c r="C2402" t="s">
        <v>38</v>
      </c>
      <c r="D2402" t="str">
        <f t="shared" si="74"/>
        <v>26-Jan-2011</v>
      </c>
      <c r="E2402">
        <v>19</v>
      </c>
      <c r="F2402" s="13">
        <v>92.24</v>
      </c>
      <c r="G2402">
        <v>0.05</v>
      </c>
      <c r="H2402" t="s">
        <v>19</v>
      </c>
      <c r="I2402" s="13">
        <v>-60.58</v>
      </c>
      <c r="J2402">
        <v>4.82</v>
      </c>
      <c r="K2402">
        <v>5.24</v>
      </c>
      <c r="L2402" t="s">
        <v>402</v>
      </c>
      <c r="M2402" t="s">
        <v>394</v>
      </c>
      <c r="N2402" s="5" t="s">
        <v>105</v>
      </c>
      <c r="O2402" t="s">
        <v>28</v>
      </c>
      <c r="P2402" t="s">
        <v>21</v>
      </c>
      <c r="Q2402" t="s">
        <v>26</v>
      </c>
      <c r="R2402">
        <v>0.39</v>
      </c>
      <c r="S2402" s="1">
        <v>40570</v>
      </c>
      <c r="T2402" t="str">
        <f t="shared" si="75"/>
        <v>27-Jan-2011</v>
      </c>
    </row>
    <row r="2403" spans="1:20" x14ac:dyDescent="0.3">
      <c r="A2403">
        <v>2503</v>
      </c>
      <c r="B2403" s="1">
        <v>40348</v>
      </c>
      <c r="C2403" t="s">
        <v>38</v>
      </c>
      <c r="D2403" t="str">
        <f t="shared" si="74"/>
        <v>19-Jun-2010</v>
      </c>
      <c r="E2403">
        <v>21</v>
      </c>
      <c r="F2403" s="13">
        <v>91.15</v>
      </c>
      <c r="G2403">
        <v>0.03</v>
      </c>
      <c r="H2403" t="s">
        <v>19</v>
      </c>
      <c r="I2403" s="13">
        <v>-71.540000000000006</v>
      </c>
      <c r="J2403">
        <v>4.13</v>
      </c>
      <c r="K2403">
        <v>5.34</v>
      </c>
      <c r="L2403" t="s">
        <v>215</v>
      </c>
      <c r="M2403" t="s">
        <v>394</v>
      </c>
      <c r="N2403" s="5" t="s">
        <v>105</v>
      </c>
      <c r="O2403" t="s">
        <v>28</v>
      </c>
      <c r="P2403" t="s">
        <v>21</v>
      </c>
      <c r="Q2403" t="s">
        <v>26</v>
      </c>
      <c r="R2403">
        <v>0.38</v>
      </c>
      <c r="S2403" s="1">
        <v>40349</v>
      </c>
      <c r="T2403" t="str">
        <f t="shared" si="75"/>
        <v>20-Jun-2010</v>
      </c>
    </row>
    <row r="2404" spans="1:20" x14ac:dyDescent="0.3">
      <c r="A2404">
        <v>49218</v>
      </c>
      <c r="B2404" s="1">
        <v>40333</v>
      </c>
      <c r="C2404" t="s">
        <v>18</v>
      </c>
      <c r="D2404" t="str">
        <f t="shared" si="74"/>
        <v>04-Jun-2010</v>
      </c>
      <c r="E2404">
        <v>21</v>
      </c>
      <c r="F2404" s="13">
        <v>86.64</v>
      </c>
      <c r="G2404">
        <v>0.09</v>
      </c>
      <c r="H2404" t="s">
        <v>19</v>
      </c>
      <c r="I2404" s="13">
        <v>-73.069999999999993</v>
      </c>
      <c r="J2404">
        <v>3.98</v>
      </c>
      <c r="K2404">
        <v>5.26</v>
      </c>
      <c r="L2404" t="s">
        <v>410</v>
      </c>
      <c r="M2404" t="s">
        <v>394</v>
      </c>
      <c r="N2404" s="5" t="s">
        <v>105</v>
      </c>
      <c r="O2404" t="s">
        <v>28</v>
      </c>
      <c r="P2404" t="s">
        <v>21</v>
      </c>
      <c r="Q2404" t="s">
        <v>26</v>
      </c>
      <c r="R2404">
        <v>0.38</v>
      </c>
      <c r="S2404" s="1">
        <v>40333</v>
      </c>
      <c r="T2404" t="str">
        <f t="shared" si="75"/>
        <v>04-Jun-2010</v>
      </c>
    </row>
    <row r="2405" spans="1:20" x14ac:dyDescent="0.3">
      <c r="A2405">
        <v>32931</v>
      </c>
      <c r="B2405" s="1">
        <v>40224</v>
      </c>
      <c r="C2405" t="s">
        <v>18</v>
      </c>
      <c r="D2405" t="str">
        <f t="shared" si="74"/>
        <v>15-Feb-2010</v>
      </c>
      <c r="E2405">
        <v>31</v>
      </c>
      <c r="F2405" s="13">
        <v>86.1</v>
      </c>
      <c r="G2405">
        <v>0.06</v>
      </c>
      <c r="H2405" t="s">
        <v>19</v>
      </c>
      <c r="I2405" s="13">
        <v>32.700000000000003</v>
      </c>
      <c r="J2405">
        <v>2.88</v>
      </c>
      <c r="K2405">
        <v>0.5</v>
      </c>
      <c r="L2405" t="s">
        <v>397</v>
      </c>
      <c r="M2405" t="s">
        <v>394</v>
      </c>
      <c r="N2405" s="5" t="s">
        <v>105</v>
      </c>
      <c r="O2405" t="s">
        <v>28</v>
      </c>
      <c r="P2405" t="s">
        <v>21</v>
      </c>
      <c r="Q2405" t="s">
        <v>48</v>
      </c>
      <c r="R2405">
        <v>0.36</v>
      </c>
      <c r="S2405" s="1">
        <v>40231</v>
      </c>
      <c r="T2405" t="str">
        <f t="shared" si="75"/>
        <v>22-Feb-2010</v>
      </c>
    </row>
    <row r="2406" spans="1:20" x14ac:dyDescent="0.3">
      <c r="A2406">
        <v>20193</v>
      </c>
      <c r="B2406" s="1">
        <v>40489</v>
      </c>
      <c r="C2406" t="s">
        <v>38</v>
      </c>
      <c r="D2406" t="str">
        <f t="shared" si="74"/>
        <v>07-Nov-2010</v>
      </c>
      <c r="E2406">
        <v>23</v>
      </c>
      <c r="F2406" s="13">
        <v>82.12</v>
      </c>
      <c r="G2406">
        <v>7.0000000000000007E-2</v>
      </c>
      <c r="H2406" t="s">
        <v>19</v>
      </c>
      <c r="I2406" s="13">
        <v>-121.59</v>
      </c>
      <c r="J2406">
        <v>3.52</v>
      </c>
      <c r="K2406">
        <v>6.83</v>
      </c>
      <c r="L2406" t="s">
        <v>415</v>
      </c>
      <c r="M2406" t="s">
        <v>394</v>
      </c>
      <c r="N2406" s="5" t="s">
        <v>105</v>
      </c>
      <c r="O2406" t="s">
        <v>28</v>
      </c>
      <c r="P2406" t="s">
        <v>21</v>
      </c>
      <c r="Q2406" t="s">
        <v>26</v>
      </c>
      <c r="R2406">
        <v>0.38</v>
      </c>
      <c r="S2406" s="1">
        <v>40491</v>
      </c>
      <c r="T2406" t="str">
        <f t="shared" si="75"/>
        <v>09-Nov-2010</v>
      </c>
    </row>
    <row r="2407" spans="1:20" x14ac:dyDescent="0.3">
      <c r="A2407">
        <v>6850</v>
      </c>
      <c r="B2407" s="1">
        <v>40220</v>
      </c>
      <c r="C2407" t="s">
        <v>23</v>
      </c>
      <c r="D2407" t="str">
        <f t="shared" si="74"/>
        <v>11-Feb-2010</v>
      </c>
      <c r="E2407">
        <v>8</v>
      </c>
      <c r="F2407" s="13">
        <v>81.56</v>
      </c>
      <c r="G2407">
        <v>0.08</v>
      </c>
      <c r="H2407" t="s">
        <v>19</v>
      </c>
      <c r="I2407" s="13">
        <v>-7.23</v>
      </c>
      <c r="J2407">
        <v>10.01</v>
      </c>
      <c r="K2407">
        <v>1.99</v>
      </c>
      <c r="L2407" t="s">
        <v>132</v>
      </c>
      <c r="M2407" t="s">
        <v>394</v>
      </c>
      <c r="N2407" s="5" t="s">
        <v>105</v>
      </c>
      <c r="O2407" t="s">
        <v>28</v>
      </c>
      <c r="P2407" t="s">
        <v>29</v>
      </c>
      <c r="Q2407" t="s">
        <v>41</v>
      </c>
      <c r="R2407">
        <v>0.41</v>
      </c>
      <c r="S2407" s="1">
        <v>40220</v>
      </c>
      <c r="T2407" t="str">
        <f t="shared" si="75"/>
        <v>11-Feb-2010</v>
      </c>
    </row>
    <row r="2408" spans="1:20" x14ac:dyDescent="0.3">
      <c r="A2408">
        <v>16518</v>
      </c>
      <c r="B2408" s="1">
        <v>41181</v>
      </c>
      <c r="C2408" t="s">
        <v>43</v>
      </c>
      <c r="D2408" t="str">
        <f t="shared" si="74"/>
        <v>29-Sep-2012</v>
      </c>
      <c r="E2408">
        <v>4</v>
      </c>
      <c r="F2408" s="13">
        <v>80.290000000000006</v>
      </c>
      <c r="G2408">
        <v>0.03</v>
      </c>
      <c r="H2408" t="s">
        <v>19</v>
      </c>
      <c r="I2408" s="13">
        <v>-6.57</v>
      </c>
      <c r="J2408">
        <v>18.97</v>
      </c>
      <c r="K2408">
        <v>5.21</v>
      </c>
      <c r="L2408" t="s">
        <v>398</v>
      </c>
      <c r="M2408" t="s">
        <v>394</v>
      </c>
      <c r="N2408" s="5" t="s">
        <v>105</v>
      </c>
      <c r="O2408" t="s">
        <v>28</v>
      </c>
      <c r="P2408" t="s">
        <v>21</v>
      </c>
      <c r="Q2408" t="s">
        <v>37</v>
      </c>
      <c r="R2408">
        <v>0.37</v>
      </c>
      <c r="S2408" s="1">
        <v>41182</v>
      </c>
      <c r="T2408" t="str">
        <f t="shared" si="75"/>
        <v>30-Sep-2012</v>
      </c>
    </row>
    <row r="2409" spans="1:20" x14ac:dyDescent="0.3">
      <c r="A2409">
        <v>8609</v>
      </c>
      <c r="B2409" s="1">
        <v>41013</v>
      </c>
      <c r="C2409" t="s">
        <v>43</v>
      </c>
      <c r="D2409" t="str">
        <f t="shared" si="74"/>
        <v>14-Apr-2012</v>
      </c>
      <c r="E2409">
        <v>4</v>
      </c>
      <c r="F2409" s="13">
        <v>72.003500000000003</v>
      </c>
      <c r="G2409">
        <v>0.04</v>
      </c>
      <c r="H2409" t="s">
        <v>19</v>
      </c>
      <c r="I2409" s="13">
        <v>-108.08</v>
      </c>
      <c r="J2409">
        <v>20.99</v>
      </c>
      <c r="K2409">
        <v>2.5</v>
      </c>
      <c r="L2409" t="s">
        <v>413</v>
      </c>
      <c r="M2409" t="s">
        <v>394</v>
      </c>
      <c r="N2409" s="5" t="s">
        <v>105</v>
      </c>
      <c r="O2409" t="s">
        <v>28</v>
      </c>
      <c r="P2409" t="s">
        <v>29</v>
      </c>
      <c r="Q2409" t="s">
        <v>30</v>
      </c>
      <c r="R2409">
        <v>0.81</v>
      </c>
      <c r="S2409" s="1">
        <v>41014</v>
      </c>
      <c r="T2409" t="str">
        <f t="shared" si="75"/>
        <v>15-Apr-2012</v>
      </c>
    </row>
    <row r="2410" spans="1:20" x14ac:dyDescent="0.3">
      <c r="A2410">
        <v>27939</v>
      </c>
      <c r="B2410" s="1">
        <v>41009</v>
      </c>
      <c r="C2410" t="s">
        <v>38</v>
      </c>
      <c r="D2410" t="str">
        <f t="shared" si="74"/>
        <v>10-Apr-2012</v>
      </c>
      <c r="E2410">
        <v>8</v>
      </c>
      <c r="F2410" s="13">
        <v>60.17</v>
      </c>
      <c r="G2410">
        <v>0</v>
      </c>
      <c r="H2410" t="s">
        <v>19</v>
      </c>
      <c r="I2410" s="13">
        <v>-18.239999999999998</v>
      </c>
      <c r="J2410">
        <v>6.68</v>
      </c>
      <c r="K2410">
        <v>5.66</v>
      </c>
      <c r="L2410" t="s">
        <v>407</v>
      </c>
      <c r="M2410" t="s">
        <v>394</v>
      </c>
      <c r="N2410" s="5" t="s">
        <v>105</v>
      </c>
      <c r="O2410" t="s">
        <v>28</v>
      </c>
      <c r="P2410" t="s">
        <v>21</v>
      </c>
      <c r="Q2410" t="s">
        <v>37</v>
      </c>
      <c r="R2410">
        <v>0.37</v>
      </c>
      <c r="S2410" s="1">
        <v>41011</v>
      </c>
      <c r="T2410" t="str">
        <f t="shared" si="75"/>
        <v>12-Apr-2012</v>
      </c>
    </row>
    <row r="2411" spans="1:20" x14ac:dyDescent="0.3">
      <c r="A2411">
        <v>36998</v>
      </c>
      <c r="B2411" s="1">
        <v>41181</v>
      </c>
      <c r="C2411" t="s">
        <v>18</v>
      </c>
      <c r="D2411" t="str">
        <f t="shared" si="74"/>
        <v>29-Sep-2012</v>
      </c>
      <c r="E2411">
        <v>8</v>
      </c>
      <c r="F2411" s="13">
        <v>56.5</v>
      </c>
      <c r="G2411">
        <v>0.02</v>
      </c>
      <c r="H2411" t="s">
        <v>19</v>
      </c>
      <c r="I2411" s="13">
        <v>-17.16</v>
      </c>
      <c r="J2411">
        <v>6.48</v>
      </c>
      <c r="K2411">
        <v>5.19</v>
      </c>
      <c r="L2411" t="s">
        <v>371</v>
      </c>
      <c r="M2411" t="s">
        <v>394</v>
      </c>
      <c r="N2411" s="5" t="s">
        <v>105</v>
      </c>
      <c r="O2411" t="s">
        <v>28</v>
      </c>
      <c r="P2411" t="s">
        <v>21</v>
      </c>
      <c r="Q2411" t="s">
        <v>37</v>
      </c>
      <c r="R2411">
        <v>0.37</v>
      </c>
      <c r="S2411" s="1">
        <v>41183</v>
      </c>
      <c r="T2411" t="str">
        <f t="shared" si="75"/>
        <v>01-Oct-2012</v>
      </c>
    </row>
    <row r="2412" spans="1:20" x14ac:dyDescent="0.3">
      <c r="A2412">
        <v>7398</v>
      </c>
      <c r="B2412" s="1">
        <v>39965</v>
      </c>
      <c r="C2412" t="s">
        <v>31</v>
      </c>
      <c r="D2412" t="str">
        <f t="shared" si="74"/>
        <v>01-Jun-2009</v>
      </c>
      <c r="E2412">
        <v>6</v>
      </c>
      <c r="F2412" s="13">
        <v>55.77</v>
      </c>
      <c r="G2412">
        <v>0.04</v>
      </c>
      <c r="H2412" t="s">
        <v>19</v>
      </c>
      <c r="I2412" s="13">
        <v>-4.37</v>
      </c>
      <c r="J2412">
        <v>9.11</v>
      </c>
      <c r="K2412">
        <v>2.25</v>
      </c>
      <c r="L2412" t="s">
        <v>166</v>
      </c>
      <c r="M2412" t="s">
        <v>394</v>
      </c>
      <c r="N2412" s="5" t="s">
        <v>105</v>
      </c>
      <c r="O2412" t="s">
        <v>28</v>
      </c>
      <c r="P2412" t="s">
        <v>21</v>
      </c>
      <c r="Q2412" t="s">
        <v>50</v>
      </c>
      <c r="R2412">
        <v>0.52</v>
      </c>
      <c r="S2412" s="1">
        <v>39968</v>
      </c>
      <c r="T2412" t="str">
        <f t="shared" si="75"/>
        <v>04-Jun-2009</v>
      </c>
    </row>
    <row r="2413" spans="1:20" x14ac:dyDescent="0.3">
      <c r="A2413">
        <v>56069</v>
      </c>
      <c r="B2413" s="1">
        <v>41196</v>
      </c>
      <c r="C2413" t="s">
        <v>18</v>
      </c>
      <c r="D2413" t="str">
        <f t="shared" si="74"/>
        <v>14-Oct-2012</v>
      </c>
      <c r="E2413">
        <v>10</v>
      </c>
      <c r="F2413" s="13">
        <v>55.66</v>
      </c>
      <c r="G2413">
        <v>0.09</v>
      </c>
      <c r="H2413" t="s">
        <v>19</v>
      </c>
      <c r="I2413" s="13">
        <v>8.82</v>
      </c>
      <c r="J2413">
        <v>5.68</v>
      </c>
      <c r="K2413">
        <v>1.39</v>
      </c>
      <c r="L2413" t="s">
        <v>401</v>
      </c>
      <c r="M2413" t="s">
        <v>394</v>
      </c>
      <c r="N2413" s="5" t="s">
        <v>105</v>
      </c>
      <c r="O2413" t="s">
        <v>28</v>
      </c>
      <c r="P2413" t="s">
        <v>21</v>
      </c>
      <c r="Q2413" t="s">
        <v>42</v>
      </c>
      <c r="R2413">
        <v>0.38</v>
      </c>
      <c r="S2413" s="1">
        <v>41201</v>
      </c>
      <c r="T2413" t="str">
        <f t="shared" si="75"/>
        <v>19-Oct-2012</v>
      </c>
    </row>
    <row r="2414" spans="1:20" x14ac:dyDescent="0.3">
      <c r="A2414">
        <v>51842</v>
      </c>
      <c r="B2414" s="1">
        <v>40875</v>
      </c>
      <c r="C2414" t="s">
        <v>18</v>
      </c>
      <c r="D2414" t="str">
        <f t="shared" si="74"/>
        <v>28-Nov-2011</v>
      </c>
      <c r="E2414">
        <v>1</v>
      </c>
      <c r="F2414" s="13">
        <v>54.22</v>
      </c>
      <c r="G2414">
        <v>0.02</v>
      </c>
      <c r="H2414" t="s">
        <v>19</v>
      </c>
      <c r="I2414" s="13">
        <v>-19.09</v>
      </c>
      <c r="J2414">
        <v>48.91</v>
      </c>
      <c r="K2414">
        <v>5.81</v>
      </c>
      <c r="L2414" t="s">
        <v>396</v>
      </c>
      <c r="M2414" t="s">
        <v>394</v>
      </c>
      <c r="N2414" s="5" t="s">
        <v>105</v>
      </c>
      <c r="O2414" t="s">
        <v>28</v>
      </c>
      <c r="P2414" t="s">
        <v>21</v>
      </c>
      <c r="Q2414" t="s">
        <v>37</v>
      </c>
      <c r="R2414">
        <v>0.38</v>
      </c>
      <c r="S2414" s="1">
        <v>40880</v>
      </c>
      <c r="T2414" t="str">
        <f t="shared" si="75"/>
        <v>03-Dec-2011</v>
      </c>
    </row>
    <row r="2415" spans="1:20" x14ac:dyDescent="0.3">
      <c r="A2415">
        <v>832</v>
      </c>
      <c r="B2415" s="1">
        <v>41017</v>
      </c>
      <c r="C2415" t="s">
        <v>18</v>
      </c>
      <c r="D2415" t="str">
        <f t="shared" si="74"/>
        <v>18-Apr-2012</v>
      </c>
      <c r="E2415">
        <v>7</v>
      </c>
      <c r="F2415" s="13">
        <v>53.46</v>
      </c>
      <c r="G2415">
        <v>0.02</v>
      </c>
      <c r="H2415" t="s">
        <v>19</v>
      </c>
      <c r="I2415" s="13">
        <v>-17.579999999999998</v>
      </c>
      <c r="J2415">
        <v>6.48</v>
      </c>
      <c r="K2415">
        <v>5.9</v>
      </c>
      <c r="L2415" t="s">
        <v>405</v>
      </c>
      <c r="M2415" t="s">
        <v>394</v>
      </c>
      <c r="N2415" s="5" t="s">
        <v>105</v>
      </c>
      <c r="O2415" t="s">
        <v>28</v>
      </c>
      <c r="P2415" t="s">
        <v>21</v>
      </c>
      <c r="Q2415" t="s">
        <v>37</v>
      </c>
      <c r="R2415">
        <v>0.37</v>
      </c>
      <c r="S2415" s="1">
        <v>41021</v>
      </c>
      <c r="T2415" t="str">
        <f t="shared" si="75"/>
        <v>22-Apr-2012</v>
      </c>
    </row>
    <row r="2416" spans="1:20" x14ac:dyDescent="0.3">
      <c r="A2416">
        <v>33824</v>
      </c>
      <c r="B2416" s="1">
        <v>40604</v>
      </c>
      <c r="C2416" t="s">
        <v>43</v>
      </c>
      <c r="D2416" t="str">
        <f t="shared" si="74"/>
        <v>02-Mar-2011</v>
      </c>
      <c r="E2416">
        <v>19</v>
      </c>
      <c r="F2416" s="13">
        <v>50.99</v>
      </c>
      <c r="G2416">
        <v>0.06</v>
      </c>
      <c r="H2416" t="s">
        <v>19</v>
      </c>
      <c r="I2416" s="13">
        <v>-3.8</v>
      </c>
      <c r="J2416">
        <v>2.78</v>
      </c>
      <c r="K2416">
        <v>1.34</v>
      </c>
      <c r="L2416" t="s">
        <v>411</v>
      </c>
      <c r="M2416" t="s">
        <v>394</v>
      </c>
      <c r="N2416" s="5" t="s">
        <v>105</v>
      </c>
      <c r="O2416" t="s">
        <v>28</v>
      </c>
      <c r="P2416" t="s">
        <v>21</v>
      </c>
      <c r="Q2416" t="s">
        <v>50</v>
      </c>
      <c r="R2416">
        <v>0.45</v>
      </c>
      <c r="S2416" s="1">
        <v>40605</v>
      </c>
      <c r="T2416" t="str">
        <f t="shared" si="75"/>
        <v>03-Mar-2011</v>
      </c>
    </row>
    <row r="2417" spans="1:20" x14ac:dyDescent="0.3">
      <c r="A2417">
        <v>17253</v>
      </c>
      <c r="B2417" s="1">
        <v>40772</v>
      </c>
      <c r="C2417" t="s">
        <v>43</v>
      </c>
      <c r="D2417" t="str">
        <f t="shared" si="74"/>
        <v>17-Aug-2011</v>
      </c>
      <c r="E2417">
        <v>13</v>
      </c>
      <c r="F2417" s="13">
        <v>50.19</v>
      </c>
      <c r="G2417">
        <v>0.08</v>
      </c>
      <c r="H2417" t="s">
        <v>19</v>
      </c>
      <c r="I2417" s="13">
        <v>-64.39</v>
      </c>
      <c r="J2417">
        <v>3.52</v>
      </c>
      <c r="K2417">
        <v>6.83</v>
      </c>
      <c r="L2417" t="s">
        <v>413</v>
      </c>
      <c r="M2417" t="s">
        <v>394</v>
      </c>
      <c r="N2417" s="5" t="s">
        <v>105</v>
      </c>
      <c r="O2417" t="s">
        <v>28</v>
      </c>
      <c r="P2417" t="s">
        <v>21</v>
      </c>
      <c r="Q2417" t="s">
        <v>26</v>
      </c>
      <c r="R2417">
        <v>0.38</v>
      </c>
      <c r="S2417" s="1">
        <v>40774</v>
      </c>
      <c r="T2417" t="str">
        <f t="shared" si="75"/>
        <v>19-Aug-2011</v>
      </c>
    </row>
    <row r="2418" spans="1:20" x14ac:dyDescent="0.3">
      <c r="A2418">
        <v>7078</v>
      </c>
      <c r="B2418" s="1">
        <v>40279</v>
      </c>
      <c r="C2418" t="s">
        <v>23</v>
      </c>
      <c r="D2418" t="str">
        <f t="shared" si="74"/>
        <v>11-Apr-2010</v>
      </c>
      <c r="E2418">
        <v>11</v>
      </c>
      <c r="F2418" s="13">
        <v>49.58</v>
      </c>
      <c r="G2418">
        <v>0.1</v>
      </c>
      <c r="H2418" t="s">
        <v>35</v>
      </c>
      <c r="I2418" s="13">
        <v>-47.02</v>
      </c>
      <c r="J2418">
        <v>3.36</v>
      </c>
      <c r="K2418">
        <v>6.27</v>
      </c>
      <c r="L2418" t="s">
        <v>377</v>
      </c>
      <c r="M2418" t="s">
        <v>394</v>
      </c>
      <c r="N2418" s="5" t="s">
        <v>105</v>
      </c>
      <c r="O2418" t="s">
        <v>28</v>
      </c>
      <c r="P2418" t="s">
        <v>21</v>
      </c>
      <c r="Q2418" t="s">
        <v>26</v>
      </c>
      <c r="R2418">
        <v>0.4</v>
      </c>
      <c r="S2418" s="1">
        <v>40280</v>
      </c>
      <c r="T2418" t="str">
        <f t="shared" si="75"/>
        <v>12-Apr-2010</v>
      </c>
    </row>
    <row r="2419" spans="1:20" x14ac:dyDescent="0.3">
      <c r="A2419">
        <v>22787</v>
      </c>
      <c r="B2419" s="1">
        <v>40638</v>
      </c>
      <c r="C2419" t="s">
        <v>38</v>
      </c>
      <c r="D2419" t="str">
        <f t="shared" si="74"/>
        <v>05-Apr-2011</v>
      </c>
      <c r="E2419">
        <v>35</v>
      </c>
      <c r="F2419" s="13">
        <v>46.44</v>
      </c>
      <c r="G2419">
        <v>0.06</v>
      </c>
      <c r="H2419" t="s">
        <v>35</v>
      </c>
      <c r="I2419" s="13">
        <v>-16.3</v>
      </c>
      <c r="J2419">
        <v>1.26</v>
      </c>
      <c r="K2419">
        <v>0.7</v>
      </c>
      <c r="L2419" t="s">
        <v>377</v>
      </c>
      <c r="M2419" t="s">
        <v>394</v>
      </c>
      <c r="N2419" s="5" t="s">
        <v>105</v>
      </c>
      <c r="O2419" t="s">
        <v>28</v>
      </c>
      <c r="P2419" t="s">
        <v>21</v>
      </c>
      <c r="Q2419" t="s">
        <v>39</v>
      </c>
      <c r="R2419">
        <v>0.81</v>
      </c>
      <c r="S2419" s="1">
        <v>40638</v>
      </c>
      <c r="T2419" t="str">
        <f t="shared" si="75"/>
        <v>05-Apr-2011</v>
      </c>
    </row>
    <row r="2420" spans="1:20" x14ac:dyDescent="0.3">
      <c r="A2420">
        <v>1767</v>
      </c>
      <c r="B2420" s="1">
        <v>40615</v>
      </c>
      <c r="C2420" t="s">
        <v>23</v>
      </c>
      <c r="D2420" t="str">
        <f t="shared" si="74"/>
        <v>13-Mar-2011</v>
      </c>
      <c r="E2420">
        <v>10</v>
      </c>
      <c r="F2420" s="13">
        <v>46.34</v>
      </c>
      <c r="G2420">
        <v>0.05</v>
      </c>
      <c r="H2420" t="s">
        <v>19</v>
      </c>
      <c r="I2420" s="13">
        <v>-7.76</v>
      </c>
      <c r="J2420">
        <v>4.71</v>
      </c>
      <c r="K2420">
        <v>0.7</v>
      </c>
      <c r="L2420" t="s">
        <v>395</v>
      </c>
      <c r="M2420" t="s">
        <v>394</v>
      </c>
      <c r="N2420" s="5" t="s">
        <v>105</v>
      </c>
      <c r="O2420" t="s">
        <v>28</v>
      </c>
      <c r="P2420" t="s">
        <v>21</v>
      </c>
      <c r="Q2420" t="s">
        <v>39</v>
      </c>
      <c r="R2420">
        <v>0.8</v>
      </c>
      <c r="S2420" s="1">
        <v>40617</v>
      </c>
      <c r="T2420" t="str">
        <f t="shared" si="75"/>
        <v>15-Mar-2011</v>
      </c>
    </row>
    <row r="2421" spans="1:20" x14ac:dyDescent="0.3">
      <c r="A2421">
        <v>36548</v>
      </c>
      <c r="B2421" s="1">
        <v>40481</v>
      </c>
      <c r="C2421" t="s">
        <v>18</v>
      </c>
      <c r="D2421" t="str">
        <f t="shared" si="74"/>
        <v>30-Oct-2010</v>
      </c>
      <c r="E2421">
        <v>8</v>
      </c>
      <c r="F2421" s="13">
        <v>44.99</v>
      </c>
      <c r="G2421">
        <v>0.06</v>
      </c>
      <c r="H2421" t="s">
        <v>19</v>
      </c>
      <c r="I2421" s="13">
        <v>-40.43</v>
      </c>
      <c r="J2421">
        <v>4.9800000000000004</v>
      </c>
      <c r="K2421">
        <v>7.54</v>
      </c>
      <c r="L2421" t="s">
        <v>275</v>
      </c>
      <c r="M2421" t="s">
        <v>394</v>
      </c>
      <c r="N2421" s="5" t="s">
        <v>105</v>
      </c>
      <c r="O2421" t="s">
        <v>28</v>
      </c>
      <c r="P2421" t="s">
        <v>21</v>
      </c>
      <c r="Q2421" t="s">
        <v>37</v>
      </c>
      <c r="R2421">
        <v>0.38</v>
      </c>
      <c r="S2421" s="1">
        <v>40483</v>
      </c>
      <c r="T2421" t="str">
        <f t="shared" si="75"/>
        <v>01-Nov-2010</v>
      </c>
    </row>
    <row r="2422" spans="1:20" x14ac:dyDescent="0.3">
      <c r="A2422">
        <v>38529</v>
      </c>
      <c r="B2422" s="1">
        <v>39846</v>
      </c>
      <c r="C2422" t="s">
        <v>18</v>
      </c>
      <c r="D2422" t="str">
        <f t="shared" si="74"/>
        <v>02-Feb-2009</v>
      </c>
      <c r="E2422">
        <v>38</v>
      </c>
      <c r="F2422" s="13">
        <v>44.85</v>
      </c>
      <c r="G2422">
        <v>0.02</v>
      </c>
      <c r="H2422" t="s">
        <v>19</v>
      </c>
      <c r="I2422" s="13">
        <v>-0.49</v>
      </c>
      <c r="J2422">
        <v>1.1399999999999999</v>
      </c>
      <c r="K2422">
        <v>0.7</v>
      </c>
      <c r="L2422" t="s">
        <v>195</v>
      </c>
      <c r="M2422" t="s">
        <v>394</v>
      </c>
      <c r="N2422" s="5" t="s">
        <v>105</v>
      </c>
      <c r="O2422" t="s">
        <v>28</v>
      </c>
      <c r="P2422" t="s">
        <v>21</v>
      </c>
      <c r="Q2422" t="s">
        <v>39</v>
      </c>
      <c r="R2422">
        <v>0.38</v>
      </c>
      <c r="S2422" s="1">
        <v>39846</v>
      </c>
      <c r="T2422" t="str">
        <f t="shared" si="75"/>
        <v>02-Feb-2009</v>
      </c>
    </row>
    <row r="2423" spans="1:20" x14ac:dyDescent="0.3">
      <c r="A2423">
        <v>9639</v>
      </c>
      <c r="B2423" s="1">
        <v>40426</v>
      </c>
      <c r="C2423" t="s">
        <v>31</v>
      </c>
      <c r="D2423" t="str">
        <f t="shared" si="74"/>
        <v>05-Sep-2010</v>
      </c>
      <c r="E2423">
        <v>11</v>
      </c>
      <c r="F2423" s="13">
        <v>43.57</v>
      </c>
      <c r="G2423">
        <v>0.09</v>
      </c>
      <c r="H2423" t="s">
        <v>19</v>
      </c>
      <c r="I2423" s="13">
        <v>6.7</v>
      </c>
      <c r="J2423">
        <v>4.13</v>
      </c>
      <c r="K2423">
        <v>0.99</v>
      </c>
      <c r="L2423" t="s">
        <v>401</v>
      </c>
      <c r="M2423" t="s">
        <v>394</v>
      </c>
      <c r="N2423" s="5" t="s">
        <v>105</v>
      </c>
      <c r="O2423" t="s">
        <v>28</v>
      </c>
      <c r="P2423" t="s">
        <v>21</v>
      </c>
      <c r="Q2423" t="s">
        <v>48</v>
      </c>
      <c r="R2423">
        <v>0.39</v>
      </c>
      <c r="S2423" s="1">
        <v>40426</v>
      </c>
      <c r="T2423" t="str">
        <f t="shared" si="75"/>
        <v>05-Sep-2010</v>
      </c>
    </row>
    <row r="2424" spans="1:20" x14ac:dyDescent="0.3">
      <c r="A2424">
        <v>24583</v>
      </c>
      <c r="B2424" s="1">
        <v>40764</v>
      </c>
      <c r="C2424" t="s">
        <v>43</v>
      </c>
      <c r="D2424" t="str">
        <f t="shared" si="74"/>
        <v>09-Aug-2011</v>
      </c>
      <c r="E2424">
        <v>17</v>
      </c>
      <c r="F2424" s="13">
        <v>42.29</v>
      </c>
      <c r="G2424">
        <v>0.06</v>
      </c>
      <c r="H2424" t="s">
        <v>19</v>
      </c>
      <c r="I2424" s="13">
        <v>-85.27</v>
      </c>
      <c r="J2424">
        <v>2.16</v>
      </c>
      <c r="K2424">
        <v>6.05</v>
      </c>
      <c r="L2424" t="s">
        <v>401</v>
      </c>
      <c r="M2424" t="s">
        <v>394</v>
      </c>
      <c r="N2424" s="5" t="s">
        <v>105</v>
      </c>
      <c r="O2424" t="s">
        <v>28</v>
      </c>
      <c r="P2424" t="s">
        <v>21</v>
      </c>
      <c r="Q2424" t="s">
        <v>26</v>
      </c>
      <c r="R2424">
        <v>0.37</v>
      </c>
      <c r="S2424" s="1">
        <v>40767</v>
      </c>
      <c r="T2424" t="str">
        <f t="shared" si="75"/>
        <v>12-Aug-2011</v>
      </c>
    </row>
    <row r="2425" spans="1:20" x14ac:dyDescent="0.3">
      <c r="A2425">
        <v>20513</v>
      </c>
      <c r="B2425" s="1">
        <v>40001</v>
      </c>
      <c r="C2425" t="s">
        <v>23</v>
      </c>
      <c r="D2425" t="str">
        <f t="shared" si="74"/>
        <v>07-Jul-2009</v>
      </c>
      <c r="E2425">
        <v>13</v>
      </c>
      <c r="F2425" s="13">
        <v>42.27</v>
      </c>
      <c r="G2425">
        <v>0.01</v>
      </c>
      <c r="H2425" t="s">
        <v>35</v>
      </c>
      <c r="I2425" s="13">
        <v>4.5599999999999996</v>
      </c>
      <c r="J2425">
        <v>2.84</v>
      </c>
      <c r="K2425">
        <v>0.93</v>
      </c>
      <c r="L2425" t="s">
        <v>60</v>
      </c>
      <c r="M2425" t="s">
        <v>394</v>
      </c>
      <c r="N2425" s="5" t="s">
        <v>105</v>
      </c>
      <c r="O2425" t="s">
        <v>28</v>
      </c>
      <c r="P2425" t="s">
        <v>21</v>
      </c>
      <c r="Q2425" t="s">
        <v>50</v>
      </c>
      <c r="R2425">
        <v>0.54</v>
      </c>
      <c r="S2425" s="1">
        <v>40002</v>
      </c>
      <c r="T2425" t="str">
        <f t="shared" si="75"/>
        <v>08-Jul-2009</v>
      </c>
    </row>
    <row r="2426" spans="1:20" x14ac:dyDescent="0.3">
      <c r="A2426">
        <v>51557</v>
      </c>
      <c r="B2426" s="1">
        <v>40847</v>
      </c>
      <c r="C2426" t="s">
        <v>23</v>
      </c>
      <c r="D2426" t="str">
        <f t="shared" si="74"/>
        <v>31-Oct-2011</v>
      </c>
      <c r="E2426">
        <v>14</v>
      </c>
      <c r="F2426" s="13">
        <v>37.9</v>
      </c>
      <c r="G2426">
        <v>0.08</v>
      </c>
      <c r="H2426" t="s">
        <v>19</v>
      </c>
      <c r="I2426" s="13">
        <v>-22.01</v>
      </c>
      <c r="J2426">
        <v>2.6</v>
      </c>
      <c r="K2426">
        <v>2.4</v>
      </c>
      <c r="L2426" t="s">
        <v>166</v>
      </c>
      <c r="M2426" t="s">
        <v>394</v>
      </c>
      <c r="N2426" s="5" t="s">
        <v>105</v>
      </c>
      <c r="O2426" t="s">
        <v>28</v>
      </c>
      <c r="P2426" t="s">
        <v>21</v>
      </c>
      <c r="Q2426" t="s">
        <v>50</v>
      </c>
      <c r="R2426">
        <v>0.57999999999999996</v>
      </c>
      <c r="S2426" s="1">
        <v>40847</v>
      </c>
      <c r="T2426" t="str">
        <f t="shared" si="75"/>
        <v>31-Oct-2011</v>
      </c>
    </row>
    <row r="2427" spans="1:20" x14ac:dyDescent="0.3">
      <c r="A2427">
        <v>39301</v>
      </c>
      <c r="B2427" s="1">
        <v>39894</v>
      </c>
      <c r="C2427" t="s">
        <v>38</v>
      </c>
      <c r="D2427" t="str">
        <f t="shared" si="74"/>
        <v>22-Mar-2009</v>
      </c>
      <c r="E2427">
        <v>4</v>
      </c>
      <c r="F2427" s="13">
        <v>33.54</v>
      </c>
      <c r="G2427">
        <v>0.08</v>
      </c>
      <c r="H2427" t="s">
        <v>19</v>
      </c>
      <c r="I2427" s="13">
        <v>-29.49</v>
      </c>
      <c r="J2427">
        <v>6.84</v>
      </c>
      <c r="K2427">
        <v>8.3699999999999992</v>
      </c>
      <c r="L2427" t="s">
        <v>115</v>
      </c>
      <c r="M2427" t="s">
        <v>394</v>
      </c>
      <c r="N2427" s="5" t="s">
        <v>105</v>
      </c>
      <c r="O2427" t="s">
        <v>28</v>
      </c>
      <c r="P2427" t="s">
        <v>21</v>
      </c>
      <c r="Q2427" t="s">
        <v>67</v>
      </c>
      <c r="R2427">
        <v>0.57999999999999996</v>
      </c>
      <c r="S2427" s="1">
        <v>39896</v>
      </c>
      <c r="T2427" t="str">
        <f t="shared" si="75"/>
        <v>24-Mar-2009</v>
      </c>
    </row>
    <row r="2428" spans="1:20" x14ac:dyDescent="0.3">
      <c r="A2428">
        <v>11648</v>
      </c>
      <c r="B2428" s="1">
        <v>40642</v>
      </c>
      <c r="C2428" t="s">
        <v>18</v>
      </c>
      <c r="D2428" t="str">
        <f t="shared" si="74"/>
        <v>09-Apr-2011</v>
      </c>
      <c r="E2428">
        <v>1</v>
      </c>
      <c r="F2428" s="13">
        <v>32.51</v>
      </c>
      <c r="G2428">
        <v>0.1</v>
      </c>
      <c r="H2428" t="s">
        <v>19</v>
      </c>
      <c r="I2428" s="13">
        <v>-90.94</v>
      </c>
      <c r="J2428">
        <v>35.409999999999997</v>
      </c>
      <c r="K2428">
        <v>1.99</v>
      </c>
      <c r="L2428" t="s">
        <v>409</v>
      </c>
      <c r="M2428" t="s">
        <v>394</v>
      </c>
      <c r="N2428" s="5" t="s">
        <v>105</v>
      </c>
      <c r="O2428" t="s">
        <v>28</v>
      </c>
      <c r="P2428" t="s">
        <v>29</v>
      </c>
      <c r="Q2428" t="s">
        <v>41</v>
      </c>
      <c r="R2428">
        <v>0.43</v>
      </c>
      <c r="S2428" s="1">
        <v>40649</v>
      </c>
      <c r="T2428" t="str">
        <f t="shared" si="75"/>
        <v>16-Apr-2011</v>
      </c>
    </row>
    <row r="2429" spans="1:20" x14ac:dyDescent="0.3">
      <c r="A2429">
        <v>11169</v>
      </c>
      <c r="B2429" s="1">
        <v>40319</v>
      </c>
      <c r="C2429" t="s">
        <v>38</v>
      </c>
      <c r="D2429" t="str">
        <f t="shared" si="74"/>
        <v>21-May-2010</v>
      </c>
      <c r="E2429">
        <v>5</v>
      </c>
      <c r="F2429" s="13">
        <v>28.59</v>
      </c>
      <c r="G2429">
        <v>0.05</v>
      </c>
      <c r="H2429" t="s">
        <v>19</v>
      </c>
      <c r="I2429" s="13">
        <v>-14.33</v>
      </c>
      <c r="J2429">
        <v>4.9800000000000004</v>
      </c>
      <c r="K2429">
        <v>4.7</v>
      </c>
      <c r="L2429" t="s">
        <v>371</v>
      </c>
      <c r="M2429" t="s">
        <v>394</v>
      </c>
      <c r="N2429" s="5" t="s">
        <v>105</v>
      </c>
      <c r="O2429" t="s">
        <v>28</v>
      </c>
      <c r="P2429" t="s">
        <v>21</v>
      </c>
      <c r="Q2429" t="s">
        <v>37</v>
      </c>
      <c r="R2429">
        <v>0.38</v>
      </c>
      <c r="S2429" s="1">
        <v>40320</v>
      </c>
      <c r="T2429" t="str">
        <f t="shared" si="75"/>
        <v>22-May-2010</v>
      </c>
    </row>
    <row r="2430" spans="1:20" x14ac:dyDescent="0.3">
      <c r="A2430">
        <v>52673</v>
      </c>
      <c r="B2430" s="1">
        <v>41037</v>
      </c>
      <c r="C2430" t="s">
        <v>38</v>
      </c>
      <c r="D2430" t="str">
        <f t="shared" si="74"/>
        <v>08-May-2012</v>
      </c>
      <c r="E2430">
        <v>4</v>
      </c>
      <c r="F2430" s="13">
        <v>26.41</v>
      </c>
      <c r="G2430">
        <v>0.05</v>
      </c>
      <c r="H2430" t="s">
        <v>19</v>
      </c>
      <c r="I2430" s="13">
        <v>-16.53</v>
      </c>
      <c r="J2430">
        <v>5.18</v>
      </c>
      <c r="K2430">
        <v>5.74</v>
      </c>
      <c r="L2430" t="s">
        <v>412</v>
      </c>
      <c r="M2430" t="s">
        <v>394</v>
      </c>
      <c r="N2430" s="5" t="s">
        <v>105</v>
      </c>
      <c r="O2430" t="s">
        <v>28</v>
      </c>
      <c r="P2430" t="s">
        <v>21</v>
      </c>
      <c r="Q2430" t="s">
        <v>26</v>
      </c>
      <c r="R2430">
        <v>0.36</v>
      </c>
      <c r="S2430" s="1">
        <v>41039</v>
      </c>
      <c r="T2430" t="str">
        <f t="shared" si="75"/>
        <v>10-May-2012</v>
      </c>
    </row>
    <row r="2431" spans="1:20" x14ac:dyDescent="0.3">
      <c r="A2431">
        <v>7488</v>
      </c>
      <c r="B2431" s="1">
        <v>41032</v>
      </c>
      <c r="C2431" t="s">
        <v>43</v>
      </c>
      <c r="D2431" t="str">
        <f t="shared" si="74"/>
        <v>03-May-2012</v>
      </c>
      <c r="E2431">
        <v>9</v>
      </c>
      <c r="F2431" s="13">
        <v>26.09</v>
      </c>
      <c r="G2431">
        <v>0.08</v>
      </c>
      <c r="H2431" t="s">
        <v>19</v>
      </c>
      <c r="I2431" s="13">
        <v>-1.76</v>
      </c>
      <c r="J2431">
        <v>2.84</v>
      </c>
      <c r="K2431">
        <v>0.93</v>
      </c>
      <c r="L2431" t="s">
        <v>132</v>
      </c>
      <c r="M2431" t="s">
        <v>394</v>
      </c>
      <c r="N2431" s="5" t="s">
        <v>105</v>
      </c>
      <c r="O2431" t="s">
        <v>28</v>
      </c>
      <c r="P2431" t="s">
        <v>21</v>
      </c>
      <c r="Q2431" t="s">
        <v>50</v>
      </c>
      <c r="R2431">
        <v>0.54</v>
      </c>
      <c r="S2431" s="1">
        <v>41033</v>
      </c>
      <c r="T2431" t="str">
        <f t="shared" si="75"/>
        <v>04-May-2012</v>
      </c>
    </row>
    <row r="2432" spans="1:20" x14ac:dyDescent="0.3">
      <c r="A2432">
        <v>25824</v>
      </c>
      <c r="B2432" s="1">
        <v>40060</v>
      </c>
      <c r="C2432" t="s">
        <v>38</v>
      </c>
      <c r="D2432" t="str">
        <f t="shared" si="74"/>
        <v>04-Sep-2009</v>
      </c>
      <c r="E2432">
        <v>5</v>
      </c>
      <c r="F2432" s="13">
        <v>25.27</v>
      </c>
      <c r="G2432">
        <v>0.01</v>
      </c>
      <c r="H2432" t="s">
        <v>19</v>
      </c>
      <c r="I2432" s="13">
        <v>-19.93</v>
      </c>
      <c r="J2432">
        <v>3.95</v>
      </c>
      <c r="K2432">
        <v>5.13</v>
      </c>
      <c r="L2432" t="s">
        <v>371</v>
      </c>
      <c r="M2432" t="s">
        <v>394</v>
      </c>
      <c r="N2432" s="5" t="s">
        <v>105</v>
      </c>
      <c r="O2432" t="s">
        <v>28</v>
      </c>
      <c r="P2432" t="s">
        <v>21</v>
      </c>
      <c r="Q2432" t="s">
        <v>25</v>
      </c>
      <c r="R2432">
        <v>0.59</v>
      </c>
      <c r="S2432" s="1">
        <v>40061</v>
      </c>
      <c r="T2432" t="str">
        <f t="shared" si="75"/>
        <v>05-Sep-2009</v>
      </c>
    </row>
    <row r="2433" spans="1:20" x14ac:dyDescent="0.3">
      <c r="A2433">
        <v>29926</v>
      </c>
      <c r="B2433" s="1">
        <v>40990</v>
      </c>
      <c r="C2433" t="s">
        <v>38</v>
      </c>
      <c r="D2433" t="str">
        <f t="shared" si="74"/>
        <v>22-Mar-2012</v>
      </c>
      <c r="E2433">
        <v>9</v>
      </c>
      <c r="F2433" s="13">
        <v>20.21</v>
      </c>
      <c r="G2433">
        <v>0</v>
      </c>
      <c r="H2433" t="s">
        <v>19</v>
      </c>
      <c r="I2433" s="13">
        <v>-5.14</v>
      </c>
      <c r="J2433">
        <v>2.08</v>
      </c>
      <c r="K2433">
        <v>1.49</v>
      </c>
      <c r="L2433" t="s">
        <v>413</v>
      </c>
      <c r="M2433" t="s">
        <v>394</v>
      </c>
      <c r="N2433" s="5" t="s">
        <v>105</v>
      </c>
      <c r="O2433" t="s">
        <v>28</v>
      </c>
      <c r="P2433" t="s">
        <v>21</v>
      </c>
      <c r="Q2433" t="s">
        <v>26</v>
      </c>
      <c r="R2433">
        <v>0.38</v>
      </c>
      <c r="S2433" s="1">
        <v>40992</v>
      </c>
      <c r="T2433" t="str">
        <f t="shared" si="75"/>
        <v>24-Mar-2012</v>
      </c>
    </row>
    <row r="2434" spans="1:20" x14ac:dyDescent="0.3">
      <c r="A2434">
        <v>194</v>
      </c>
      <c r="B2434" s="1">
        <v>41003</v>
      </c>
      <c r="C2434" t="s">
        <v>38</v>
      </c>
      <c r="D2434" t="str">
        <f t="shared" ref="D2434:D2497" si="76">TEXT(B2434, "dd-mmm-yyyy" )</f>
        <v>04-Apr-2012</v>
      </c>
      <c r="E2434">
        <v>6</v>
      </c>
      <c r="F2434" s="13">
        <v>20.190000000000001</v>
      </c>
      <c r="G2434">
        <v>0.04</v>
      </c>
      <c r="H2434" t="s">
        <v>19</v>
      </c>
      <c r="I2434" s="13">
        <v>-13.44</v>
      </c>
      <c r="J2434">
        <v>3.14</v>
      </c>
      <c r="K2434">
        <v>1.92</v>
      </c>
      <c r="L2434" t="s">
        <v>215</v>
      </c>
      <c r="M2434" t="s">
        <v>394</v>
      </c>
      <c r="N2434" s="5" t="s">
        <v>105</v>
      </c>
      <c r="O2434" t="s">
        <v>28</v>
      </c>
      <c r="P2434" t="s">
        <v>21</v>
      </c>
      <c r="Q2434" t="s">
        <v>67</v>
      </c>
      <c r="R2434">
        <v>0.84</v>
      </c>
      <c r="S2434" s="1">
        <v>41005</v>
      </c>
      <c r="T2434" t="str">
        <f t="shared" ref="T2434:T2497" si="77">TEXT(S2434, "dd-mmm-yyyy")</f>
        <v>06-Apr-2012</v>
      </c>
    </row>
    <row r="2435" spans="1:20" x14ac:dyDescent="0.3">
      <c r="A2435">
        <v>40612</v>
      </c>
      <c r="B2435" s="1">
        <v>40602</v>
      </c>
      <c r="C2435" t="s">
        <v>23</v>
      </c>
      <c r="D2435" t="str">
        <f t="shared" si="76"/>
        <v>28-Feb-2011</v>
      </c>
      <c r="E2435">
        <v>9</v>
      </c>
      <c r="F2435" s="13">
        <v>19.2</v>
      </c>
      <c r="G2435">
        <v>0.1</v>
      </c>
      <c r="H2435" t="s">
        <v>19</v>
      </c>
      <c r="I2435" s="13">
        <v>-6.84</v>
      </c>
      <c r="J2435">
        <v>2.21</v>
      </c>
      <c r="K2435">
        <v>1.1200000000000001</v>
      </c>
      <c r="L2435" t="s">
        <v>397</v>
      </c>
      <c r="M2435" t="s">
        <v>394</v>
      </c>
      <c r="N2435" s="5" t="s">
        <v>105</v>
      </c>
      <c r="O2435" t="s">
        <v>28</v>
      </c>
      <c r="P2435" t="s">
        <v>21</v>
      </c>
      <c r="Q2435" t="s">
        <v>50</v>
      </c>
      <c r="R2435">
        <v>0.57999999999999996</v>
      </c>
      <c r="S2435" s="1">
        <v>40603</v>
      </c>
      <c r="T2435" t="str">
        <f t="shared" si="77"/>
        <v>01-Mar-2011</v>
      </c>
    </row>
    <row r="2436" spans="1:20" x14ac:dyDescent="0.3">
      <c r="A2436">
        <v>47974</v>
      </c>
      <c r="B2436" s="1">
        <v>40056</v>
      </c>
      <c r="C2436" t="s">
        <v>38</v>
      </c>
      <c r="D2436" t="str">
        <f t="shared" si="76"/>
        <v>31-Aug-2009</v>
      </c>
      <c r="E2436">
        <v>6</v>
      </c>
      <c r="F2436" s="13">
        <v>18.02</v>
      </c>
      <c r="G2436">
        <v>0.01</v>
      </c>
      <c r="H2436" t="s">
        <v>19</v>
      </c>
      <c r="I2436" s="13">
        <v>-3.09</v>
      </c>
      <c r="J2436">
        <v>2.78</v>
      </c>
      <c r="K2436">
        <v>1.34</v>
      </c>
      <c r="L2436" t="s">
        <v>406</v>
      </c>
      <c r="M2436" t="s">
        <v>394</v>
      </c>
      <c r="N2436" s="5" t="s">
        <v>105</v>
      </c>
      <c r="O2436" t="s">
        <v>28</v>
      </c>
      <c r="P2436" t="s">
        <v>21</v>
      </c>
      <c r="Q2436" t="s">
        <v>50</v>
      </c>
      <c r="R2436">
        <v>0.45</v>
      </c>
      <c r="S2436" s="1">
        <v>40058</v>
      </c>
      <c r="T2436" t="str">
        <f t="shared" si="77"/>
        <v>02-Sep-2009</v>
      </c>
    </row>
    <row r="2437" spans="1:20" x14ac:dyDescent="0.3">
      <c r="A2437">
        <v>1824</v>
      </c>
      <c r="B2437" s="1">
        <v>39937</v>
      </c>
      <c r="C2437" t="s">
        <v>43</v>
      </c>
      <c r="D2437" t="str">
        <f t="shared" si="76"/>
        <v>04-May-2009</v>
      </c>
      <c r="E2437">
        <v>2</v>
      </c>
      <c r="F2437" s="13">
        <v>17.059999999999999</v>
      </c>
      <c r="G2437">
        <v>0.09</v>
      </c>
      <c r="H2437" t="s">
        <v>19</v>
      </c>
      <c r="I2437" s="13">
        <v>-5.2</v>
      </c>
      <c r="J2437">
        <v>6.28</v>
      </c>
      <c r="K2437">
        <v>5.29</v>
      </c>
      <c r="L2437" t="s">
        <v>401</v>
      </c>
      <c r="M2437" t="s">
        <v>394</v>
      </c>
      <c r="N2437" s="5" t="s">
        <v>105</v>
      </c>
      <c r="O2437" t="s">
        <v>28</v>
      </c>
      <c r="P2437" t="s">
        <v>32</v>
      </c>
      <c r="Q2437" t="s">
        <v>33</v>
      </c>
      <c r="R2437">
        <v>0.43</v>
      </c>
      <c r="S2437" s="1">
        <v>39937</v>
      </c>
      <c r="T2437" t="str">
        <f t="shared" si="77"/>
        <v>04-May-2009</v>
      </c>
    </row>
    <row r="2438" spans="1:20" x14ac:dyDescent="0.3">
      <c r="A2438">
        <v>31809</v>
      </c>
      <c r="B2438" s="1">
        <v>40387</v>
      </c>
      <c r="C2438" t="s">
        <v>23</v>
      </c>
      <c r="D2438" t="str">
        <f t="shared" si="76"/>
        <v>28-Jul-2010</v>
      </c>
      <c r="E2438">
        <v>1</v>
      </c>
      <c r="F2438" s="13">
        <v>15</v>
      </c>
      <c r="G2438">
        <v>0.1</v>
      </c>
      <c r="H2438" t="s">
        <v>19</v>
      </c>
      <c r="I2438" s="13">
        <v>-13.74</v>
      </c>
      <c r="J2438">
        <v>9.7799999999999994</v>
      </c>
      <c r="K2438">
        <v>5.76</v>
      </c>
      <c r="L2438" t="s">
        <v>393</v>
      </c>
      <c r="M2438" t="s">
        <v>394</v>
      </c>
      <c r="N2438" s="5" t="s">
        <v>105</v>
      </c>
      <c r="O2438" t="s">
        <v>28</v>
      </c>
      <c r="P2438" t="s">
        <v>21</v>
      </c>
      <c r="Q2438" t="s">
        <v>42</v>
      </c>
      <c r="R2438">
        <v>0.35</v>
      </c>
      <c r="S2438" s="1">
        <v>40389</v>
      </c>
      <c r="T2438" t="str">
        <f t="shared" si="77"/>
        <v>30-Jul-2010</v>
      </c>
    </row>
    <row r="2439" spans="1:20" x14ac:dyDescent="0.3">
      <c r="A2439">
        <v>13282</v>
      </c>
      <c r="B2439" s="1">
        <v>41038</v>
      </c>
      <c r="C2439" t="s">
        <v>18</v>
      </c>
      <c r="D2439" t="str">
        <f t="shared" si="76"/>
        <v>09-May-2012</v>
      </c>
      <c r="E2439">
        <v>2</v>
      </c>
      <c r="F2439" s="13">
        <v>12.59</v>
      </c>
      <c r="G2439">
        <v>0.02</v>
      </c>
      <c r="H2439" t="s">
        <v>19</v>
      </c>
      <c r="I2439" s="13">
        <v>-5.92</v>
      </c>
      <c r="J2439">
        <v>6.3</v>
      </c>
      <c r="K2439">
        <v>0.5</v>
      </c>
      <c r="L2439" t="s">
        <v>413</v>
      </c>
      <c r="M2439" t="s">
        <v>394</v>
      </c>
      <c r="N2439" s="5" t="s">
        <v>105</v>
      </c>
      <c r="O2439" t="s">
        <v>28</v>
      </c>
      <c r="P2439" t="s">
        <v>21</v>
      </c>
      <c r="Q2439" t="s">
        <v>48</v>
      </c>
      <c r="R2439">
        <v>0.39</v>
      </c>
      <c r="S2439" s="1">
        <v>41042</v>
      </c>
      <c r="T2439" t="str">
        <f t="shared" si="77"/>
        <v>13-May-2012</v>
      </c>
    </row>
    <row r="2440" spans="1:20" x14ac:dyDescent="0.3">
      <c r="A2440">
        <v>38279</v>
      </c>
      <c r="B2440" s="1">
        <v>41028</v>
      </c>
      <c r="C2440" t="s">
        <v>38</v>
      </c>
      <c r="D2440" t="str">
        <f t="shared" si="76"/>
        <v>29-Apr-2012</v>
      </c>
      <c r="E2440">
        <v>1</v>
      </c>
      <c r="F2440" s="13">
        <v>11.64</v>
      </c>
      <c r="G2440">
        <v>0.05</v>
      </c>
      <c r="H2440" t="s">
        <v>19</v>
      </c>
      <c r="I2440" s="13">
        <v>-10.73</v>
      </c>
      <c r="J2440">
        <v>7.59</v>
      </c>
      <c r="K2440">
        <v>4</v>
      </c>
      <c r="L2440" t="s">
        <v>403</v>
      </c>
      <c r="M2440" t="s">
        <v>394</v>
      </c>
      <c r="N2440" s="5" t="s">
        <v>105</v>
      </c>
      <c r="O2440" t="s">
        <v>28</v>
      </c>
      <c r="P2440" t="s">
        <v>32</v>
      </c>
      <c r="Q2440" t="s">
        <v>33</v>
      </c>
      <c r="R2440">
        <v>0.42</v>
      </c>
      <c r="S2440" s="1">
        <v>41030</v>
      </c>
      <c r="T2440" t="str">
        <f t="shared" si="77"/>
        <v>01-May-2012</v>
      </c>
    </row>
    <row r="2441" spans="1:20" x14ac:dyDescent="0.3">
      <c r="A2441">
        <v>35811</v>
      </c>
      <c r="B2441" s="1">
        <v>40911</v>
      </c>
      <c r="C2441" t="s">
        <v>43</v>
      </c>
      <c r="D2441" t="str">
        <f t="shared" si="76"/>
        <v>03-Jan-2012</v>
      </c>
      <c r="E2441">
        <v>6</v>
      </c>
      <c r="F2441" s="13">
        <v>10.39</v>
      </c>
      <c r="G2441">
        <v>0.1</v>
      </c>
      <c r="H2441" t="s">
        <v>19</v>
      </c>
      <c r="I2441" s="13">
        <v>-3.24</v>
      </c>
      <c r="J2441">
        <v>1.76</v>
      </c>
      <c r="K2441">
        <v>0.7</v>
      </c>
      <c r="L2441" t="s">
        <v>132</v>
      </c>
      <c r="M2441" t="s">
        <v>394</v>
      </c>
      <c r="N2441" s="5" t="s">
        <v>105</v>
      </c>
      <c r="O2441" t="s">
        <v>28</v>
      </c>
      <c r="P2441" t="s">
        <v>21</v>
      </c>
      <c r="Q2441" t="s">
        <v>50</v>
      </c>
      <c r="R2441">
        <v>0.56000000000000005</v>
      </c>
      <c r="S2441" s="1">
        <v>40913</v>
      </c>
      <c r="T2441" t="str">
        <f t="shared" si="77"/>
        <v>05-Jan-2012</v>
      </c>
    </row>
    <row r="2442" spans="1:20" x14ac:dyDescent="0.3">
      <c r="A2442">
        <v>6</v>
      </c>
      <c r="B2442" s="1">
        <v>40959</v>
      </c>
      <c r="C2442" t="s">
        <v>31</v>
      </c>
      <c r="D2442" t="str">
        <f t="shared" si="76"/>
        <v>20-Feb-2012</v>
      </c>
      <c r="E2442">
        <v>2</v>
      </c>
      <c r="F2442" s="13">
        <v>6.93</v>
      </c>
      <c r="G2442">
        <v>0.01</v>
      </c>
      <c r="H2442" t="s">
        <v>19</v>
      </c>
      <c r="I2442" s="13">
        <v>-4.6399999999999997</v>
      </c>
      <c r="J2442">
        <v>2.08</v>
      </c>
      <c r="K2442">
        <v>2.56</v>
      </c>
      <c r="L2442" t="s">
        <v>412</v>
      </c>
      <c r="M2442" t="s">
        <v>394</v>
      </c>
      <c r="N2442" s="5" t="s">
        <v>105</v>
      </c>
      <c r="O2442" t="s">
        <v>28</v>
      </c>
      <c r="P2442" t="s">
        <v>21</v>
      </c>
      <c r="Q2442" t="s">
        <v>67</v>
      </c>
      <c r="R2442">
        <v>0.55000000000000004</v>
      </c>
      <c r="S2442" s="1">
        <v>40960</v>
      </c>
      <c r="T2442" t="str">
        <f t="shared" si="77"/>
        <v>21-Feb-2012</v>
      </c>
    </row>
    <row r="2443" spans="1:20" x14ac:dyDescent="0.3">
      <c r="A2443">
        <v>32932</v>
      </c>
      <c r="B2443" s="1">
        <v>40187</v>
      </c>
      <c r="C2443" t="s">
        <v>18</v>
      </c>
      <c r="D2443" t="str">
        <f t="shared" si="76"/>
        <v>09-Jan-2010</v>
      </c>
      <c r="E2443">
        <v>49</v>
      </c>
      <c r="F2443" s="13">
        <v>29884.6</v>
      </c>
      <c r="G2443">
        <v>0.05</v>
      </c>
      <c r="H2443" t="s">
        <v>19</v>
      </c>
      <c r="I2443" s="13">
        <v>12748.86</v>
      </c>
      <c r="J2443">
        <v>599.99</v>
      </c>
      <c r="K2443">
        <v>24.49</v>
      </c>
      <c r="L2443" t="s">
        <v>238</v>
      </c>
      <c r="M2443" t="s">
        <v>104</v>
      </c>
      <c r="N2443" s="5" t="s">
        <v>105</v>
      </c>
      <c r="O2443" t="s">
        <v>28</v>
      </c>
      <c r="P2443" t="s">
        <v>29</v>
      </c>
      <c r="Q2443" t="s">
        <v>51</v>
      </c>
      <c r="R2443">
        <v>0.44</v>
      </c>
      <c r="S2443" s="1">
        <v>40191</v>
      </c>
      <c r="T2443" t="str">
        <f t="shared" si="77"/>
        <v>13-Jan-2010</v>
      </c>
    </row>
    <row r="2444" spans="1:20" x14ac:dyDescent="0.3">
      <c r="A2444">
        <v>44323</v>
      </c>
      <c r="B2444" s="1">
        <v>41128</v>
      </c>
      <c r="C2444" t="s">
        <v>38</v>
      </c>
      <c r="D2444" t="str">
        <f t="shared" si="76"/>
        <v>07-Aug-2012</v>
      </c>
      <c r="E2444">
        <v>27</v>
      </c>
      <c r="F2444" s="13">
        <v>21320.58</v>
      </c>
      <c r="G2444">
        <v>0.09</v>
      </c>
      <c r="H2444" t="s">
        <v>24</v>
      </c>
      <c r="I2444" s="13">
        <v>5381.02</v>
      </c>
      <c r="J2444">
        <v>810.98</v>
      </c>
      <c r="K2444">
        <v>16.059999999999999</v>
      </c>
      <c r="L2444" t="s">
        <v>66</v>
      </c>
      <c r="M2444" t="s">
        <v>104</v>
      </c>
      <c r="N2444" s="5" t="s">
        <v>105</v>
      </c>
      <c r="O2444" t="s">
        <v>28</v>
      </c>
      <c r="P2444" t="s">
        <v>29</v>
      </c>
      <c r="Q2444" t="s">
        <v>74</v>
      </c>
      <c r="R2444">
        <v>0.56000000000000005</v>
      </c>
      <c r="S2444" s="1">
        <v>41130</v>
      </c>
      <c r="T2444" t="str">
        <f t="shared" si="77"/>
        <v>09-Aug-2012</v>
      </c>
    </row>
    <row r="2445" spans="1:20" x14ac:dyDescent="0.3">
      <c r="A2445">
        <v>52035</v>
      </c>
      <c r="B2445" s="1">
        <v>40144</v>
      </c>
      <c r="C2445" t="s">
        <v>23</v>
      </c>
      <c r="D2445" t="str">
        <f t="shared" si="76"/>
        <v>27-Nov-2009</v>
      </c>
      <c r="E2445">
        <v>29</v>
      </c>
      <c r="F2445" s="13">
        <v>20872.16</v>
      </c>
      <c r="G2445">
        <v>0.03</v>
      </c>
      <c r="H2445" t="s">
        <v>19</v>
      </c>
      <c r="I2445" s="13">
        <v>-4437.91</v>
      </c>
      <c r="J2445">
        <v>699.99</v>
      </c>
      <c r="K2445">
        <v>24.49</v>
      </c>
      <c r="L2445" t="s">
        <v>80</v>
      </c>
      <c r="M2445" t="s">
        <v>104</v>
      </c>
      <c r="N2445" s="5" t="s">
        <v>105</v>
      </c>
      <c r="O2445" t="s">
        <v>28</v>
      </c>
      <c r="P2445" t="s">
        <v>29</v>
      </c>
      <c r="Q2445" t="s">
        <v>51</v>
      </c>
      <c r="R2445">
        <v>0.41</v>
      </c>
      <c r="S2445" s="1">
        <v>40147</v>
      </c>
      <c r="T2445" t="str">
        <f t="shared" si="77"/>
        <v>30-Nov-2009</v>
      </c>
    </row>
    <row r="2446" spans="1:20" x14ac:dyDescent="0.3">
      <c r="A2446">
        <v>47553</v>
      </c>
      <c r="B2446" s="1">
        <v>40685</v>
      </c>
      <c r="C2446" t="s">
        <v>38</v>
      </c>
      <c r="D2446" t="str">
        <f t="shared" si="76"/>
        <v>22-May-2011</v>
      </c>
      <c r="E2446">
        <v>49</v>
      </c>
      <c r="F2446" s="13">
        <v>20701.928</v>
      </c>
      <c r="G2446">
        <v>0.08</v>
      </c>
      <c r="H2446" t="s">
        <v>24</v>
      </c>
      <c r="I2446" s="13">
        <v>3918.54</v>
      </c>
      <c r="J2446">
        <v>550.98</v>
      </c>
      <c r="K2446">
        <v>45.7</v>
      </c>
      <c r="L2446" t="s">
        <v>226</v>
      </c>
      <c r="M2446" t="s">
        <v>104</v>
      </c>
      <c r="N2446" s="5" t="s">
        <v>105</v>
      </c>
      <c r="O2446" t="s">
        <v>28</v>
      </c>
      <c r="P2446" t="s">
        <v>32</v>
      </c>
      <c r="Q2446" t="s">
        <v>46</v>
      </c>
      <c r="R2446">
        <v>0.71</v>
      </c>
      <c r="S2446" s="1">
        <v>40686</v>
      </c>
      <c r="T2446" t="str">
        <f t="shared" si="77"/>
        <v>23-May-2011</v>
      </c>
    </row>
    <row r="2447" spans="1:20" x14ac:dyDescent="0.3">
      <c r="A2447">
        <v>6368</v>
      </c>
      <c r="B2447" s="1">
        <v>39866</v>
      </c>
      <c r="C2447" t="s">
        <v>31</v>
      </c>
      <c r="D2447" t="str">
        <f t="shared" si="76"/>
        <v>22-Feb-2009</v>
      </c>
      <c r="E2447">
        <v>40</v>
      </c>
      <c r="F2447" s="13">
        <v>19100.45</v>
      </c>
      <c r="G2447">
        <v>0</v>
      </c>
      <c r="H2447" t="s">
        <v>24</v>
      </c>
      <c r="I2447" s="13">
        <v>6839.95</v>
      </c>
      <c r="J2447">
        <v>442.14</v>
      </c>
      <c r="K2447">
        <v>14.7</v>
      </c>
      <c r="L2447" t="s">
        <v>113</v>
      </c>
      <c r="M2447" t="s">
        <v>104</v>
      </c>
      <c r="N2447" s="5" t="s">
        <v>105</v>
      </c>
      <c r="O2447" t="s">
        <v>28</v>
      </c>
      <c r="P2447" t="s">
        <v>29</v>
      </c>
      <c r="Q2447" t="s">
        <v>74</v>
      </c>
      <c r="R2447">
        <v>0.56000000000000005</v>
      </c>
      <c r="S2447" s="1">
        <v>39866</v>
      </c>
      <c r="T2447" t="str">
        <f t="shared" si="77"/>
        <v>22-Feb-2009</v>
      </c>
    </row>
    <row r="2448" spans="1:20" x14ac:dyDescent="0.3">
      <c r="A2448">
        <v>37410</v>
      </c>
      <c r="B2448" s="1">
        <v>40463</v>
      </c>
      <c r="C2448" t="s">
        <v>38</v>
      </c>
      <c r="D2448" t="str">
        <f t="shared" si="76"/>
        <v>12-Oct-2010</v>
      </c>
      <c r="E2448">
        <v>45</v>
      </c>
      <c r="F2448" s="13">
        <v>18775.759999999998</v>
      </c>
      <c r="G2448">
        <v>0.03</v>
      </c>
      <c r="H2448" t="s">
        <v>24</v>
      </c>
      <c r="I2448" s="13">
        <v>8504.4699999999993</v>
      </c>
      <c r="J2448">
        <v>400.97</v>
      </c>
      <c r="K2448">
        <v>48.26</v>
      </c>
      <c r="L2448" t="s">
        <v>132</v>
      </c>
      <c r="M2448" t="s">
        <v>104</v>
      </c>
      <c r="N2448" s="5" t="s">
        <v>105</v>
      </c>
      <c r="O2448" t="s">
        <v>28</v>
      </c>
      <c r="P2448" t="s">
        <v>29</v>
      </c>
      <c r="Q2448" t="s">
        <v>74</v>
      </c>
      <c r="R2448">
        <v>0.36</v>
      </c>
      <c r="S2448" s="1">
        <v>40465</v>
      </c>
      <c r="T2448" t="str">
        <f t="shared" si="77"/>
        <v>14-Oct-2010</v>
      </c>
    </row>
    <row r="2449" spans="1:20" x14ac:dyDescent="0.3">
      <c r="A2449">
        <v>36836</v>
      </c>
      <c r="B2449" s="1">
        <v>40235</v>
      </c>
      <c r="C2449" t="s">
        <v>38</v>
      </c>
      <c r="D2449" t="str">
        <f t="shared" si="76"/>
        <v>26-Feb-2010</v>
      </c>
      <c r="E2449">
        <v>43</v>
      </c>
      <c r="F2449" s="13">
        <v>16116.33</v>
      </c>
      <c r="G2449">
        <v>0.08</v>
      </c>
      <c r="H2449" t="s">
        <v>19</v>
      </c>
      <c r="I2449" s="13">
        <v>6919.87</v>
      </c>
      <c r="J2449">
        <v>387.99</v>
      </c>
      <c r="K2449">
        <v>19.989999999999998</v>
      </c>
      <c r="L2449" t="s">
        <v>238</v>
      </c>
      <c r="M2449" t="s">
        <v>104</v>
      </c>
      <c r="N2449" s="5" t="s">
        <v>105</v>
      </c>
      <c r="O2449" t="s">
        <v>28</v>
      </c>
      <c r="P2449" t="s">
        <v>21</v>
      </c>
      <c r="Q2449" t="s">
        <v>26</v>
      </c>
      <c r="R2449">
        <v>0.38</v>
      </c>
      <c r="S2449" s="1">
        <v>40238</v>
      </c>
      <c r="T2449" t="str">
        <f t="shared" si="77"/>
        <v>01-Mar-2010</v>
      </c>
    </row>
    <row r="2450" spans="1:20" x14ac:dyDescent="0.3">
      <c r="A2450">
        <v>7427</v>
      </c>
      <c r="B2450" s="1">
        <v>41258</v>
      </c>
      <c r="C2450" t="s">
        <v>31</v>
      </c>
      <c r="D2450" t="str">
        <f t="shared" si="76"/>
        <v>15-Dec-2012</v>
      </c>
      <c r="E2450">
        <v>47</v>
      </c>
      <c r="F2450" s="13">
        <v>16002.29</v>
      </c>
      <c r="G2450">
        <v>0.09</v>
      </c>
      <c r="H2450" t="s">
        <v>19</v>
      </c>
      <c r="I2450" s="13">
        <v>4604.79</v>
      </c>
      <c r="J2450">
        <v>363.25</v>
      </c>
      <c r="K2450">
        <v>19.989999999999998</v>
      </c>
      <c r="L2450" t="s">
        <v>127</v>
      </c>
      <c r="M2450" t="s">
        <v>104</v>
      </c>
      <c r="N2450" s="5" t="s">
        <v>105</v>
      </c>
      <c r="O2450" t="s">
        <v>28</v>
      </c>
      <c r="P2450" t="s">
        <v>21</v>
      </c>
      <c r="Q2450" t="s">
        <v>25</v>
      </c>
      <c r="R2450">
        <v>0.56999999999999995</v>
      </c>
      <c r="S2450" s="1">
        <v>41258</v>
      </c>
      <c r="T2450" t="str">
        <f t="shared" si="77"/>
        <v>15-Dec-2012</v>
      </c>
    </row>
    <row r="2451" spans="1:20" x14ac:dyDescent="0.3">
      <c r="A2451">
        <v>35364</v>
      </c>
      <c r="B2451" s="1">
        <v>40159</v>
      </c>
      <c r="C2451" t="s">
        <v>43</v>
      </c>
      <c r="D2451" t="str">
        <f t="shared" si="76"/>
        <v>12-Dec-2009</v>
      </c>
      <c r="E2451">
        <v>37</v>
      </c>
      <c r="F2451" s="13">
        <v>15897.01</v>
      </c>
      <c r="G2451">
        <v>0.06</v>
      </c>
      <c r="H2451" t="s">
        <v>24</v>
      </c>
      <c r="I2451" s="13">
        <v>455.02</v>
      </c>
      <c r="J2451">
        <v>424.21</v>
      </c>
      <c r="K2451">
        <v>110.2</v>
      </c>
      <c r="L2451" t="s">
        <v>119</v>
      </c>
      <c r="M2451" t="s">
        <v>104</v>
      </c>
      <c r="N2451" s="5" t="s">
        <v>105</v>
      </c>
      <c r="O2451" t="s">
        <v>28</v>
      </c>
      <c r="P2451" t="s">
        <v>32</v>
      </c>
      <c r="Q2451" t="s">
        <v>46</v>
      </c>
      <c r="R2451">
        <v>0.67</v>
      </c>
      <c r="S2451" s="1">
        <v>40160</v>
      </c>
      <c r="T2451" t="str">
        <f t="shared" si="77"/>
        <v>13-Dec-2009</v>
      </c>
    </row>
    <row r="2452" spans="1:20" x14ac:dyDescent="0.3">
      <c r="A2452">
        <v>31874</v>
      </c>
      <c r="B2452" s="1">
        <v>41167</v>
      </c>
      <c r="C2452" t="s">
        <v>23</v>
      </c>
      <c r="D2452" t="str">
        <f t="shared" si="76"/>
        <v>15-Sep-2012</v>
      </c>
      <c r="E2452">
        <v>39</v>
      </c>
      <c r="F2452" s="13">
        <v>13244.04</v>
      </c>
      <c r="G2452">
        <v>0.05</v>
      </c>
      <c r="H2452" t="s">
        <v>24</v>
      </c>
      <c r="I2452" s="13">
        <v>275.93</v>
      </c>
      <c r="J2452">
        <v>348.21</v>
      </c>
      <c r="K2452">
        <v>84.84</v>
      </c>
      <c r="L2452" t="s">
        <v>122</v>
      </c>
      <c r="M2452" t="s">
        <v>104</v>
      </c>
      <c r="N2452" s="5" t="s">
        <v>105</v>
      </c>
      <c r="O2452" t="s">
        <v>28</v>
      </c>
      <c r="P2452" t="s">
        <v>32</v>
      </c>
      <c r="Q2452" t="s">
        <v>46</v>
      </c>
      <c r="R2452">
        <v>0.66</v>
      </c>
      <c r="S2452" s="1">
        <v>41167</v>
      </c>
      <c r="T2452" t="str">
        <f t="shared" si="77"/>
        <v>15-Sep-2012</v>
      </c>
    </row>
    <row r="2453" spans="1:20" x14ac:dyDescent="0.3">
      <c r="A2453">
        <v>44261</v>
      </c>
      <c r="B2453" s="1">
        <v>40991</v>
      </c>
      <c r="C2453" t="s">
        <v>23</v>
      </c>
      <c r="D2453" t="str">
        <f t="shared" si="76"/>
        <v>23-Mar-2012</v>
      </c>
      <c r="E2453">
        <v>31</v>
      </c>
      <c r="F2453" s="13">
        <v>13064.06</v>
      </c>
      <c r="G2453">
        <v>0.01</v>
      </c>
      <c r="H2453" t="s">
        <v>35</v>
      </c>
      <c r="I2453" s="13">
        <v>5979.56</v>
      </c>
      <c r="J2453">
        <v>420.98</v>
      </c>
      <c r="K2453">
        <v>19.989999999999998</v>
      </c>
      <c r="L2453" t="s">
        <v>386</v>
      </c>
      <c r="M2453" t="s">
        <v>104</v>
      </c>
      <c r="N2453" s="5" t="s">
        <v>105</v>
      </c>
      <c r="O2453" t="s">
        <v>28</v>
      </c>
      <c r="P2453" t="s">
        <v>21</v>
      </c>
      <c r="Q2453" t="s">
        <v>26</v>
      </c>
      <c r="R2453">
        <v>0.35</v>
      </c>
      <c r="S2453" s="1">
        <v>40993</v>
      </c>
      <c r="T2453" t="str">
        <f t="shared" si="77"/>
        <v>25-Mar-2012</v>
      </c>
    </row>
    <row r="2454" spans="1:20" x14ac:dyDescent="0.3">
      <c r="A2454">
        <v>33665</v>
      </c>
      <c r="B2454" s="1">
        <v>40688</v>
      </c>
      <c r="C2454" t="s">
        <v>18</v>
      </c>
      <c r="D2454" t="str">
        <f t="shared" si="76"/>
        <v>25-May-2011</v>
      </c>
      <c r="E2454">
        <v>45</v>
      </c>
      <c r="F2454" s="13">
        <v>12457.63</v>
      </c>
      <c r="G2454">
        <v>0.08</v>
      </c>
      <c r="H2454" t="s">
        <v>24</v>
      </c>
      <c r="I2454" s="13">
        <v>1063.46</v>
      </c>
      <c r="J2454">
        <v>284.98</v>
      </c>
      <c r="K2454">
        <v>69.55</v>
      </c>
      <c r="L2454" t="s">
        <v>119</v>
      </c>
      <c r="M2454" t="s">
        <v>104</v>
      </c>
      <c r="N2454" s="5" t="s">
        <v>105</v>
      </c>
      <c r="O2454" t="s">
        <v>28</v>
      </c>
      <c r="P2454" t="s">
        <v>32</v>
      </c>
      <c r="Q2454" t="s">
        <v>56</v>
      </c>
      <c r="R2454">
        <v>0.6</v>
      </c>
      <c r="S2454" s="1">
        <v>40693</v>
      </c>
      <c r="T2454" t="str">
        <f t="shared" si="77"/>
        <v>30-May-2011</v>
      </c>
    </row>
    <row r="2455" spans="1:20" x14ac:dyDescent="0.3">
      <c r="A2455">
        <v>44099</v>
      </c>
      <c r="B2455" s="1">
        <v>40980</v>
      </c>
      <c r="C2455" t="s">
        <v>38</v>
      </c>
      <c r="D2455" t="str">
        <f t="shared" si="76"/>
        <v>12-Mar-2012</v>
      </c>
      <c r="E2455">
        <v>34</v>
      </c>
      <c r="F2455" s="13">
        <v>11823.52</v>
      </c>
      <c r="G2455">
        <v>0.1</v>
      </c>
      <c r="H2455" t="s">
        <v>19</v>
      </c>
      <c r="I2455" s="13">
        <v>4592.74</v>
      </c>
      <c r="J2455">
        <v>367.99</v>
      </c>
      <c r="K2455">
        <v>19.989999999999998</v>
      </c>
      <c r="L2455" t="s">
        <v>309</v>
      </c>
      <c r="M2455" t="s">
        <v>104</v>
      </c>
      <c r="N2455" s="5" t="s">
        <v>105</v>
      </c>
      <c r="O2455" t="s">
        <v>28</v>
      </c>
      <c r="P2455" t="s">
        <v>21</v>
      </c>
      <c r="Q2455" t="s">
        <v>26</v>
      </c>
      <c r="R2455">
        <v>0.4</v>
      </c>
      <c r="S2455" s="1">
        <v>40982</v>
      </c>
      <c r="T2455" t="str">
        <f t="shared" si="77"/>
        <v>14-Mar-2012</v>
      </c>
    </row>
    <row r="2456" spans="1:20" x14ac:dyDescent="0.3">
      <c r="A2456">
        <v>2595</v>
      </c>
      <c r="B2456" s="1">
        <v>40890</v>
      </c>
      <c r="C2456" t="s">
        <v>31</v>
      </c>
      <c r="D2456" t="str">
        <f t="shared" si="76"/>
        <v>13-Dec-2011</v>
      </c>
      <c r="E2456">
        <v>13</v>
      </c>
      <c r="F2456" s="13">
        <v>11764.25</v>
      </c>
      <c r="G2456">
        <v>0.04</v>
      </c>
      <c r="H2456" t="s">
        <v>24</v>
      </c>
      <c r="I2456" s="13">
        <v>2322.44</v>
      </c>
      <c r="J2456">
        <v>880.98</v>
      </c>
      <c r="K2456">
        <v>44.55</v>
      </c>
      <c r="L2456" t="s">
        <v>392</v>
      </c>
      <c r="M2456" t="s">
        <v>104</v>
      </c>
      <c r="N2456" s="5" t="s">
        <v>105</v>
      </c>
      <c r="O2456" t="s">
        <v>28</v>
      </c>
      <c r="P2456" t="s">
        <v>32</v>
      </c>
      <c r="Q2456" t="s">
        <v>45</v>
      </c>
      <c r="R2456">
        <v>0.62</v>
      </c>
      <c r="S2456" s="1">
        <v>40891</v>
      </c>
      <c r="T2456" t="str">
        <f t="shared" si="77"/>
        <v>14-Dec-2011</v>
      </c>
    </row>
    <row r="2457" spans="1:20" x14ac:dyDescent="0.3">
      <c r="A2457">
        <v>23745</v>
      </c>
      <c r="B2457" s="1">
        <v>41248</v>
      </c>
      <c r="C2457" t="s">
        <v>18</v>
      </c>
      <c r="D2457" t="str">
        <f t="shared" si="76"/>
        <v>05-Dec-2012</v>
      </c>
      <c r="E2457">
        <v>47</v>
      </c>
      <c r="F2457" s="13">
        <v>10941.23</v>
      </c>
      <c r="G2457">
        <v>0</v>
      </c>
      <c r="H2457" t="s">
        <v>24</v>
      </c>
      <c r="I2457" s="13">
        <v>1687.07</v>
      </c>
      <c r="J2457">
        <v>227.55</v>
      </c>
      <c r="K2457">
        <v>32.479999999999997</v>
      </c>
      <c r="L2457" t="s">
        <v>387</v>
      </c>
      <c r="M2457" t="s">
        <v>104</v>
      </c>
      <c r="N2457" s="5" t="s">
        <v>105</v>
      </c>
      <c r="O2457" t="s">
        <v>28</v>
      </c>
      <c r="P2457" t="s">
        <v>32</v>
      </c>
      <c r="Q2457" t="s">
        <v>46</v>
      </c>
      <c r="R2457">
        <v>0.68</v>
      </c>
      <c r="S2457" s="1">
        <v>41252</v>
      </c>
      <c r="T2457" t="str">
        <f t="shared" si="77"/>
        <v>09-Dec-2012</v>
      </c>
    </row>
    <row r="2458" spans="1:20" x14ac:dyDescent="0.3">
      <c r="A2458">
        <v>35364</v>
      </c>
      <c r="B2458" s="1">
        <v>40159</v>
      </c>
      <c r="C2458" t="s">
        <v>43</v>
      </c>
      <c r="D2458" t="str">
        <f t="shared" si="76"/>
        <v>12-Dec-2009</v>
      </c>
      <c r="E2458">
        <v>29</v>
      </c>
      <c r="F2458" s="13">
        <v>10338.93</v>
      </c>
      <c r="G2458">
        <v>0.06</v>
      </c>
      <c r="H2458" t="s">
        <v>24</v>
      </c>
      <c r="I2458" s="13">
        <v>-871.52</v>
      </c>
      <c r="J2458">
        <v>376.13</v>
      </c>
      <c r="K2458">
        <v>85.63</v>
      </c>
      <c r="L2458" t="s">
        <v>119</v>
      </c>
      <c r="M2458" t="s">
        <v>104</v>
      </c>
      <c r="N2458" s="5" t="s">
        <v>105</v>
      </c>
      <c r="O2458" t="s">
        <v>28</v>
      </c>
      <c r="P2458" t="s">
        <v>32</v>
      </c>
      <c r="Q2458" t="s">
        <v>46</v>
      </c>
      <c r="R2458">
        <v>0.74</v>
      </c>
      <c r="S2458" s="1">
        <v>40161</v>
      </c>
      <c r="T2458" t="str">
        <f t="shared" si="77"/>
        <v>14-Dec-2009</v>
      </c>
    </row>
    <row r="2459" spans="1:20" x14ac:dyDescent="0.3">
      <c r="A2459">
        <v>1221</v>
      </c>
      <c r="B2459" s="1">
        <v>41017</v>
      </c>
      <c r="C2459" t="s">
        <v>31</v>
      </c>
      <c r="D2459" t="str">
        <f t="shared" si="76"/>
        <v>18-Apr-2012</v>
      </c>
      <c r="E2459">
        <v>11</v>
      </c>
      <c r="F2459" s="13">
        <v>10145.14</v>
      </c>
      <c r="G2459">
        <v>0.03</v>
      </c>
      <c r="H2459" t="s">
        <v>19</v>
      </c>
      <c r="I2459" s="13">
        <v>3724.57</v>
      </c>
      <c r="J2459">
        <v>896.99</v>
      </c>
      <c r="K2459">
        <v>19.989999999999998</v>
      </c>
      <c r="L2459" t="s">
        <v>121</v>
      </c>
      <c r="M2459" t="s">
        <v>104</v>
      </c>
      <c r="N2459" s="5" t="s">
        <v>105</v>
      </c>
      <c r="O2459" t="s">
        <v>28</v>
      </c>
      <c r="P2459" t="s">
        <v>21</v>
      </c>
      <c r="Q2459" t="s">
        <v>26</v>
      </c>
      <c r="R2459">
        <v>0.38</v>
      </c>
      <c r="S2459" s="1">
        <v>41019</v>
      </c>
      <c r="T2459" t="str">
        <f t="shared" si="77"/>
        <v>20-Apr-2012</v>
      </c>
    </row>
    <row r="2460" spans="1:20" x14ac:dyDescent="0.3">
      <c r="A2460">
        <v>41413</v>
      </c>
      <c r="B2460" s="1">
        <v>40863</v>
      </c>
      <c r="C2460" t="s">
        <v>18</v>
      </c>
      <c r="D2460" t="str">
        <f t="shared" si="76"/>
        <v>16-Nov-2011</v>
      </c>
      <c r="E2460">
        <v>17</v>
      </c>
      <c r="F2460" s="13">
        <v>10134.549999999999</v>
      </c>
      <c r="G2460">
        <v>0.08</v>
      </c>
      <c r="H2460" t="s">
        <v>19</v>
      </c>
      <c r="I2460" s="13">
        <v>-597.21</v>
      </c>
      <c r="J2460">
        <v>599.99</v>
      </c>
      <c r="K2460">
        <v>24.49</v>
      </c>
      <c r="L2460" t="s">
        <v>392</v>
      </c>
      <c r="M2460" t="s">
        <v>104</v>
      </c>
      <c r="N2460" s="5" t="s">
        <v>105</v>
      </c>
      <c r="O2460" t="s">
        <v>28</v>
      </c>
      <c r="P2460" t="s">
        <v>29</v>
      </c>
      <c r="Q2460" t="s">
        <v>51</v>
      </c>
      <c r="R2460">
        <v>0.37</v>
      </c>
      <c r="S2460" s="1">
        <v>40870</v>
      </c>
      <c r="T2460" t="str">
        <f t="shared" si="77"/>
        <v>23-Nov-2011</v>
      </c>
    </row>
    <row r="2461" spans="1:20" x14ac:dyDescent="0.3">
      <c r="A2461">
        <v>22657</v>
      </c>
      <c r="B2461" s="1">
        <v>40845</v>
      </c>
      <c r="C2461" t="s">
        <v>23</v>
      </c>
      <c r="D2461" t="str">
        <f t="shared" si="76"/>
        <v>29-Oct-2011</v>
      </c>
      <c r="E2461">
        <v>36</v>
      </c>
      <c r="F2461" s="13">
        <v>9544.18</v>
      </c>
      <c r="G2461">
        <v>0</v>
      </c>
      <c r="H2461" t="s">
        <v>35</v>
      </c>
      <c r="I2461" s="13">
        <v>3392.88</v>
      </c>
      <c r="J2461">
        <v>256.99</v>
      </c>
      <c r="K2461">
        <v>11.25</v>
      </c>
      <c r="L2461" t="s">
        <v>124</v>
      </c>
      <c r="M2461" t="s">
        <v>104</v>
      </c>
      <c r="N2461" s="5" t="s">
        <v>105</v>
      </c>
      <c r="O2461" t="s">
        <v>28</v>
      </c>
      <c r="P2461" t="s">
        <v>29</v>
      </c>
      <c r="Q2461" t="s">
        <v>41</v>
      </c>
      <c r="R2461">
        <v>0.51</v>
      </c>
      <c r="S2461" s="1">
        <v>40846</v>
      </c>
      <c r="T2461" t="str">
        <f t="shared" si="77"/>
        <v>30-Oct-2011</v>
      </c>
    </row>
    <row r="2462" spans="1:20" x14ac:dyDescent="0.3">
      <c r="A2462">
        <v>4261</v>
      </c>
      <c r="B2462" s="1">
        <v>41184</v>
      </c>
      <c r="C2462" t="s">
        <v>43</v>
      </c>
      <c r="D2462" t="str">
        <f t="shared" si="76"/>
        <v>02-Oct-2012</v>
      </c>
      <c r="E2462">
        <v>32</v>
      </c>
      <c r="F2462" s="13">
        <v>9235.9699999999993</v>
      </c>
      <c r="G2462">
        <v>0.04</v>
      </c>
      <c r="H2462" t="s">
        <v>19</v>
      </c>
      <c r="I2462" s="13">
        <v>2848.17</v>
      </c>
      <c r="J2462">
        <v>300.64999999999998</v>
      </c>
      <c r="K2462">
        <v>24.49</v>
      </c>
      <c r="L2462" t="s">
        <v>121</v>
      </c>
      <c r="M2462" t="s">
        <v>104</v>
      </c>
      <c r="N2462" s="5" t="s">
        <v>105</v>
      </c>
      <c r="O2462" t="s">
        <v>28</v>
      </c>
      <c r="P2462" t="s">
        <v>21</v>
      </c>
      <c r="Q2462" t="s">
        <v>25</v>
      </c>
      <c r="R2462">
        <v>0.52</v>
      </c>
      <c r="S2462" s="1">
        <v>41186</v>
      </c>
      <c r="T2462" t="str">
        <f t="shared" si="77"/>
        <v>04-Oct-2012</v>
      </c>
    </row>
    <row r="2463" spans="1:20" x14ac:dyDescent="0.3">
      <c r="A2463">
        <v>12199</v>
      </c>
      <c r="B2463" s="1">
        <v>40891</v>
      </c>
      <c r="C2463" t="s">
        <v>18</v>
      </c>
      <c r="D2463" t="str">
        <f t="shared" si="76"/>
        <v>14-Dec-2011</v>
      </c>
      <c r="E2463">
        <v>50</v>
      </c>
      <c r="F2463" s="13">
        <v>8289.51</v>
      </c>
      <c r="G2463">
        <v>0.01</v>
      </c>
      <c r="H2463" t="s">
        <v>19</v>
      </c>
      <c r="I2463" s="13">
        <v>3051.62</v>
      </c>
      <c r="J2463">
        <v>155.06</v>
      </c>
      <c r="K2463">
        <v>7.07</v>
      </c>
      <c r="L2463" t="s">
        <v>107</v>
      </c>
      <c r="M2463" t="s">
        <v>104</v>
      </c>
      <c r="N2463" s="5" t="s">
        <v>105</v>
      </c>
      <c r="O2463" t="s">
        <v>28</v>
      </c>
      <c r="P2463" t="s">
        <v>21</v>
      </c>
      <c r="Q2463" t="s">
        <v>22</v>
      </c>
      <c r="R2463">
        <v>0.59</v>
      </c>
      <c r="S2463" s="1">
        <v>40895</v>
      </c>
      <c r="T2463" t="str">
        <f t="shared" si="77"/>
        <v>18-Dec-2011</v>
      </c>
    </row>
    <row r="2464" spans="1:20" x14ac:dyDescent="0.3">
      <c r="A2464">
        <v>47457</v>
      </c>
      <c r="B2464" s="1">
        <v>39967</v>
      </c>
      <c r="C2464" t="s">
        <v>18</v>
      </c>
      <c r="D2464" t="str">
        <f t="shared" si="76"/>
        <v>03-Jun-2009</v>
      </c>
      <c r="E2464">
        <v>50</v>
      </c>
      <c r="F2464" s="13">
        <v>8230.77</v>
      </c>
      <c r="G2464">
        <v>0.05</v>
      </c>
      <c r="H2464" t="s">
        <v>19</v>
      </c>
      <c r="I2464" s="13">
        <v>1577.02</v>
      </c>
      <c r="J2464">
        <v>161.55000000000001</v>
      </c>
      <c r="K2464">
        <v>19.989999999999998</v>
      </c>
      <c r="L2464" t="s">
        <v>310</v>
      </c>
      <c r="M2464" t="s">
        <v>104</v>
      </c>
      <c r="N2464" s="5" t="s">
        <v>105</v>
      </c>
      <c r="O2464" t="s">
        <v>28</v>
      </c>
      <c r="P2464" t="s">
        <v>21</v>
      </c>
      <c r="Q2464" t="s">
        <v>22</v>
      </c>
      <c r="R2464">
        <v>0.66</v>
      </c>
      <c r="S2464" s="1">
        <v>39972</v>
      </c>
      <c r="T2464" t="str">
        <f t="shared" si="77"/>
        <v>08-Jun-2009</v>
      </c>
    </row>
    <row r="2465" spans="1:20" x14ac:dyDescent="0.3">
      <c r="A2465">
        <v>10692</v>
      </c>
      <c r="B2465" s="1">
        <v>40020</v>
      </c>
      <c r="C2465" t="s">
        <v>18</v>
      </c>
      <c r="D2465" t="str">
        <f t="shared" si="76"/>
        <v>26-Jul-2009</v>
      </c>
      <c r="E2465">
        <v>48</v>
      </c>
      <c r="F2465" s="13">
        <v>8101.9875000000002</v>
      </c>
      <c r="G2465">
        <v>0.05</v>
      </c>
      <c r="H2465" t="s">
        <v>19</v>
      </c>
      <c r="I2465" s="13">
        <v>2369.84</v>
      </c>
      <c r="J2465">
        <v>200.99</v>
      </c>
      <c r="K2465">
        <v>4.2</v>
      </c>
      <c r="L2465" t="s">
        <v>108</v>
      </c>
      <c r="M2465" t="s">
        <v>104</v>
      </c>
      <c r="N2465" s="5" t="s">
        <v>105</v>
      </c>
      <c r="O2465" t="s">
        <v>28</v>
      </c>
      <c r="P2465" t="s">
        <v>29</v>
      </c>
      <c r="Q2465" t="s">
        <v>30</v>
      </c>
      <c r="R2465">
        <v>0.59</v>
      </c>
      <c r="S2465" s="1">
        <v>40024</v>
      </c>
      <c r="T2465" t="str">
        <f t="shared" si="77"/>
        <v>30-Jul-2009</v>
      </c>
    </row>
    <row r="2466" spans="1:20" x14ac:dyDescent="0.3">
      <c r="A2466">
        <v>23685</v>
      </c>
      <c r="B2466" s="1">
        <v>41089</v>
      </c>
      <c r="C2466" t="s">
        <v>31</v>
      </c>
      <c r="D2466" t="str">
        <f t="shared" si="76"/>
        <v>29-Jun-2012</v>
      </c>
      <c r="E2466">
        <v>46</v>
      </c>
      <c r="F2466" s="13">
        <v>7928.5619999999999</v>
      </c>
      <c r="G2466">
        <v>0.08</v>
      </c>
      <c r="H2466" t="s">
        <v>19</v>
      </c>
      <c r="I2466" s="13">
        <v>2229.48</v>
      </c>
      <c r="J2466">
        <v>205.99</v>
      </c>
      <c r="K2466">
        <v>5</v>
      </c>
      <c r="L2466" t="s">
        <v>265</v>
      </c>
      <c r="M2466" t="s">
        <v>104</v>
      </c>
      <c r="N2466" s="5" t="s">
        <v>105</v>
      </c>
      <c r="O2466" t="s">
        <v>28</v>
      </c>
      <c r="P2466" t="s">
        <v>29</v>
      </c>
      <c r="Q2466" t="s">
        <v>30</v>
      </c>
      <c r="R2466">
        <v>0.59</v>
      </c>
      <c r="S2466" s="1">
        <v>41090</v>
      </c>
      <c r="T2466" t="str">
        <f t="shared" si="77"/>
        <v>30-Jun-2012</v>
      </c>
    </row>
    <row r="2467" spans="1:20" x14ac:dyDescent="0.3">
      <c r="A2467">
        <v>47972</v>
      </c>
      <c r="B2467" s="1">
        <v>40462</v>
      </c>
      <c r="C2467" t="s">
        <v>38</v>
      </c>
      <c r="D2467" t="str">
        <f t="shared" si="76"/>
        <v>11-Oct-2010</v>
      </c>
      <c r="E2467">
        <v>46</v>
      </c>
      <c r="F2467" s="13">
        <v>7685.62</v>
      </c>
      <c r="G2467">
        <v>0.02</v>
      </c>
      <c r="H2467" t="s">
        <v>35</v>
      </c>
      <c r="I2467" s="13">
        <v>1952.15</v>
      </c>
      <c r="J2467">
        <v>165.2</v>
      </c>
      <c r="K2467">
        <v>19.989999999999998</v>
      </c>
      <c r="L2467" t="s">
        <v>246</v>
      </c>
      <c r="M2467" t="s">
        <v>104</v>
      </c>
      <c r="N2467" s="5" t="s">
        <v>105</v>
      </c>
      <c r="O2467" t="s">
        <v>28</v>
      </c>
      <c r="P2467" t="s">
        <v>21</v>
      </c>
      <c r="Q2467" t="s">
        <v>22</v>
      </c>
      <c r="R2467">
        <v>0.59</v>
      </c>
      <c r="S2467" s="1">
        <v>40464</v>
      </c>
      <c r="T2467" t="str">
        <f t="shared" si="77"/>
        <v>13-Oct-2010</v>
      </c>
    </row>
    <row r="2468" spans="1:20" x14ac:dyDescent="0.3">
      <c r="A2468">
        <v>20389</v>
      </c>
      <c r="B2468" s="1">
        <v>40036</v>
      </c>
      <c r="C2468" t="s">
        <v>23</v>
      </c>
      <c r="D2468" t="str">
        <f t="shared" si="76"/>
        <v>11-Aug-2009</v>
      </c>
      <c r="E2468">
        <v>31</v>
      </c>
      <c r="F2468" s="13">
        <v>7477.78</v>
      </c>
      <c r="G2468">
        <v>0.09</v>
      </c>
      <c r="H2468" t="s">
        <v>24</v>
      </c>
      <c r="I2468" s="13">
        <v>883.29</v>
      </c>
      <c r="J2468">
        <v>260.98</v>
      </c>
      <c r="K2468">
        <v>41.91</v>
      </c>
      <c r="L2468" t="s">
        <v>123</v>
      </c>
      <c r="M2468" t="s">
        <v>104</v>
      </c>
      <c r="N2468" s="5" t="s">
        <v>105</v>
      </c>
      <c r="O2468" t="s">
        <v>28</v>
      </c>
      <c r="P2468" t="s">
        <v>32</v>
      </c>
      <c r="Q2468" t="s">
        <v>45</v>
      </c>
      <c r="R2468">
        <v>0.59</v>
      </c>
      <c r="S2468" s="1">
        <v>40038</v>
      </c>
      <c r="T2468" t="str">
        <f t="shared" si="77"/>
        <v>13-Aug-2009</v>
      </c>
    </row>
    <row r="2469" spans="1:20" x14ac:dyDescent="0.3">
      <c r="A2469">
        <v>11074</v>
      </c>
      <c r="B2469" s="1">
        <v>40703</v>
      </c>
      <c r="C2469" t="s">
        <v>23</v>
      </c>
      <c r="D2469" t="str">
        <f t="shared" si="76"/>
        <v>09-Jun-2011</v>
      </c>
      <c r="E2469">
        <v>44</v>
      </c>
      <c r="F2469" s="13">
        <v>7164.7434999999996</v>
      </c>
      <c r="G2469">
        <v>7.0000000000000007E-2</v>
      </c>
      <c r="H2469" t="s">
        <v>19</v>
      </c>
      <c r="I2469" s="13">
        <v>1609.29</v>
      </c>
      <c r="J2469">
        <v>205.99</v>
      </c>
      <c r="K2469">
        <v>5.99</v>
      </c>
      <c r="L2469" t="s">
        <v>265</v>
      </c>
      <c r="M2469" t="s">
        <v>104</v>
      </c>
      <c r="N2469" s="5" t="s">
        <v>105</v>
      </c>
      <c r="O2469" t="s">
        <v>28</v>
      </c>
      <c r="P2469" t="s">
        <v>29</v>
      </c>
      <c r="Q2469" t="s">
        <v>30</v>
      </c>
      <c r="R2469">
        <v>0.59</v>
      </c>
      <c r="S2469" s="1">
        <v>40704</v>
      </c>
      <c r="T2469" t="str">
        <f t="shared" si="77"/>
        <v>10-Jun-2011</v>
      </c>
    </row>
    <row r="2470" spans="1:20" x14ac:dyDescent="0.3">
      <c r="A2470">
        <v>44320</v>
      </c>
      <c r="B2470" s="1">
        <v>39932</v>
      </c>
      <c r="C2470" t="s">
        <v>38</v>
      </c>
      <c r="D2470" t="str">
        <f t="shared" si="76"/>
        <v>29-Apr-2009</v>
      </c>
      <c r="E2470">
        <v>49</v>
      </c>
      <c r="F2470" s="13">
        <v>7002.08</v>
      </c>
      <c r="G2470">
        <v>0.1</v>
      </c>
      <c r="H2470" t="s">
        <v>19</v>
      </c>
      <c r="I2470" s="13">
        <v>-1640.51</v>
      </c>
      <c r="J2470">
        <v>154.13</v>
      </c>
      <c r="K2470">
        <v>69</v>
      </c>
      <c r="L2470" t="s">
        <v>109</v>
      </c>
      <c r="M2470" t="s">
        <v>104</v>
      </c>
      <c r="N2470" s="5" t="s">
        <v>105</v>
      </c>
      <c r="O2470" t="s">
        <v>28</v>
      </c>
      <c r="P2470" t="s">
        <v>32</v>
      </c>
      <c r="Q2470" t="s">
        <v>46</v>
      </c>
      <c r="R2470">
        <v>0.68</v>
      </c>
      <c r="S2470" s="1">
        <v>39933</v>
      </c>
      <c r="T2470" t="str">
        <f t="shared" si="77"/>
        <v>30-Apr-2009</v>
      </c>
    </row>
    <row r="2471" spans="1:20" x14ac:dyDescent="0.3">
      <c r="A2471">
        <v>52448</v>
      </c>
      <c r="B2471" s="1">
        <v>40431</v>
      </c>
      <c r="C2471" t="s">
        <v>31</v>
      </c>
      <c r="D2471" t="str">
        <f t="shared" si="76"/>
        <v>10-Sep-2010</v>
      </c>
      <c r="E2471">
        <v>22</v>
      </c>
      <c r="F2471" s="13">
        <v>6767.43</v>
      </c>
      <c r="G2471">
        <v>0.05</v>
      </c>
      <c r="H2471" t="s">
        <v>24</v>
      </c>
      <c r="I2471" s="13">
        <v>803.48</v>
      </c>
      <c r="J2471">
        <v>320.98</v>
      </c>
      <c r="K2471">
        <v>58.95</v>
      </c>
      <c r="L2471" t="s">
        <v>66</v>
      </c>
      <c r="M2471" t="s">
        <v>104</v>
      </c>
      <c r="N2471" s="5" t="s">
        <v>105</v>
      </c>
      <c r="O2471" t="s">
        <v>28</v>
      </c>
      <c r="P2471" t="s">
        <v>32</v>
      </c>
      <c r="Q2471" t="s">
        <v>56</v>
      </c>
      <c r="R2471">
        <v>0.56999999999999995</v>
      </c>
      <c r="S2471" s="1">
        <v>40432</v>
      </c>
      <c r="T2471" t="str">
        <f t="shared" si="77"/>
        <v>11-Sep-2010</v>
      </c>
    </row>
    <row r="2472" spans="1:20" x14ac:dyDescent="0.3">
      <c r="A2472">
        <v>20961</v>
      </c>
      <c r="B2472" s="1">
        <v>40192</v>
      </c>
      <c r="C2472" t="s">
        <v>31</v>
      </c>
      <c r="D2472" t="str">
        <f t="shared" si="76"/>
        <v>14-Jan-2010</v>
      </c>
      <c r="E2472">
        <v>34</v>
      </c>
      <c r="F2472" s="13">
        <v>6607.92</v>
      </c>
      <c r="G2472">
        <v>0.06</v>
      </c>
      <c r="H2472" t="s">
        <v>19</v>
      </c>
      <c r="I2472" s="13">
        <v>1462.72</v>
      </c>
      <c r="J2472">
        <v>199.99</v>
      </c>
      <c r="K2472">
        <v>24.49</v>
      </c>
      <c r="L2472" t="s">
        <v>121</v>
      </c>
      <c r="M2472" t="s">
        <v>104</v>
      </c>
      <c r="N2472" s="5" t="s">
        <v>105</v>
      </c>
      <c r="O2472" t="s">
        <v>28</v>
      </c>
      <c r="P2472" t="s">
        <v>29</v>
      </c>
      <c r="Q2472" t="s">
        <v>51</v>
      </c>
      <c r="R2472">
        <v>0.46</v>
      </c>
      <c r="S2472" s="1">
        <v>40194</v>
      </c>
      <c r="T2472" t="str">
        <f t="shared" si="77"/>
        <v>16-Jan-2010</v>
      </c>
    </row>
    <row r="2473" spans="1:20" x14ac:dyDescent="0.3">
      <c r="A2473">
        <v>10144</v>
      </c>
      <c r="B2473" s="1">
        <v>40545</v>
      </c>
      <c r="C2473" t="s">
        <v>43</v>
      </c>
      <c r="D2473" t="str">
        <f t="shared" si="76"/>
        <v>02-Jan-2011</v>
      </c>
      <c r="E2473">
        <v>24</v>
      </c>
      <c r="F2473" s="13">
        <v>6408.3</v>
      </c>
      <c r="G2473">
        <v>0.1</v>
      </c>
      <c r="H2473" t="s">
        <v>24</v>
      </c>
      <c r="I2473" s="13">
        <v>539.54</v>
      </c>
      <c r="J2473">
        <v>280.98</v>
      </c>
      <c r="K2473">
        <v>35.67</v>
      </c>
      <c r="L2473" t="s">
        <v>112</v>
      </c>
      <c r="M2473" t="s">
        <v>104</v>
      </c>
      <c r="N2473" s="5" t="s">
        <v>105</v>
      </c>
      <c r="O2473" t="s">
        <v>28</v>
      </c>
      <c r="P2473" t="s">
        <v>32</v>
      </c>
      <c r="Q2473" t="s">
        <v>46</v>
      </c>
      <c r="R2473">
        <v>0.66</v>
      </c>
      <c r="S2473" s="1">
        <v>40545</v>
      </c>
      <c r="T2473" t="str">
        <f t="shared" si="77"/>
        <v>02-Jan-2011</v>
      </c>
    </row>
    <row r="2474" spans="1:20" x14ac:dyDescent="0.3">
      <c r="A2474">
        <v>41440</v>
      </c>
      <c r="B2474" s="1">
        <v>40078</v>
      </c>
      <c r="C2474" t="s">
        <v>23</v>
      </c>
      <c r="D2474" t="str">
        <f t="shared" si="76"/>
        <v>22-Sep-2009</v>
      </c>
      <c r="E2474">
        <v>19</v>
      </c>
      <c r="F2474" s="13">
        <v>6070.96</v>
      </c>
      <c r="G2474">
        <v>0.01</v>
      </c>
      <c r="H2474" t="s">
        <v>24</v>
      </c>
      <c r="I2474" s="13">
        <v>173.48</v>
      </c>
      <c r="J2474">
        <v>296.18</v>
      </c>
      <c r="K2474">
        <v>54.12</v>
      </c>
      <c r="L2474" t="s">
        <v>310</v>
      </c>
      <c r="M2474" t="s">
        <v>104</v>
      </c>
      <c r="N2474" s="5" t="s">
        <v>105</v>
      </c>
      <c r="O2474" t="s">
        <v>28</v>
      </c>
      <c r="P2474" t="s">
        <v>32</v>
      </c>
      <c r="Q2474" t="s">
        <v>46</v>
      </c>
      <c r="R2474">
        <v>0.76</v>
      </c>
      <c r="S2474" s="1">
        <v>40081</v>
      </c>
      <c r="T2474" t="str">
        <f t="shared" si="77"/>
        <v>25-Sep-2009</v>
      </c>
    </row>
    <row r="2475" spans="1:20" x14ac:dyDescent="0.3">
      <c r="A2475">
        <v>51584</v>
      </c>
      <c r="B2475" s="1">
        <v>40468</v>
      </c>
      <c r="C2475" t="s">
        <v>43</v>
      </c>
      <c r="D2475" t="str">
        <f t="shared" si="76"/>
        <v>17-Oct-2010</v>
      </c>
      <c r="E2475">
        <v>48</v>
      </c>
      <c r="F2475" s="13">
        <v>5620.2</v>
      </c>
      <c r="G2475">
        <v>0.01</v>
      </c>
      <c r="H2475" t="s">
        <v>24</v>
      </c>
      <c r="I2475" s="13">
        <v>176.04</v>
      </c>
      <c r="J2475">
        <v>110.98</v>
      </c>
      <c r="K2475">
        <v>30</v>
      </c>
      <c r="L2475" t="s">
        <v>108</v>
      </c>
      <c r="M2475" t="s">
        <v>104</v>
      </c>
      <c r="N2475" s="5" t="s">
        <v>105</v>
      </c>
      <c r="O2475" t="s">
        <v>28</v>
      </c>
      <c r="P2475" t="s">
        <v>32</v>
      </c>
      <c r="Q2475" t="s">
        <v>56</v>
      </c>
      <c r="R2475">
        <v>0.71</v>
      </c>
      <c r="S2475" s="1">
        <v>40469</v>
      </c>
      <c r="T2475" t="str">
        <f t="shared" si="77"/>
        <v>18-Oct-2010</v>
      </c>
    </row>
    <row r="2476" spans="1:20" x14ac:dyDescent="0.3">
      <c r="A2476">
        <v>36867</v>
      </c>
      <c r="B2476" s="1">
        <v>40061</v>
      </c>
      <c r="C2476" t="s">
        <v>23</v>
      </c>
      <c r="D2476" t="str">
        <f t="shared" si="76"/>
        <v>05-Sep-2009</v>
      </c>
      <c r="E2476">
        <v>21</v>
      </c>
      <c r="F2476" s="13">
        <v>5482.18</v>
      </c>
      <c r="G2476">
        <v>0.06</v>
      </c>
      <c r="H2476" t="s">
        <v>35</v>
      </c>
      <c r="I2476" s="13">
        <v>1167.3800000000001</v>
      </c>
      <c r="J2476">
        <v>276.2</v>
      </c>
      <c r="K2476">
        <v>24.49</v>
      </c>
      <c r="L2476" t="s">
        <v>268</v>
      </c>
      <c r="M2476" t="s">
        <v>104</v>
      </c>
      <c r="N2476" s="5" t="s">
        <v>105</v>
      </c>
      <c r="O2476" t="s">
        <v>28</v>
      </c>
      <c r="P2476" t="s">
        <v>32</v>
      </c>
      <c r="Q2476" t="s">
        <v>56</v>
      </c>
      <c r="S2476" s="1">
        <v>40063</v>
      </c>
      <c r="T2476" t="str">
        <f t="shared" si="77"/>
        <v>07-Sep-2009</v>
      </c>
    </row>
    <row r="2477" spans="1:20" x14ac:dyDescent="0.3">
      <c r="A2477">
        <v>10144</v>
      </c>
      <c r="B2477" s="1">
        <v>40545</v>
      </c>
      <c r="C2477" t="s">
        <v>43</v>
      </c>
      <c r="D2477" t="str">
        <f t="shared" si="76"/>
        <v>02-Jan-2011</v>
      </c>
      <c r="E2477">
        <v>16</v>
      </c>
      <c r="F2477" s="13">
        <v>5403.75</v>
      </c>
      <c r="G2477">
        <v>0.08</v>
      </c>
      <c r="H2477" t="s">
        <v>24</v>
      </c>
      <c r="I2477" s="13">
        <v>103.83</v>
      </c>
      <c r="J2477">
        <v>355.98</v>
      </c>
      <c r="K2477">
        <v>58.92</v>
      </c>
      <c r="L2477" t="s">
        <v>112</v>
      </c>
      <c r="M2477" t="s">
        <v>104</v>
      </c>
      <c r="N2477" s="5" t="s">
        <v>105</v>
      </c>
      <c r="O2477" t="s">
        <v>28</v>
      </c>
      <c r="P2477" t="s">
        <v>32</v>
      </c>
      <c r="Q2477" t="s">
        <v>56</v>
      </c>
      <c r="R2477">
        <v>0.64</v>
      </c>
      <c r="S2477" s="1">
        <v>40547</v>
      </c>
      <c r="T2477" t="str">
        <f t="shared" si="77"/>
        <v>04-Jan-2011</v>
      </c>
    </row>
    <row r="2478" spans="1:20" x14ac:dyDescent="0.3">
      <c r="A2478">
        <v>17507</v>
      </c>
      <c r="B2478" s="1">
        <v>41072</v>
      </c>
      <c r="C2478" t="s">
        <v>38</v>
      </c>
      <c r="D2478" t="str">
        <f t="shared" si="76"/>
        <v>12-Jun-2012</v>
      </c>
      <c r="E2478">
        <v>22</v>
      </c>
      <c r="F2478" s="13">
        <v>5393.27</v>
      </c>
      <c r="G2478">
        <v>0.1</v>
      </c>
      <c r="H2478" t="s">
        <v>24</v>
      </c>
      <c r="I2478" s="13">
        <v>353.72</v>
      </c>
      <c r="J2478">
        <v>270.97000000000003</v>
      </c>
      <c r="K2478">
        <v>28.06</v>
      </c>
      <c r="L2478" t="s">
        <v>121</v>
      </c>
      <c r="M2478" t="s">
        <v>104</v>
      </c>
      <c r="N2478" s="5" t="s">
        <v>105</v>
      </c>
      <c r="O2478" t="s">
        <v>28</v>
      </c>
      <c r="P2478" t="s">
        <v>29</v>
      </c>
      <c r="Q2478" t="s">
        <v>74</v>
      </c>
      <c r="R2478">
        <v>0.56000000000000005</v>
      </c>
      <c r="S2478" s="1">
        <v>41074</v>
      </c>
      <c r="T2478" t="str">
        <f t="shared" si="77"/>
        <v>14-Jun-2012</v>
      </c>
    </row>
    <row r="2479" spans="1:20" x14ac:dyDescent="0.3">
      <c r="A2479">
        <v>56162</v>
      </c>
      <c r="B2479" s="1">
        <v>40658</v>
      </c>
      <c r="C2479" t="s">
        <v>31</v>
      </c>
      <c r="D2479" t="str">
        <f t="shared" si="76"/>
        <v>25-Apr-2011</v>
      </c>
      <c r="E2479">
        <v>30</v>
      </c>
      <c r="F2479" s="13">
        <v>5217.79</v>
      </c>
      <c r="G2479">
        <v>0.09</v>
      </c>
      <c r="H2479" t="s">
        <v>24</v>
      </c>
      <c r="I2479" s="13">
        <v>209.54</v>
      </c>
      <c r="J2479">
        <v>180.98</v>
      </c>
      <c r="K2479">
        <v>30</v>
      </c>
      <c r="L2479" t="s">
        <v>252</v>
      </c>
      <c r="M2479" t="s">
        <v>104</v>
      </c>
      <c r="N2479" s="5" t="s">
        <v>105</v>
      </c>
      <c r="O2479" t="s">
        <v>28</v>
      </c>
      <c r="P2479" t="s">
        <v>32</v>
      </c>
      <c r="Q2479" t="s">
        <v>56</v>
      </c>
      <c r="R2479">
        <v>0.69</v>
      </c>
      <c r="S2479" s="1">
        <v>40660</v>
      </c>
      <c r="T2479" t="str">
        <f t="shared" si="77"/>
        <v>27-Apr-2011</v>
      </c>
    </row>
    <row r="2480" spans="1:20" x14ac:dyDescent="0.3">
      <c r="A2480">
        <v>31553</v>
      </c>
      <c r="B2480" s="1">
        <v>39823</v>
      </c>
      <c r="C2480" t="s">
        <v>43</v>
      </c>
      <c r="D2480" t="str">
        <f t="shared" si="76"/>
        <v>10-Jan-2009</v>
      </c>
      <c r="E2480">
        <v>32</v>
      </c>
      <c r="F2480" s="13">
        <v>4906.8500000000004</v>
      </c>
      <c r="G2480">
        <v>0.09</v>
      </c>
      <c r="H2480" t="s">
        <v>19</v>
      </c>
      <c r="I2480" s="13">
        <v>1907.94</v>
      </c>
      <c r="J2480">
        <v>162.93</v>
      </c>
      <c r="K2480">
        <v>19.989999999999998</v>
      </c>
      <c r="L2480" t="s">
        <v>142</v>
      </c>
      <c r="M2480" t="s">
        <v>104</v>
      </c>
      <c r="N2480" s="5" t="s">
        <v>105</v>
      </c>
      <c r="O2480" t="s">
        <v>28</v>
      </c>
      <c r="P2480" t="s">
        <v>21</v>
      </c>
      <c r="Q2480" t="s">
        <v>42</v>
      </c>
      <c r="R2480">
        <v>0.39</v>
      </c>
      <c r="S2480" s="1">
        <v>39825</v>
      </c>
      <c r="T2480" t="str">
        <f t="shared" si="77"/>
        <v>12-Jan-2009</v>
      </c>
    </row>
    <row r="2481" spans="1:20" x14ac:dyDescent="0.3">
      <c r="A2481">
        <v>37537</v>
      </c>
      <c r="B2481" s="1">
        <v>39815</v>
      </c>
      <c r="C2481" t="s">
        <v>18</v>
      </c>
      <c r="D2481" t="str">
        <f t="shared" si="76"/>
        <v>02-Jan-2009</v>
      </c>
      <c r="E2481">
        <v>32</v>
      </c>
      <c r="F2481" s="13">
        <v>4902.38</v>
      </c>
      <c r="G2481">
        <v>0.05</v>
      </c>
      <c r="H2481" t="s">
        <v>19</v>
      </c>
      <c r="I2481" s="13">
        <v>1438.49</v>
      </c>
      <c r="J2481">
        <v>155.06</v>
      </c>
      <c r="K2481">
        <v>7.07</v>
      </c>
      <c r="L2481" t="s">
        <v>309</v>
      </c>
      <c r="M2481" t="s">
        <v>104</v>
      </c>
      <c r="N2481" s="5" t="s">
        <v>105</v>
      </c>
      <c r="O2481" t="s">
        <v>28</v>
      </c>
      <c r="P2481" t="s">
        <v>21</v>
      </c>
      <c r="Q2481" t="s">
        <v>22</v>
      </c>
      <c r="R2481">
        <v>0.59</v>
      </c>
      <c r="S2481" s="1">
        <v>39822</v>
      </c>
      <c r="T2481" t="str">
        <f t="shared" si="77"/>
        <v>09-Jan-2009</v>
      </c>
    </row>
    <row r="2482" spans="1:20" x14ac:dyDescent="0.3">
      <c r="A2482">
        <v>4864</v>
      </c>
      <c r="B2482" s="1">
        <v>41223</v>
      </c>
      <c r="C2482" t="s">
        <v>18</v>
      </c>
      <c r="D2482" t="str">
        <f t="shared" si="76"/>
        <v>10-Nov-2012</v>
      </c>
      <c r="E2482">
        <v>16</v>
      </c>
      <c r="F2482" s="13">
        <v>4901.99</v>
      </c>
      <c r="G2482">
        <v>0.04</v>
      </c>
      <c r="H2482" t="s">
        <v>19</v>
      </c>
      <c r="I2482" s="13">
        <v>1724.68</v>
      </c>
      <c r="J2482">
        <v>315.98</v>
      </c>
      <c r="K2482">
        <v>19.989999999999998</v>
      </c>
      <c r="L2482" t="s">
        <v>124</v>
      </c>
      <c r="M2482" t="s">
        <v>104</v>
      </c>
      <c r="N2482" s="5" t="s">
        <v>105</v>
      </c>
      <c r="O2482" t="s">
        <v>28</v>
      </c>
      <c r="P2482" t="s">
        <v>21</v>
      </c>
      <c r="Q2482" t="s">
        <v>26</v>
      </c>
      <c r="R2482">
        <v>0.38</v>
      </c>
      <c r="S2482" s="1">
        <v>41227</v>
      </c>
      <c r="T2482" t="str">
        <f t="shared" si="77"/>
        <v>14-Nov-2012</v>
      </c>
    </row>
    <row r="2483" spans="1:20" x14ac:dyDescent="0.3">
      <c r="A2483">
        <v>12129</v>
      </c>
      <c r="B2483" s="1">
        <v>41268</v>
      </c>
      <c r="C2483" t="s">
        <v>38</v>
      </c>
      <c r="D2483" t="str">
        <f t="shared" si="76"/>
        <v>25-Dec-2012</v>
      </c>
      <c r="E2483">
        <v>36</v>
      </c>
      <c r="F2483" s="13">
        <v>4852.05</v>
      </c>
      <c r="G2483">
        <v>0</v>
      </c>
      <c r="H2483" t="s">
        <v>24</v>
      </c>
      <c r="I2483" s="13">
        <v>-1197.58</v>
      </c>
      <c r="J2483">
        <v>122.99</v>
      </c>
      <c r="K2483">
        <v>70.2</v>
      </c>
      <c r="L2483" t="s">
        <v>120</v>
      </c>
      <c r="M2483" t="s">
        <v>104</v>
      </c>
      <c r="N2483" s="5" t="s">
        <v>105</v>
      </c>
      <c r="O2483" t="s">
        <v>28</v>
      </c>
      <c r="P2483" t="s">
        <v>32</v>
      </c>
      <c r="Q2483" t="s">
        <v>56</v>
      </c>
      <c r="R2483">
        <v>0.74</v>
      </c>
      <c r="S2483" s="1">
        <v>41271</v>
      </c>
      <c r="T2483" t="str">
        <f t="shared" si="77"/>
        <v>28-Dec-2012</v>
      </c>
    </row>
    <row r="2484" spans="1:20" x14ac:dyDescent="0.3">
      <c r="A2484">
        <v>51489</v>
      </c>
      <c r="B2484" s="1">
        <v>40971</v>
      </c>
      <c r="C2484" t="s">
        <v>43</v>
      </c>
      <c r="D2484" t="str">
        <f t="shared" si="76"/>
        <v>03-Mar-2012</v>
      </c>
      <c r="E2484">
        <v>42</v>
      </c>
      <c r="F2484" s="13">
        <v>4846.68</v>
      </c>
      <c r="G2484">
        <v>0.04</v>
      </c>
      <c r="H2484" t="s">
        <v>19</v>
      </c>
      <c r="I2484" s="13">
        <v>820.94</v>
      </c>
      <c r="J2484">
        <v>110.98</v>
      </c>
      <c r="K2484">
        <v>13.99</v>
      </c>
      <c r="L2484" t="s">
        <v>243</v>
      </c>
      <c r="M2484" t="s">
        <v>104</v>
      </c>
      <c r="N2484" s="5" t="s">
        <v>105</v>
      </c>
      <c r="O2484" t="s">
        <v>28</v>
      </c>
      <c r="P2484" t="s">
        <v>32</v>
      </c>
      <c r="Q2484" t="s">
        <v>33</v>
      </c>
      <c r="R2484">
        <v>0.69</v>
      </c>
      <c r="S2484" s="1">
        <v>40973</v>
      </c>
      <c r="T2484" t="str">
        <f t="shared" si="77"/>
        <v>05-Mar-2012</v>
      </c>
    </row>
    <row r="2485" spans="1:20" x14ac:dyDescent="0.3">
      <c r="A2485">
        <v>19044</v>
      </c>
      <c r="B2485" s="1">
        <v>41010</v>
      </c>
      <c r="C2485" t="s">
        <v>18</v>
      </c>
      <c r="D2485" t="str">
        <f t="shared" si="76"/>
        <v>11-Apr-2012</v>
      </c>
      <c r="E2485">
        <v>32</v>
      </c>
      <c r="F2485" s="13">
        <v>4800.4399999999996</v>
      </c>
      <c r="G2485">
        <v>0.08</v>
      </c>
      <c r="H2485" t="s">
        <v>19</v>
      </c>
      <c r="I2485" s="13">
        <v>1912.92</v>
      </c>
      <c r="J2485">
        <v>150.97999999999999</v>
      </c>
      <c r="K2485">
        <v>13.99</v>
      </c>
      <c r="L2485" t="s">
        <v>125</v>
      </c>
      <c r="M2485" t="s">
        <v>104</v>
      </c>
      <c r="N2485" s="5" t="s">
        <v>105</v>
      </c>
      <c r="O2485" t="s">
        <v>28</v>
      </c>
      <c r="P2485" t="s">
        <v>29</v>
      </c>
      <c r="Q2485" t="s">
        <v>74</v>
      </c>
      <c r="R2485">
        <v>0.38</v>
      </c>
      <c r="S2485" s="1">
        <v>41012</v>
      </c>
      <c r="T2485" t="str">
        <f t="shared" si="77"/>
        <v>13-Apr-2012</v>
      </c>
    </row>
    <row r="2486" spans="1:20" x14ac:dyDescent="0.3">
      <c r="A2486">
        <v>44261</v>
      </c>
      <c r="B2486" s="1">
        <v>40991</v>
      </c>
      <c r="C2486" t="s">
        <v>23</v>
      </c>
      <c r="D2486" t="str">
        <f t="shared" si="76"/>
        <v>23-Mar-2012</v>
      </c>
      <c r="E2486">
        <v>34</v>
      </c>
      <c r="F2486" s="13">
        <v>4771.8900000000003</v>
      </c>
      <c r="G2486">
        <v>0.05</v>
      </c>
      <c r="H2486" t="s">
        <v>24</v>
      </c>
      <c r="I2486" s="13">
        <v>-427.99</v>
      </c>
      <c r="J2486">
        <v>140.97999999999999</v>
      </c>
      <c r="K2486">
        <v>36.090000000000003</v>
      </c>
      <c r="L2486" t="s">
        <v>386</v>
      </c>
      <c r="M2486" t="s">
        <v>104</v>
      </c>
      <c r="N2486" s="5" t="s">
        <v>105</v>
      </c>
      <c r="O2486" t="s">
        <v>28</v>
      </c>
      <c r="P2486" t="s">
        <v>32</v>
      </c>
      <c r="Q2486" t="s">
        <v>45</v>
      </c>
      <c r="R2486">
        <v>0.77</v>
      </c>
      <c r="S2486" s="1">
        <v>40993</v>
      </c>
      <c r="T2486" t="str">
        <f t="shared" si="77"/>
        <v>25-Mar-2012</v>
      </c>
    </row>
    <row r="2487" spans="1:20" x14ac:dyDescent="0.3">
      <c r="A2487">
        <v>37315</v>
      </c>
      <c r="B2487" s="1">
        <v>41065</v>
      </c>
      <c r="C2487" t="s">
        <v>18</v>
      </c>
      <c r="D2487" t="str">
        <f t="shared" si="76"/>
        <v>05-Jun-2012</v>
      </c>
      <c r="E2487">
        <v>31</v>
      </c>
      <c r="F2487" s="13">
        <v>4726.5950000000003</v>
      </c>
      <c r="G2487">
        <v>0.05</v>
      </c>
      <c r="H2487" t="s">
        <v>35</v>
      </c>
      <c r="I2487" s="13">
        <v>1176.48</v>
      </c>
      <c r="J2487">
        <v>175.99</v>
      </c>
      <c r="K2487">
        <v>4.99</v>
      </c>
      <c r="L2487" t="s">
        <v>111</v>
      </c>
      <c r="M2487" t="s">
        <v>104</v>
      </c>
      <c r="N2487" s="5" t="s">
        <v>105</v>
      </c>
      <c r="O2487" t="s">
        <v>28</v>
      </c>
      <c r="P2487" t="s">
        <v>29</v>
      </c>
      <c r="Q2487" t="s">
        <v>30</v>
      </c>
      <c r="R2487">
        <v>0.59</v>
      </c>
      <c r="S2487" s="1">
        <v>41072</v>
      </c>
      <c r="T2487" t="str">
        <f t="shared" si="77"/>
        <v>12-Jun-2012</v>
      </c>
    </row>
    <row r="2488" spans="1:20" x14ac:dyDescent="0.3">
      <c r="A2488">
        <v>2279</v>
      </c>
      <c r="B2488" s="1">
        <v>40231</v>
      </c>
      <c r="C2488" t="s">
        <v>38</v>
      </c>
      <c r="D2488" t="str">
        <f t="shared" si="76"/>
        <v>22-Feb-2010</v>
      </c>
      <c r="E2488">
        <v>49</v>
      </c>
      <c r="F2488" s="13">
        <v>4577.18</v>
      </c>
      <c r="G2488">
        <v>0</v>
      </c>
      <c r="H2488" t="s">
        <v>24</v>
      </c>
      <c r="I2488" s="13">
        <v>205.83</v>
      </c>
      <c r="J2488">
        <v>90.98</v>
      </c>
      <c r="K2488">
        <v>30</v>
      </c>
      <c r="L2488" t="s">
        <v>108</v>
      </c>
      <c r="M2488" t="s">
        <v>104</v>
      </c>
      <c r="N2488" s="5" t="s">
        <v>105</v>
      </c>
      <c r="O2488" t="s">
        <v>28</v>
      </c>
      <c r="P2488" t="s">
        <v>32</v>
      </c>
      <c r="Q2488" t="s">
        <v>56</v>
      </c>
      <c r="R2488">
        <v>0.61</v>
      </c>
      <c r="S2488" s="1">
        <v>40232</v>
      </c>
      <c r="T2488" t="str">
        <f t="shared" si="77"/>
        <v>23-Feb-2010</v>
      </c>
    </row>
    <row r="2489" spans="1:20" x14ac:dyDescent="0.3">
      <c r="A2489">
        <v>16230</v>
      </c>
      <c r="B2489" s="1">
        <v>40236</v>
      </c>
      <c r="C2489" t="s">
        <v>18</v>
      </c>
      <c r="D2489" t="str">
        <f t="shared" si="76"/>
        <v>27-Feb-2010</v>
      </c>
      <c r="E2489">
        <v>40</v>
      </c>
      <c r="F2489" s="13">
        <v>4538.66</v>
      </c>
      <c r="G2489">
        <v>0</v>
      </c>
      <c r="H2489" t="s">
        <v>19</v>
      </c>
      <c r="I2489" s="13">
        <v>506.86</v>
      </c>
      <c r="J2489">
        <v>111.03</v>
      </c>
      <c r="K2489">
        <v>8.64</v>
      </c>
      <c r="L2489" t="s">
        <v>112</v>
      </c>
      <c r="M2489" t="s">
        <v>104</v>
      </c>
      <c r="N2489" s="5" t="s">
        <v>105</v>
      </c>
      <c r="O2489" t="s">
        <v>28</v>
      </c>
      <c r="P2489" t="s">
        <v>21</v>
      </c>
      <c r="Q2489" t="s">
        <v>22</v>
      </c>
      <c r="R2489">
        <v>0.78</v>
      </c>
      <c r="S2489" s="1">
        <v>40241</v>
      </c>
      <c r="T2489" t="str">
        <f t="shared" si="77"/>
        <v>04-Mar-2010</v>
      </c>
    </row>
    <row r="2490" spans="1:20" x14ac:dyDescent="0.3">
      <c r="A2490">
        <v>4996</v>
      </c>
      <c r="B2490" s="1">
        <v>41165</v>
      </c>
      <c r="C2490" t="s">
        <v>38</v>
      </c>
      <c r="D2490" t="str">
        <f t="shared" si="76"/>
        <v>13-Sep-2012</v>
      </c>
      <c r="E2490">
        <v>30</v>
      </c>
      <c r="F2490" s="13">
        <v>4305.79</v>
      </c>
      <c r="G2490">
        <v>0</v>
      </c>
      <c r="H2490" t="s">
        <v>19</v>
      </c>
      <c r="I2490" s="13">
        <v>1020.32</v>
      </c>
      <c r="J2490">
        <v>142.86000000000001</v>
      </c>
      <c r="K2490">
        <v>19.989999999999998</v>
      </c>
      <c r="L2490" t="s">
        <v>125</v>
      </c>
      <c r="M2490" t="s">
        <v>104</v>
      </c>
      <c r="N2490" s="5" t="s">
        <v>105</v>
      </c>
      <c r="O2490" t="s">
        <v>28</v>
      </c>
      <c r="P2490" t="s">
        <v>21</v>
      </c>
      <c r="Q2490" t="s">
        <v>22</v>
      </c>
      <c r="R2490">
        <v>0.56000000000000005</v>
      </c>
      <c r="S2490" s="1">
        <v>41166</v>
      </c>
      <c r="T2490" t="str">
        <f t="shared" si="77"/>
        <v>14-Sep-2012</v>
      </c>
    </row>
    <row r="2491" spans="1:20" x14ac:dyDescent="0.3">
      <c r="A2491">
        <v>50310</v>
      </c>
      <c r="B2491" s="1">
        <v>40040</v>
      </c>
      <c r="C2491" t="s">
        <v>38</v>
      </c>
      <c r="D2491" t="str">
        <f t="shared" si="76"/>
        <v>15-Aug-2009</v>
      </c>
      <c r="E2491">
        <v>43</v>
      </c>
      <c r="F2491" s="13">
        <v>4095.76</v>
      </c>
      <c r="G2491">
        <v>0.03</v>
      </c>
      <c r="H2491" t="s">
        <v>24</v>
      </c>
      <c r="I2491" s="13">
        <v>-444.14</v>
      </c>
      <c r="J2491">
        <v>89.99</v>
      </c>
      <c r="K2491">
        <v>42</v>
      </c>
      <c r="L2491" t="s">
        <v>118</v>
      </c>
      <c r="M2491" t="s">
        <v>104</v>
      </c>
      <c r="N2491" s="5" t="s">
        <v>105</v>
      </c>
      <c r="O2491" t="s">
        <v>28</v>
      </c>
      <c r="P2491" t="s">
        <v>32</v>
      </c>
      <c r="Q2491" t="s">
        <v>56</v>
      </c>
      <c r="R2491">
        <v>0.66</v>
      </c>
      <c r="S2491" s="1">
        <v>40043</v>
      </c>
      <c r="T2491" t="str">
        <f t="shared" si="77"/>
        <v>18-Aug-2009</v>
      </c>
    </row>
    <row r="2492" spans="1:20" x14ac:dyDescent="0.3">
      <c r="A2492">
        <v>37537</v>
      </c>
      <c r="B2492" s="1">
        <v>39815</v>
      </c>
      <c r="C2492" t="s">
        <v>18</v>
      </c>
      <c r="D2492" t="str">
        <f t="shared" si="76"/>
        <v>02-Jan-2009</v>
      </c>
      <c r="E2492">
        <v>43</v>
      </c>
      <c r="F2492" s="13">
        <v>4083.19</v>
      </c>
      <c r="G2492">
        <v>7.0000000000000007E-2</v>
      </c>
      <c r="H2492" t="s">
        <v>24</v>
      </c>
      <c r="I2492" s="13">
        <v>-1049.8499999999999</v>
      </c>
      <c r="J2492">
        <v>100.98</v>
      </c>
      <c r="K2492">
        <v>45</v>
      </c>
      <c r="L2492" t="s">
        <v>309</v>
      </c>
      <c r="M2492" t="s">
        <v>104</v>
      </c>
      <c r="N2492" s="5" t="s">
        <v>105</v>
      </c>
      <c r="O2492" t="s">
        <v>28</v>
      </c>
      <c r="P2492" t="s">
        <v>32</v>
      </c>
      <c r="Q2492" t="s">
        <v>56</v>
      </c>
      <c r="R2492">
        <v>0.69</v>
      </c>
      <c r="S2492" s="1">
        <v>39817</v>
      </c>
      <c r="T2492" t="str">
        <f t="shared" si="77"/>
        <v>04-Jan-2009</v>
      </c>
    </row>
    <row r="2493" spans="1:20" x14ac:dyDescent="0.3">
      <c r="A2493">
        <v>32513</v>
      </c>
      <c r="B2493" s="1">
        <v>40941</v>
      </c>
      <c r="C2493" t="s">
        <v>18</v>
      </c>
      <c r="D2493" t="str">
        <f t="shared" si="76"/>
        <v>02-Feb-2012</v>
      </c>
      <c r="E2493">
        <v>23</v>
      </c>
      <c r="F2493" s="13">
        <v>3982.21</v>
      </c>
      <c r="G2493">
        <v>0.03</v>
      </c>
      <c r="H2493" t="s">
        <v>19</v>
      </c>
      <c r="I2493" s="13">
        <v>1413.94</v>
      </c>
      <c r="J2493">
        <v>165.98</v>
      </c>
      <c r="K2493">
        <v>19.989999999999998</v>
      </c>
      <c r="L2493" t="s">
        <v>391</v>
      </c>
      <c r="M2493" t="s">
        <v>104</v>
      </c>
      <c r="N2493" s="5" t="s">
        <v>105</v>
      </c>
      <c r="O2493" t="s">
        <v>28</v>
      </c>
      <c r="P2493" t="s">
        <v>21</v>
      </c>
      <c r="Q2493" t="s">
        <v>26</v>
      </c>
      <c r="R2493">
        <v>0.4</v>
      </c>
      <c r="S2493" s="1">
        <v>40946</v>
      </c>
      <c r="T2493" t="str">
        <f t="shared" si="77"/>
        <v>07-Feb-2012</v>
      </c>
    </row>
    <row r="2494" spans="1:20" x14ac:dyDescent="0.3">
      <c r="A2494">
        <v>19074</v>
      </c>
      <c r="B2494" s="1">
        <v>41085</v>
      </c>
      <c r="C2494" t="s">
        <v>43</v>
      </c>
      <c r="D2494" t="str">
        <f t="shared" si="76"/>
        <v>25-Jun-2012</v>
      </c>
      <c r="E2494">
        <v>17</v>
      </c>
      <c r="F2494" s="13">
        <v>3816.59</v>
      </c>
      <c r="G2494">
        <v>0.01</v>
      </c>
      <c r="H2494" t="s">
        <v>24</v>
      </c>
      <c r="I2494" s="13">
        <v>191.47</v>
      </c>
      <c r="J2494">
        <v>208.16</v>
      </c>
      <c r="K2494">
        <v>68.02</v>
      </c>
      <c r="L2494" t="s">
        <v>112</v>
      </c>
      <c r="M2494" t="s">
        <v>104</v>
      </c>
      <c r="N2494" s="5" t="s">
        <v>105</v>
      </c>
      <c r="O2494" t="s">
        <v>28</v>
      </c>
      <c r="P2494" t="s">
        <v>21</v>
      </c>
      <c r="Q2494" t="s">
        <v>25</v>
      </c>
      <c r="R2494">
        <v>0.57999999999999996</v>
      </c>
      <c r="S2494" s="1">
        <v>41087</v>
      </c>
      <c r="T2494" t="str">
        <f t="shared" si="77"/>
        <v>27-Jun-2012</v>
      </c>
    </row>
    <row r="2495" spans="1:20" x14ac:dyDescent="0.3">
      <c r="A2495">
        <v>37925</v>
      </c>
      <c r="B2495" s="1">
        <v>40447</v>
      </c>
      <c r="C2495" t="s">
        <v>38</v>
      </c>
      <c r="D2495" t="str">
        <f t="shared" si="76"/>
        <v>26-Sep-2010</v>
      </c>
      <c r="E2495">
        <v>46</v>
      </c>
      <c r="F2495" s="13">
        <v>3780.16</v>
      </c>
      <c r="G2495">
        <v>0.1</v>
      </c>
      <c r="H2495" t="s">
        <v>24</v>
      </c>
      <c r="I2495" s="13">
        <v>1265.82</v>
      </c>
      <c r="J2495">
        <v>90.97</v>
      </c>
      <c r="K2495">
        <v>14</v>
      </c>
      <c r="L2495" t="s">
        <v>111</v>
      </c>
      <c r="M2495" t="s">
        <v>104</v>
      </c>
      <c r="N2495" s="5" t="s">
        <v>105</v>
      </c>
      <c r="O2495" t="s">
        <v>28</v>
      </c>
      <c r="P2495" t="s">
        <v>29</v>
      </c>
      <c r="Q2495" t="s">
        <v>74</v>
      </c>
      <c r="R2495">
        <v>0.36</v>
      </c>
      <c r="S2495" s="1">
        <v>40448</v>
      </c>
      <c r="T2495" t="str">
        <f t="shared" si="77"/>
        <v>27-Sep-2010</v>
      </c>
    </row>
    <row r="2496" spans="1:20" x14ac:dyDescent="0.3">
      <c r="A2496">
        <v>41152</v>
      </c>
      <c r="B2496" s="1">
        <v>40789</v>
      </c>
      <c r="C2496" t="s">
        <v>23</v>
      </c>
      <c r="D2496" t="str">
        <f t="shared" si="76"/>
        <v>03-Sep-2011</v>
      </c>
      <c r="E2496">
        <v>49</v>
      </c>
      <c r="F2496" s="13">
        <v>3702.92</v>
      </c>
      <c r="G2496">
        <v>0.03</v>
      </c>
      <c r="H2496" t="s">
        <v>19</v>
      </c>
      <c r="I2496" s="13">
        <v>541.91999999999996</v>
      </c>
      <c r="J2496">
        <v>76.72</v>
      </c>
      <c r="K2496">
        <v>19.95</v>
      </c>
      <c r="L2496" t="s">
        <v>224</v>
      </c>
      <c r="M2496" t="s">
        <v>104</v>
      </c>
      <c r="N2496" s="5" t="s">
        <v>105</v>
      </c>
      <c r="O2496" t="s">
        <v>28</v>
      </c>
      <c r="P2496" t="s">
        <v>21</v>
      </c>
      <c r="Q2496" t="s">
        <v>25</v>
      </c>
      <c r="R2496">
        <v>0.54</v>
      </c>
      <c r="S2496" s="1">
        <v>40790</v>
      </c>
      <c r="T2496" t="str">
        <f t="shared" si="77"/>
        <v>04-Sep-2011</v>
      </c>
    </row>
    <row r="2497" spans="1:20" x14ac:dyDescent="0.3">
      <c r="A2497">
        <v>41633</v>
      </c>
      <c r="B2497" s="1">
        <v>40491</v>
      </c>
      <c r="C2497" t="s">
        <v>18</v>
      </c>
      <c r="D2497" t="str">
        <f t="shared" si="76"/>
        <v>09-Nov-2010</v>
      </c>
      <c r="E2497">
        <v>29</v>
      </c>
      <c r="F2497" s="13">
        <v>3636.91</v>
      </c>
      <c r="G2497">
        <v>0</v>
      </c>
      <c r="H2497" t="s">
        <v>24</v>
      </c>
      <c r="I2497" s="13">
        <v>-1284.24</v>
      </c>
      <c r="J2497">
        <v>122.99</v>
      </c>
      <c r="K2497">
        <v>70.2</v>
      </c>
      <c r="L2497" t="s">
        <v>133</v>
      </c>
      <c r="M2497" t="s">
        <v>104</v>
      </c>
      <c r="N2497" s="5" t="s">
        <v>105</v>
      </c>
      <c r="O2497" t="s">
        <v>28</v>
      </c>
      <c r="P2497" t="s">
        <v>32</v>
      </c>
      <c r="Q2497" t="s">
        <v>56</v>
      </c>
      <c r="R2497">
        <v>0.74</v>
      </c>
      <c r="S2497" s="1">
        <v>40491</v>
      </c>
      <c r="T2497" t="str">
        <f t="shared" si="77"/>
        <v>09-Nov-2010</v>
      </c>
    </row>
    <row r="2498" spans="1:20" x14ac:dyDescent="0.3">
      <c r="A2498">
        <v>32611</v>
      </c>
      <c r="B2498" s="1">
        <v>40052</v>
      </c>
      <c r="C2498" t="s">
        <v>38</v>
      </c>
      <c r="D2498" t="str">
        <f t="shared" ref="D2498:D2561" si="78">TEXT(B2498, "dd-mmm-yyyy" )</f>
        <v>27-Aug-2009</v>
      </c>
      <c r="E2498">
        <v>19</v>
      </c>
      <c r="F2498" s="13">
        <v>3537.39</v>
      </c>
      <c r="G2498">
        <v>0</v>
      </c>
      <c r="H2498" t="s">
        <v>24</v>
      </c>
      <c r="I2498" s="13">
        <v>232.78</v>
      </c>
      <c r="J2498">
        <v>180.98</v>
      </c>
      <c r="K2498">
        <v>30</v>
      </c>
      <c r="L2498" t="s">
        <v>131</v>
      </c>
      <c r="M2498" t="s">
        <v>104</v>
      </c>
      <c r="N2498" s="5" t="s">
        <v>105</v>
      </c>
      <c r="O2498" t="s">
        <v>28</v>
      </c>
      <c r="P2498" t="s">
        <v>32</v>
      </c>
      <c r="Q2498" t="s">
        <v>56</v>
      </c>
      <c r="R2498">
        <v>0.69</v>
      </c>
      <c r="S2498" s="1">
        <v>40053</v>
      </c>
      <c r="T2498" t="str">
        <f t="shared" ref="T2498:T2561" si="79">TEXT(S2498, "dd-mmm-yyyy")</f>
        <v>28-Aug-2009</v>
      </c>
    </row>
    <row r="2499" spans="1:20" x14ac:dyDescent="0.3">
      <c r="A2499">
        <v>41831</v>
      </c>
      <c r="B2499" s="1">
        <v>41111</v>
      </c>
      <c r="C2499" t="s">
        <v>31</v>
      </c>
      <c r="D2499" t="str">
        <f t="shared" si="78"/>
        <v>21-Jul-2012</v>
      </c>
      <c r="E2499">
        <v>43</v>
      </c>
      <c r="F2499" s="13">
        <v>3441.09</v>
      </c>
      <c r="G2499">
        <v>0.03</v>
      </c>
      <c r="H2499" t="s">
        <v>24</v>
      </c>
      <c r="I2499" s="13">
        <v>431.95</v>
      </c>
      <c r="J2499">
        <v>80.97</v>
      </c>
      <c r="K2499">
        <v>30.06</v>
      </c>
      <c r="L2499" t="s">
        <v>223</v>
      </c>
      <c r="M2499" t="s">
        <v>104</v>
      </c>
      <c r="N2499" s="5" t="s">
        <v>105</v>
      </c>
      <c r="O2499" t="s">
        <v>28</v>
      </c>
      <c r="P2499" t="s">
        <v>29</v>
      </c>
      <c r="Q2499" t="s">
        <v>74</v>
      </c>
      <c r="R2499">
        <v>0.4</v>
      </c>
      <c r="S2499" s="1">
        <v>41113</v>
      </c>
      <c r="T2499" t="str">
        <f t="shared" si="79"/>
        <v>23-Jul-2012</v>
      </c>
    </row>
    <row r="2500" spans="1:20" x14ac:dyDescent="0.3">
      <c r="A2500">
        <v>45409</v>
      </c>
      <c r="B2500" s="1">
        <v>40280</v>
      </c>
      <c r="C2500" t="s">
        <v>43</v>
      </c>
      <c r="D2500" t="str">
        <f t="shared" si="78"/>
        <v>12-Apr-2010</v>
      </c>
      <c r="E2500">
        <v>11</v>
      </c>
      <c r="F2500" s="13">
        <v>3427.31</v>
      </c>
      <c r="G2500">
        <v>0.1</v>
      </c>
      <c r="H2500" t="s">
        <v>24</v>
      </c>
      <c r="I2500" s="13">
        <v>124.36</v>
      </c>
      <c r="J2500">
        <v>320.98</v>
      </c>
      <c r="K2500">
        <v>58.95</v>
      </c>
      <c r="L2500" t="s">
        <v>230</v>
      </c>
      <c r="M2500" t="s">
        <v>104</v>
      </c>
      <c r="N2500" s="5" t="s">
        <v>105</v>
      </c>
      <c r="O2500" t="s">
        <v>28</v>
      </c>
      <c r="P2500" t="s">
        <v>32</v>
      </c>
      <c r="Q2500" t="s">
        <v>56</v>
      </c>
      <c r="R2500">
        <v>0.56999999999999995</v>
      </c>
      <c r="S2500" s="1">
        <v>40283</v>
      </c>
      <c r="T2500" t="str">
        <f t="shared" si="79"/>
        <v>15-Apr-2010</v>
      </c>
    </row>
    <row r="2501" spans="1:20" x14ac:dyDescent="0.3">
      <c r="A2501">
        <v>39808</v>
      </c>
      <c r="B2501" s="1">
        <v>41154</v>
      </c>
      <c r="C2501" t="s">
        <v>18</v>
      </c>
      <c r="D2501" t="str">
        <f t="shared" si="78"/>
        <v>02-Sep-2012</v>
      </c>
      <c r="E2501">
        <v>31</v>
      </c>
      <c r="F2501" s="13">
        <v>3413.4555</v>
      </c>
      <c r="G2501">
        <v>0.03</v>
      </c>
      <c r="H2501" t="s">
        <v>19</v>
      </c>
      <c r="I2501" s="13">
        <v>868.47</v>
      </c>
      <c r="J2501">
        <v>125.99</v>
      </c>
      <c r="K2501">
        <v>2.5</v>
      </c>
      <c r="L2501" t="s">
        <v>246</v>
      </c>
      <c r="M2501" t="s">
        <v>104</v>
      </c>
      <c r="N2501" s="5" t="s">
        <v>105</v>
      </c>
      <c r="O2501" t="s">
        <v>28</v>
      </c>
      <c r="P2501" t="s">
        <v>29</v>
      </c>
      <c r="Q2501" t="s">
        <v>30</v>
      </c>
      <c r="R2501">
        <v>0.6</v>
      </c>
      <c r="S2501" s="1">
        <v>41158</v>
      </c>
      <c r="T2501" t="str">
        <f t="shared" si="79"/>
        <v>06-Sep-2012</v>
      </c>
    </row>
    <row r="2502" spans="1:20" x14ac:dyDescent="0.3">
      <c r="A2502">
        <v>42343</v>
      </c>
      <c r="B2502" s="1">
        <v>40039</v>
      </c>
      <c r="C2502" t="s">
        <v>43</v>
      </c>
      <c r="D2502" t="str">
        <f t="shared" si="78"/>
        <v>14-Aug-2009</v>
      </c>
      <c r="E2502">
        <v>46</v>
      </c>
      <c r="F2502" s="13">
        <v>3412.08</v>
      </c>
      <c r="G2502">
        <v>0.04</v>
      </c>
      <c r="H2502" t="s">
        <v>24</v>
      </c>
      <c r="I2502" s="13">
        <v>239.23</v>
      </c>
      <c r="J2502">
        <v>70.98</v>
      </c>
      <c r="K2502">
        <v>26.85</v>
      </c>
      <c r="L2502" t="s">
        <v>243</v>
      </c>
      <c r="M2502" t="s">
        <v>104</v>
      </c>
      <c r="N2502" s="5" t="s">
        <v>105</v>
      </c>
      <c r="O2502" t="s">
        <v>28</v>
      </c>
      <c r="P2502" t="s">
        <v>32</v>
      </c>
      <c r="Q2502" t="s">
        <v>45</v>
      </c>
      <c r="S2502" s="1">
        <v>40041</v>
      </c>
      <c r="T2502" t="str">
        <f t="shared" si="79"/>
        <v>16-Aug-2009</v>
      </c>
    </row>
    <row r="2503" spans="1:20" x14ac:dyDescent="0.3">
      <c r="A2503">
        <v>6337</v>
      </c>
      <c r="B2503" s="1">
        <v>40786</v>
      </c>
      <c r="C2503" t="s">
        <v>31</v>
      </c>
      <c r="D2503" t="str">
        <f t="shared" si="78"/>
        <v>31-Aug-2011</v>
      </c>
      <c r="E2503">
        <v>48</v>
      </c>
      <c r="F2503" s="13">
        <v>3397.72</v>
      </c>
      <c r="G2503">
        <v>0.01</v>
      </c>
      <c r="H2503" t="s">
        <v>19</v>
      </c>
      <c r="I2503" s="13">
        <v>-912.08</v>
      </c>
      <c r="J2503">
        <v>70.709999999999994</v>
      </c>
      <c r="K2503">
        <v>37.58</v>
      </c>
      <c r="L2503" t="s">
        <v>107</v>
      </c>
      <c r="M2503" t="s">
        <v>104</v>
      </c>
      <c r="N2503" s="5" t="s">
        <v>105</v>
      </c>
      <c r="O2503" t="s">
        <v>28</v>
      </c>
      <c r="P2503" t="s">
        <v>32</v>
      </c>
      <c r="Q2503" t="s">
        <v>33</v>
      </c>
      <c r="R2503">
        <v>0.78</v>
      </c>
      <c r="S2503" s="1">
        <v>40788</v>
      </c>
      <c r="T2503" t="str">
        <f t="shared" si="79"/>
        <v>02-Sep-2011</v>
      </c>
    </row>
    <row r="2504" spans="1:20" x14ac:dyDescent="0.3">
      <c r="A2504">
        <v>16230</v>
      </c>
      <c r="B2504" s="1">
        <v>40236</v>
      </c>
      <c r="C2504" t="s">
        <v>18</v>
      </c>
      <c r="D2504" t="str">
        <f t="shared" si="78"/>
        <v>27-Feb-2010</v>
      </c>
      <c r="E2504">
        <v>27</v>
      </c>
      <c r="F2504" s="13">
        <v>3379.01</v>
      </c>
      <c r="G2504">
        <v>0.06</v>
      </c>
      <c r="H2504" t="s">
        <v>24</v>
      </c>
      <c r="I2504" s="13">
        <v>-801.09</v>
      </c>
      <c r="J2504">
        <v>130.97999999999999</v>
      </c>
      <c r="K2504">
        <v>54.74</v>
      </c>
      <c r="L2504" t="s">
        <v>112</v>
      </c>
      <c r="M2504" t="s">
        <v>104</v>
      </c>
      <c r="N2504" s="5" t="s">
        <v>105</v>
      </c>
      <c r="O2504" t="s">
        <v>28</v>
      </c>
      <c r="P2504" t="s">
        <v>32</v>
      </c>
      <c r="Q2504" t="s">
        <v>45</v>
      </c>
      <c r="R2504">
        <v>0.69</v>
      </c>
      <c r="S2504" s="1">
        <v>40238</v>
      </c>
      <c r="T2504" t="str">
        <f t="shared" si="79"/>
        <v>01-Mar-2010</v>
      </c>
    </row>
    <row r="2505" spans="1:20" x14ac:dyDescent="0.3">
      <c r="A2505">
        <v>44261</v>
      </c>
      <c r="B2505" s="1">
        <v>40991</v>
      </c>
      <c r="C2505" t="s">
        <v>23</v>
      </c>
      <c r="D2505" t="str">
        <f t="shared" si="78"/>
        <v>23-Mar-2012</v>
      </c>
      <c r="E2505">
        <v>1</v>
      </c>
      <c r="F2505" s="13">
        <v>3360.3</v>
      </c>
      <c r="G2505">
        <v>0.05</v>
      </c>
      <c r="H2505" t="s">
        <v>24</v>
      </c>
      <c r="I2505" s="13">
        <v>-7961.43</v>
      </c>
      <c r="J2505">
        <v>3502.14</v>
      </c>
      <c r="K2505">
        <v>8.73</v>
      </c>
      <c r="L2505" t="s">
        <v>386</v>
      </c>
      <c r="M2505" t="s">
        <v>104</v>
      </c>
      <c r="N2505" s="5" t="s">
        <v>105</v>
      </c>
      <c r="O2505" t="s">
        <v>28</v>
      </c>
      <c r="P2505" t="s">
        <v>29</v>
      </c>
      <c r="Q2505" t="s">
        <v>74</v>
      </c>
      <c r="R2505">
        <v>0.56999999999999995</v>
      </c>
      <c r="S2505" s="1">
        <v>40992</v>
      </c>
      <c r="T2505" t="str">
        <f t="shared" si="79"/>
        <v>24-Mar-2012</v>
      </c>
    </row>
    <row r="2506" spans="1:20" x14ac:dyDescent="0.3">
      <c r="A2506">
        <v>10048</v>
      </c>
      <c r="B2506" s="1">
        <v>39948</v>
      </c>
      <c r="C2506" t="s">
        <v>31</v>
      </c>
      <c r="D2506" t="str">
        <f t="shared" si="78"/>
        <v>15-May-2009</v>
      </c>
      <c r="E2506">
        <v>46</v>
      </c>
      <c r="F2506" s="13">
        <v>3197.45</v>
      </c>
      <c r="G2506">
        <v>0.08</v>
      </c>
      <c r="H2506" t="s">
        <v>19</v>
      </c>
      <c r="I2506" s="13">
        <v>97.16</v>
      </c>
      <c r="J2506">
        <v>73.98</v>
      </c>
      <c r="K2506">
        <v>4</v>
      </c>
      <c r="L2506" t="s">
        <v>112</v>
      </c>
      <c r="M2506" t="s">
        <v>104</v>
      </c>
      <c r="N2506" s="5" t="s">
        <v>105</v>
      </c>
      <c r="O2506" t="s">
        <v>28</v>
      </c>
      <c r="P2506" t="s">
        <v>29</v>
      </c>
      <c r="Q2506" t="s">
        <v>41</v>
      </c>
      <c r="R2506">
        <v>0.77</v>
      </c>
      <c r="S2506" s="1">
        <v>39951</v>
      </c>
      <c r="T2506" t="str">
        <f t="shared" si="79"/>
        <v>18-May-2009</v>
      </c>
    </row>
    <row r="2507" spans="1:20" x14ac:dyDescent="0.3">
      <c r="A2507">
        <v>30659</v>
      </c>
      <c r="B2507" s="1">
        <v>40799</v>
      </c>
      <c r="C2507" t="s">
        <v>43</v>
      </c>
      <c r="D2507" t="str">
        <f t="shared" si="78"/>
        <v>13-Sep-2011</v>
      </c>
      <c r="E2507">
        <v>45</v>
      </c>
      <c r="F2507" s="13">
        <v>3116.7714999999998</v>
      </c>
      <c r="G2507">
        <v>0.08</v>
      </c>
      <c r="H2507" t="s">
        <v>19</v>
      </c>
      <c r="I2507" s="13">
        <v>-106.51</v>
      </c>
      <c r="J2507">
        <v>85.99</v>
      </c>
      <c r="K2507">
        <v>0.99</v>
      </c>
      <c r="L2507" t="s">
        <v>115</v>
      </c>
      <c r="M2507" t="s">
        <v>104</v>
      </c>
      <c r="N2507" s="5" t="s">
        <v>105</v>
      </c>
      <c r="O2507" t="s">
        <v>28</v>
      </c>
      <c r="P2507" t="s">
        <v>29</v>
      </c>
      <c r="Q2507" t="s">
        <v>30</v>
      </c>
      <c r="R2507">
        <v>0.85</v>
      </c>
      <c r="S2507" s="1">
        <v>40801</v>
      </c>
      <c r="T2507" t="str">
        <f t="shared" si="79"/>
        <v>15-Sep-2011</v>
      </c>
    </row>
    <row r="2508" spans="1:20" x14ac:dyDescent="0.3">
      <c r="A2508">
        <v>33570</v>
      </c>
      <c r="B2508" s="1">
        <v>41259</v>
      </c>
      <c r="C2508" t="s">
        <v>31</v>
      </c>
      <c r="D2508" t="str">
        <f t="shared" si="78"/>
        <v>16-Dec-2012</v>
      </c>
      <c r="E2508">
        <v>19</v>
      </c>
      <c r="F2508" s="13">
        <v>3093.864</v>
      </c>
      <c r="G2508">
        <v>7.0000000000000007E-2</v>
      </c>
      <c r="H2508" t="s">
        <v>19</v>
      </c>
      <c r="I2508" s="13">
        <v>286.39999999999998</v>
      </c>
      <c r="J2508">
        <v>205.99</v>
      </c>
      <c r="K2508">
        <v>5.26</v>
      </c>
      <c r="L2508" t="s">
        <v>146</v>
      </c>
      <c r="M2508" t="s">
        <v>104</v>
      </c>
      <c r="N2508" s="5" t="s">
        <v>105</v>
      </c>
      <c r="O2508" t="s">
        <v>28</v>
      </c>
      <c r="P2508" t="s">
        <v>29</v>
      </c>
      <c r="Q2508" t="s">
        <v>30</v>
      </c>
      <c r="R2508">
        <v>0.56000000000000005</v>
      </c>
      <c r="S2508" s="1">
        <v>41259</v>
      </c>
      <c r="T2508" t="str">
        <f t="shared" si="79"/>
        <v>16-Dec-2012</v>
      </c>
    </row>
    <row r="2509" spans="1:20" x14ac:dyDescent="0.3">
      <c r="A2509">
        <v>18179</v>
      </c>
      <c r="B2509" s="1">
        <v>40026</v>
      </c>
      <c r="C2509" t="s">
        <v>31</v>
      </c>
      <c r="D2509" t="str">
        <f t="shared" si="78"/>
        <v>01-Aug-2009</v>
      </c>
      <c r="E2509">
        <v>50</v>
      </c>
      <c r="F2509" s="13">
        <v>3075.83</v>
      </c>
      <c r="G2509">
        <v>0.03</v>
      </c>
      <c r="H2509" t="s">
        <v>19</v>
      </c>
      <c r="I2509" s="13">
        <v>1207.9100000000001</v>
      </c>
      <c r="J2509">
        <v>60.98</v>
      </c>
      <c r="K2509">
        <v>1.99</v>
      </c>
      <c r="L2509" t="s">
        <v>123</v>
      </c>
      <c r="M2509" t="s">
        <v>104</v>
      </c>
      <c r="N2509" s="5" t="s">
        <v>105</v>
      </c>
      <c r="O2509" t="s">
        <v>28</v>
      </c>
      <c r="P2509" t="s">
        <v>29</v>
      </c>
      <c r="Q2509" t="s">
        <v>41</v>
      </c>
      <c r="R2509">
        <v>0.5</v>
      </c>
      <c r="S2509" s="1">
        <v>40026</v>
      </c>
      <c r="T2509" t="str">
        <f t="shared" si="79"/>
        <v>01-Aug-2009</v>
      </c>
    </row>
    <row r="2510" spans="1:20" x14ac:dyDescent="0.3">
      <c r="A2510">
        <v>30852</v>
      </c>
      <c r="B2510" s="1">
        <v>39947</v>
      </c>
      <c r="C2510" t="s">
        <v>43</v>
      </c>
      <c r="D2510" t="str">
        <f t="shared" si="78"/>
        <v>14-May-2009</v>
      </c>
      <c r="E2510">
        <v>35</v>
      </c>
      <c r="F2510" s="13">
        <v>2827.1424999999999</v>
      </c>
      <c r="G2510">
        <v>0.01</v>
      </c>
      <c r="H2510" t="s">
        <v>19</v>
      </c>
      <c r="I2510" s="13">
        <v>713.88</v>
      </c>
      <c r="J2510">
        <v>95.99</v>
      </c>
      <c r="K2510">
        <v>4.9000000000000004</v>
      </c>
      <c r="L2510" t="s">
        <v>391</v>
      </c>
      <c r="M2510" t="s">
        <v>104</v>
      </c>
      <c r="N2510" s="5" t="s">
        <v>105</v>
      </c>
      <c r="O2510" t="s">
        <v>28</v>
      </c>
      <c r="P2510" t="s">
        <v>29</v>
      </c>
      <c r="Q2510" t="s">
        <v>30</v>
      </c>
      <c r="R2510">
        <v>0.56000000000000005</v>
      </c>
      <c r="S2510" s="1">
        <v>39948</v>
      </c>
      <c r="T2510" t="str">
        <f t="shared" si="79"/>
        <v>15-May-2009</v>
      </c>
    </row>
    <row r="2511" spans="1:20" x14ac:dyDescent="0.3">
      <c r="A2511">
        <v>41888</v>
      </c>
      <c r="B2511" s="1">
        <v>39872</v>
      </c>
      <c r="C2511" t="s">
        <v>18</v>
      </c>
      <c r="D2511" t="str">
        <f t="shared" si="78"/>
        <v>28-Feb-2009</v>
      </c>
      <c r="E2511">
        <v>29</v>
      </c>
      <c r="F2511" s="13">
        <v>2823.0369999999998</v>
      </c>
      <c r="G2511">
        <v>0.1</v>
      </c>
      <c r="H2511" t="s">
        <v>19</v>
      </c>
      <c r="I2511" s="13">
        <v>372.4</v>
      </c>
      <c r="J2511">
        <v>125.99</v>
      </c>
      <c r="K2511">
        <v>4.2</v>
      </c>
      <c r="L2511" t="s">
        <v>382</v>
      </c>
      <c r="M2511" t="s">
        <v>104</v>
      </c>
      <c r="N2511" s="5" t="s">
        <v>105</v>
      </c>
      <c r="O2511" t="s">
        <v>28</v>
      </c>
      <c r="P2511" t="s">
        <v>29</v>
      </c>
      <c r="Q2511" t="s">
        <v>30</v>
      </c>
      <c r="R2511">
        <v>0.59</v>
      </c>
      <c r="S2511" s="1">
        <v>39872</v>
      </c>
      <c r="T2511" t="str">
        <f t="shared" si="79"/>
        <v>28-Feb-2009</v>
      </c>
    </row>
    <row r="2512" spans="1:20" x14ac:dyDescent="0.3">
      <c r="A2512">
        <v>38625</v>
      </c>
      <c r="B2512" s="1">
        <v>40499</v>
      </c>
      <c r="C2512" t="s">
        <v>31</v>
      </c>
      <c r="D2512" t="str">
        <f t="shared" si="78"/>
        <v>17-Nov-2010</v>
      </c>
      <c r="E2512">
        <v>28</v>
      </c>
      <c r="F2512" s="13">
        <v>2752</v>
      </c>
      <c r="G2512">
        <v>0.06</v>
      </c>
      <c r="H2512" t="s">
        <v>35</v>
      </c>
      <c r="I2512" s="13">
        <v>336.47</v>
      </c>
      <c r="J2512">
        <v>99.99</v>
      </c>
      <c r="K2512">
        <v>19.989999999999998</v>
      </c>
      <c r="L2512" t="s">
        <v>143</v>
      </c>
      <c r="M2512" t="s">
        <v>104</v>
      </c>
      <c r="N2512" s="5" t="s">
        <v>105</v>
      </c>
      <c r="O2512" t="s">
        <v>28</v>
      </c>
      <c r="P2512" t="s">
        <v>29</v>
      </c>
      <c r="Q2512" t="s">
        <v>41</v>
      </c>
      <c r="R2512">
        <v>0.52</v>
      </c>
      <c r="S2512" s="1">
        <v>40501</v>
      </c>
      <c r="T2512" t="str">
        <f t="shared" si="79"/>
        <v>19-Nov-2010</v>
      </c>
    </row>
    <row r="2513" spans="1:20" x14ac:dyDescent="0.3">
      <c r="A2513">
        <v>42112</v>
      </c>
      <c r="B2513" s="1">
        <v>40536</v>
      </c>
      <c r="C2513" t="s">
        <v>31</v>
      </c>
      <c r="D2513" t="str">
        <f t="shared" si="78"/>
        <v>24-Dec-2010</v>
      </c>
      <c r="E2513">
        <v>16</v>
      </c>
      <c r="F2513" s="13">
        <v>2744.3609999999999</v>
      </c>
      <c r="G2513">
        <v>0.01</v>
      </c>
      <c r="H2513" t="s">
        <v>19</v>
      </c>
      <c r="I2513" s="13">
        <v>201.03</v>
      </c>
      <c r="J2513">
        <v>195.99</v>
      </c>
      <c r="K2513">
        <v>8.99</v>
      </c>
      <c r="L2513" t="s">
        <v>133</v>
      </c>
      <c r="M2513" t="s">
        <v>104</v>
      </c>
      <c r="N2513" s="5" t="s">
        <v>105</v>
      </c>
      <c r="O2513" t="s">
        <v>28</v>
      </c>
      <c r="P2513" t="s">
        <v>29</v>
      </c>
      <c r="Q2513" t="s">
        <v>30</v>
      </c>
      <c r="R2513">
        <v>0.6</v>
      </c>
      <c r="S2513" s="1">
        <v>40538</v>
      </c>
      <c r="T2513" t="str">
        <f t="shared" si="79"/>
        <v>26-Dec-2010</v>
      </c>
    </row>
    <row r="2514" spans="1:20" x14ac:dyDescent="0.3">
      <c r="A2514">
        <v>39136</v>
      </c>
      <c r="B2514" s="1">
        <v>39988</v>
      </c>
      <c r="C2514" t="s">
        <v>23</v>
      </c>
      <c r="D2514" t="str">
        <f t="shared" si="78"/>
        <v>24-Jun-2009</v>
      </c>
      <c r="E2514">
        <v>49</v>
      </c>
      <c r="F2514" s="13">
        <v>2693.5140000000001</v>
      </c>
      <c r="G2514">
        <v>0.02</v>
      </c>
      <c r="H2514" t="s">
        <v>19</v>
      </c>
      <c r="I2514" s="13">
        <v>662.05</v>
      </c>
      <c r="J2514">
        <v>65.989999999999995</v>
      </c>
      <c r="K2514">
        <v>3.99</v>
      </c>
      <c r="L2514" t="s">
        <v>242</v>
      </c>
      <c r="M2514" t="s">
        <v>104</v>
      </c>
      <c r="N2514" s="5" t="s">
        <v>105</v>
      </c>
      <c r="O2514" t="s">
        <v>28</v>
      </c>
      <c r="P2514" t="s">
        <v>29</v>
      </c>
      <c r="Q2514" t="s">
        <v>30</v>
      </c>
      <c r="R2514">
        <v>0.59</v>
      </c>
      <c r="S2514" s="1">
        <v>39990</v>
      </c>
      <c r="T2514" t="str">
        <f t="shared" si="79"/>
        <v>26-Jun-2009</v>
      </c>
    </row>
    <row r="2515" spans="1:20" x14ac:dyDescent="0.3">
      <c r="A2515">
        <v>322</v>
      </c>
      <c r="B2515" s="1">
        <v>40986</v>
      </c>
      <c r="C2515" t="s">
        <v>43</v>
      </c>
      <c r="D2515" t="str">
        <f t="shared" si="78"/>
        <v>18-Mar-2012</v>
      </c>
      <c r="E2515">
        <v>20</v>
      </c>
      <c r="F2515" s="13">
        <v>2634.8555000000001</v>
      </c>
      <c r="G2515">
        <v>0.08</v>
      </c>
      <c r="H2515" t="s">
        <v>19</v>
      </c>
      <c r="I2515" s="13">
        <v>257.76</v>
      </c>
      <c r="J2515">
        <v>155.99</v>
      </c>
      <c r="K2515">
        <v>8.08</v>
      </c>
      <c r="L2515" t="s">
        <v>120</v>
      </c>
      <c r="M2515" t="s">
        <v>104</v>
      </c>
      <c r="N2515" s="5" t="s">
        <v>105</v>
      </c>
      <c r="O2515" t="s">
        <v>28</v>
      </c>
      <c r="P2515" t="s">
        <v>29</v>
      </c>
      <c r="Q2515" t="s">
        <v>30</v>
      </c>
      <c r="R2515">
        <v>0.6</v>
      </c>
      <c r="S2515" s="1">
        <v>40988</v>
      </c>
      <c r="T2515" t="str">
        <f t="shared" si="79"/>
        <v>20-Mar-2012</v>
      </c>
    </row>
    <row r="2516" spans="1:20" x14ac:dyDescent="0.3">
      <c r="A2516">
        <v>34816</v>
      </c>
      <c r="B2516" s="1">
        <v>40487</v>
      </c>
      <c r="C2516" t="s">
        <v>31</v>
      </c>
      <c r="D2516" t="str">
        <f t="shared" si="78"/>
        <v>05-Nov-2010</v>
      </c>
      <c r="E2516">
        <v>43</v>
      </c>
      <c r="F2516" s="13">
        <v>2568.71</v>
      </c>
      <c r="G2516">
        <v>0.1</v>
      </c>
      <c r="H2516" t="s">
        <v>19</v>
      </c>
      <c r="I2516" s="13">
        <v>590.77</v>
      </c>
      <c r="J2516">
        <v>60.98</v>
      </c>
      <c r="K2516">
        <v>19.989999999999998</v>
      </c>
      <c r="L2516" t="s">
        <v>109</v>
      </c>
      <c r="M2516" t="s">
        <v>104</v>
      </c>
      <c r="N2516" s="5" t="s">
        <v>105</v>
      </c>
      <c r="O2516" t="s">
        <v>28</v>
      </c>
      <c r="P2516" t="s">
        <v>21</v>
      </c>
      <c r="Q2516" t="s">
        <v>42</v>
      </c>
      <c r="R2516">
        <v>0.38</v>
      </c>
      <c r="S2516" s="1">
        <v>40489</v>
      </c>
      <c r="T2516" t="str">
        <f t="shared" si="79"/>
        <v>07-Nov-2010</v>
      </c>
    </row>
    <row r="2517" spans="1:20" x14ac:dyDescent="0.3">
      <c r="A2517">
        <v>51073</v>
      </c>
      <c r="B2517" s="1">
        <v>40312</v>
      </c>
      <c r="C2517" t="s">
        <v>31</v>
      </c>
      <c r="D2517" t="str">
        <f t="shared" si="78"/>
        <v>14-May-2010</v>
      </c>
      <c r="E2517">
        <v>17</v>
      </c>
      <c r="F2517" s="13">
        <v>2475.08</v>
      </c>
      <c r="G2517">
        <v>0</v>
      </c>
      <c r="H2517" t="s">
        <v>35</v>
      </c>
      <c r="I2517" s="13">
        <v>958.8</v>
      </c>
      <c r="J2517">
        <v>136.97999999999999</v>
      </c>
      <c r="K2517">
        <v>24.49</v>
      </c>
      <c r="L2517" t="s">
        <v>111</v>
      </c>
      <c r="M2517" t="s">
        <v>104</v>
      </c>
      <c r="N2517" s="5" t="s">
        <v>105</v>
      </c>
      <c r="O2517" t="s">
        <v>28</v>
      </c>
      <c r="P2517" t="s">
        <v>32</v>
      </c>
      <c r="Q2517" t="s">
        <v>33</v>
      </c>
      <c r="R2517">
        <v>0.59</v>
      </c>
      <c r="S2517" s="1">
        <v>40314</v>
      </c>
      <c r="T2517" t="str">
        <f t="shared" si="79"/>
        <v>16-May-2010</v>
      </c>
    </row>
    <row r="2518" spans="1:20" x14ac:dyDescent="0.3">
      <c r="A2518">
        <v>17344</v>
      </c>
      <c r="B2518" s="1">
        <v>40378</v>
      </c>
      <c r="C2518" t="s">
        <v>43</v>
      </c>
      <c r="D2518" t="str">
        <f t="shared" si="78"/>
        <v>19-Jul-2010</v>
      </c>
      <c r="E2518">
        <v>40</v>
      </c>
      <c r="F2518" s="13">
        <v>2405.4575</v>
      </c>
      <c r="G2518">
        <v>0.01</v>
      </c>
      <c r="H2518" t="s">
        <v>19</v>
      </c>
      <c r="I2518" s="13">
        <v>571.54</v>
      </c>
      <c r="J2518">
        <v>65.989999999999995</v>
      </c>
      <c r="K2518">
        <v>7.69</v>
      </c>
      <c r="L2518" t="s">
        <v>125</v>
      </c>
      <c r="M2518" t="s">
        <v>104</v>
      </c>
      <c r="N2518" s="5" t="s">
        <v>105</v>
      </c>
      <c r="O2518" t="s">
        <v>28</v>
      </c>
      <c r="P2518" t="s">
        <v>29</v>
      </c>
      <c r="Q2518" t="s">
        <v>30</v>
      </c>
      <c r="R2518">
        <v>0.59</v>
      </c>
      <c r="S2518" s="1">
        <v>40380</v>
      </c>
      <c r="T2518" t="str">
        <f t="shared" si="79"/>
        <v>21-Jul-2010</v>
      </c>
    </row>
    <row r="2519" spans="1:20" x14ac:dyDescent="0.3">
      <c r="A2519">
        <v>51648</v>
      </c>
      <c r="B2519" s="1">
        <v>40909</v>
      </c>
      <c r="C2519" t="s">
        <v>18</v>
      </c>
      <c r="D2519" t="str">
        <f t="shared" si="78"/>
        <v>01-Jan-2012</v>
      </c>
      <c r="E2519">
        <v>45</v>
      </c>
      <c r="F2519" s="13">
        <v>2354.8000000000002</v>
      </c>
      <c r="G2519">
        <v>0.03</v>
      </c>
      <c r="H2519" t="s">
        <v>19</v>
      </c>
      <c r="I2519" s="13">
        <v>332.97</v>
      </c>
      <c r="J2519">
        <v>49.99</v>
      </c>
      <c r="K2519">
        <v>19.989999999999998</v>
      </c>
      <c r="L2519" t="s">
        <v>80</v>
      </c>
      <c r="M2519" t="s">
        <v>104</v>
      </c>
      <c r="N2519" s="5" t="s">
        <v>105</v>
      </c>
      <c r="O2519" t="s">
        <v>28</v>
      </c>
      <c r="P2519" t="s">
        <v>29</v>
      </c>
      <c r="Q2519" t="s">
        <v>41</v>
      </c>
      <c r="R2519">
        <v>0.41</v>
      </c>
      <c r="S2519" s="1">
        <v>40916</v>
      </c>
      <c r="T2519" t="str">
        <f t="shared" si="79"/>
        <v>08-Jan-2012</v>
      </c>
    </row>
    <row r="2520" spans="1:20" x14ac:dyDescent="0.3">
      <c r="A2520">
        <v>10432</v>
      </c>
      <c r="B2520" s="1">
        <v>40913</v>
      </c>
      <c r="C2520" t="s">
        <v>18</v>
      </c>
      <c r="D2520" t="str">
        <f t="shared" si="78"/>
        <v>05-Jan-2012</v>
      </c>
      <c r="E2520">
        <v>13</v>
      </c>
      <c r="F2520" s="13">
        <v>2323.36</v>
      </c>
      <c r="G2520">
        <v>0.08</v>
      </c>
      <c r="H2520" t="s">
        <v>19</v>
      </c>
      <c r="I2520" s="13">
        <v>220.39</v>
      </c>
      <c r="J2520">
        <v>179.99</v>
      </c>
      <c r="K2520">
        <v>19.989999999999998</v>
      </c>
      <c r="L2520" t="s">
        <v>112</v>
      </c>
      <c r="M2520" t="s">
        <v>104</v>
      </c>
      <c r="N2520" s="5" t="s">
        <v>105</v>
      </c>
      <c r="O2520" t="s">
        <v>28</v>
      </c>
      <c r="P2520" t="s">
        <v>29</v>
      </c>
      <c r="Q2520" t="s">
        <v>41</v>
      </c>
      <c r="R2520">
        <v>0.48</v>
      </c>
      <c r="S2520" s="1">
        <v>40920</v>
      </c>
      <c r="T2520" t="str">
        <f t="shared" si="79"/>
        <v>12-Jan-2012</v>
      </c>
    </row>
    <row r="2521" spans="1:20" x14ac:dyDescent="0.3">
      <c r="A2521">
        <v>39301</v>
      </c>
      <c r="B2521" s="1">
        <v>39894</v>
      </c>
      <c r="C2521" t="s">
        <v>38</v>
      </c>
      <c r="D2521" t="str">
        <f t="shared" si="78"/>
        <v>22-Mar-2009</v>
      </c>
      <c r="E2521">
        <v>16</v>
      </c>
      <c r="F2521" s="13">
        <v>2232.66</v>
      </c>
      <c r="G2521">
        <v>0.1</v>
      </c>
      <c r="H2521" t="s">
        <v>35</v>
      </c>
      <c r="I2521" s="13">
        <v>-521.09</v>
      </c>
      <c r="J2521">
        <v>152.47999999999999</v>
      </c>
      <c r="K2521">
        <v>4</v>
      </c>
      <c r="L2521" t="s">
        <v>115</v>
      </c>
      <c r="M2521" t="s">
        <v>104</v>
      </c>
      <c r="N2521" s="5" t="s">
        <v>105</v>
      </c>
      <c r="O2521" t="s">
        <v>28</v>
      </c>
      <c r="P2521" t="s">
        <v>29</v>
      </c>
      <c r="Q2521" t="s">
        <v>41</v>
      </c>
      <c r="R2521">
        <v>0.79</v>
      </c>
      <c r="S2521" s="1">
        <v>39895</v>
      </c>
      <c r="T2521" t="str">
        <f t="shared" si="79"/>
        <v>23-Mar-2009</v>
      </c>
    </row>
    <row r="2522" spans="1:20" x14ac:dyDescent="0.3">
      <c r="A2522">
        <v>37445</v>
      </c>
      <c r="B2522" s="1">
        <v>40957</v>
      </c>
      <c r="C2522" t="s">
        <v>23</v>
      </c>
      <c r="D2522" t="str">
        <f t="shared" si="78"/>
        <v>18-Feb-2012</v>
      </c>
      <c r="E2522">
        <v>37</v>
      </c>
      <c r="F2522" s="13">
        <v>2180.23</v>
      </c>
      <c r="G2522">
        <v>0.05</v>
      </c>
      <c r="H2522" t="s">
        <v>19</v>
      </c>
      <c r="I2522" s="13">
        <v>660.25</v>
      </c>
      <c r="J2522">
        <v>60.22</v>
      </c>
      <c r="K2522">
        <v>3.5</v>
      </c>
      <c r="L2522" t="s">
        <v>113</v>
      </c>
      <c r="M2522" t="s">
        <v>104</v>
      </c>
      <c r="N2522" s="5" t="s">
        <v>105</v>
      </c>
      <c r="O2522" t="s">
        <v>28</v>
      </c>
      <c r="P2522" t="s">
        <v>21</v>
      </c>
      <c r="Q2522" t="s">
        <v>25</v>
      </c>
      <c r="R2522">
        <v>0.56999999999999995</v>
      </c>
      <c r="S2522" s="1">
        <v>40958</v>
      </c>
      <c r="T2522" t="str">
        <f t="shared" si="79"/>
        <v>19-Feb-2012</v>
      </c>
    </row>
    <row r="2523" spans="1:20" x14ac:dyDescent="0.3">
      <c r="A2523">
        <v>8992</v>
      </c>
      <c r="B2523" s="1">
        <v>40494</v>
      </c>
      <c r="C2523" t="s">
        <v>23</v>
      </c>
      <c r="D2523" t="str">
        <f t="shared" si="78"/>
        <v>12-Nov-2010</v>
      </c>
      <c r="E2523">
        <v>14</v>
      </c>
      <c r="F2523" s="13">
        <v>2145.6975000000002</v>
      </c>
      <c r="G2523">
        <v>0.08</v>
      </c>
      <c r="H2523" t="s">
        <v>19</v>
      </c>
      <c r="I2523" s="13">
        <v>-176.79</v>
      </c>
      <c r="J2523">
        <v>195.99</v>
      </c>
      <c r="K2523">
        <v>4.2</v>
      </c>
      <c r="L2523" t="s">
        <v>122</v>
      </c>
      <c r="M2523" t="s">
        <v>104</v>
      </c>
      <c r="N2523" s="5" t="s">
        <v>105</v>
      </c>
      <c r="O2523" t="s">
        <v>28</v>
      </c>
      <c r="P2523" t="s">
        <v>29</v>
      </c>
      <c r="Q2523" t="s">
        <v>30</v>
      </c>
      <c r="R2523">
        <v>0.6</v>
      </c>
      <c r="S2523" s="1">
        <v>40496</v>
      </c>
      <c r="T2523" t="str">
        <f t="shared" si="79"/>
        <v>14-Nov-2010</v>
      </c>
    </row>
    <row r="2524" spans="1:20" x14ac:dyDescent="0.3">
      <c r="A2524">
        <v>43397</v>
      </c>
      <c r="B2524" s="1">
        <v>40675</v>
      </c>
      <c r="C2524" t="s">
        <v>43</v>
      </c>
      <c r="D2524" t="str">
        <f t="shared" si="78"/>
        <v>12-May-2011</v>
      </c>
      <c r="E2524">
        <v>35</v>
      </c>
      <c r="F2524" s="13">
        <v>2130.31</v>
      </c>
      <c r="G2524">
        <v>0.08</v>
      </c>
      <c r="H2524" t="s">
        <v>24</v>
      </c>
      <c r="I2524" s="13">
        <v>-319.26</v>
      </c>
      <c r="J2524">
        <v>60.89</v>
      </c>
      <c r="K2524">
        <v>32.409999999999997</v>
      </c>
      <c r="L2524" t="s">
        <v>230</v>
      </c>
      <c r="M2524" t="s">
        <v>104</v>
      </c>
      <c r="N2524" s="5" t="s">
        <v>105</v>
      </c>
      <c r="O2524" t="s">
        <v>28</v>
      </c>
      <c r="P2524" t="s">
        <v>32</v>
      </c>
      <c r="Q2524" t="s">
        <v>56</v>
      </c>
      <c r="R2524">
        <v>0.56000000000000005</v>
      </c>
      <c r="S2524" s="1">
        <v>40676</v>
      </c>
      <c r="T2524" t="str">
        <f t="shared" si="79"/>
        <v>13-May-2011</v>
      </c>
    </row>
    <row r="2525" spans="1:20" x14ac:dyDescent="0.3">
      <c r="A2525">
        <v>39808</v>
      </c>
      <c r="B2525" s="1">
        <v>41154</v>
      </c>
      <c r="C2525" t="s">
        <v>18</v>
      </c>
      <c r="D2525" t="str">
        <f t="shared" si="78"/>
        <v>02-Sep-2012</v>
      </c>
      <c r="E2525">
        <v>50</v>
      </c>
      <c r="F2525" s="13">
        <v>2026.42</v>
      </c>
      <c r="G2525">
        <v>0.03</v>
      </c>
      <c r="H2525" t="s">
        <v>19</v>
      </c>
      <c r="I2525" s="13">
        <v>655.36</v>
      </c>
      <c r="J2525">
        <v>39.979999999999997</v>
      </c>
      <c r="K2525">
        <v>9.83</v>
      </c>
      <c r="L2525" t="s">
        <v>246</v>
      </c>
      <c r="M2525" t="s">
        <v>104</v>
      </c>
      <c r="N2525" s="5" t="s">
        <v>105</v>
      </c>
      <c r="O2525" t="s">
        <v>28</v>
      </c>
      <c r="P2525" t="s">
        <v>21</v>
      </c>
      <c r="Q2525" t="s">
        <v>42</v>
      </c>
      <c r="R2525">
        <v>0.4</v>
      </c>
      <c r="S2525" s="1">
        <v>41161</v>
      </c>
      <c r="T2525" t="str">
        <f t="shared" si="79"/>
        <v>09-Sep-2012</v>
      </c>
    </row>
    <row r="2526" spans="1:20" x14ac:dyDescent="0.3">
      <c r="A2526">
        <v>5121</v>
      </c>
      <c r="B2526" s="1">
        <v>41039</v>
      </c>
      <c r="C2526" t="s">
        <v>31</v>
      </c>
      <c r="D2526" t="str">
        <f t="shared" si="78"/>
        <v>10-May-2012</v>
      </c>
      <c r="E2526">
        <v>45</v>
      </c>
      <c r="F2526" s="13">
        <v>1991.703</v>
      </c>
      <c r="G2526">
        <v>7.0000000000000007E-2</v>
      </c>
      <c r="H2526" t="s">
        <v>19</v>
      </c>
      <c r="I2526" s="13">
        <v>559.11</v>
      </c>
      <c r="J2526">
        <v>55.99</v>
      </c>
      <c r="K2526">
        <v>1.25</v>
      </c>
      <c r="L2526" t="s">
        <v>124</v>
      </c>
      <c r="M2526" t="s">
        <v>104</v>
      </c>
      <c r="N2526" s="5" t="s">
        <v>105</v>
      </c>
      <c r="O2526" t="s">
        <v>28</v>
      </c>
      <c r="P2526" t="s">
        <v>29</v>
      </c>
      <c r="Q2526" t="s">
        <v>30</v>
      </c>
      <c r="R2526">
        <v>0.55000000000000004</v>
      </c>
      <c r="S2526" s="1">
        <v>41040</v>
      </c>
      <c r="T2526" t="str">
        <f t="shared" si="79"/>
        <v>11-May-2012</v>
      </c>
    </row>
    <row r="2527" spans="1:20" x14ac:dyDescent="0.3">
      <c r="A2527">
        <v>41888</v>
      </c>
      <c r="B2527" s="1">
        <v>39872</v>
      </c>
      <c r="C2527" t="s">
        <v>18</v>
      </c>
      <c r="D2527" t="str">
        <f t="shared" si="78"/>
        <v>28-Feb-2009</v>
      </c>
      <c r="E2527">
        <v>18</v>
      </c>
      <c r="F2527" s="13">
        <v>1979.47</v>
      </c>
      <c r="G2527">
        <v>0.1</v>
      </c>
      <c r="H2527" t="s">
        <v>19</v>
      </c>
      <c r="I2527" s="13">
        <v>690.27</v>
      </c>
      <c r="J2527">
        <v>120.98</v>
      </c>
      <c r="K2527">
        <v>9.07</v>
      </c>
      <c r="L2527" t="s">
        <v>382</v>
      </c>
      <c r="M2527" t="s">
        <v>104</v>
      </c>
      <c r="N2527" s="5" t="s">
        <v>105</v>
      </c>
      <c r="O2527" t="s">
        <v>28</v>
      </c>
      <c r="P2527" t="s">
        <v>21</v>
      </c>
      <c r="Q2527" t="s">
        <v>26</v>
      </c>
      <c r="R2527">
        <v>0.35</v>
      </c>
      <c r="S2527" s="1">
        <v>39881</v>
      </c>
      <c r="T2527" t="str">
        <f t="shared" si="79"/>
        <v>09-Mar-2009</v>
      </c>
    </row>
    <row r="2528" spans="1:20" x14ac:dyDescent="0.3">
      <c r="A2528">
        <v>56868</v>
      </c>
      <c r="B2528" s="1">
        <v>40880</v>
      </c>
      <c r="C2528" t="s">
        <v>18</v>
      </c>
      <c r="D2528" t="str">
        <f t="shared" si="78"/>
        <v>03-Dec-2011</v>
      </c>
      <c r="E2528">
        <v>34</v>
      </c>
      <c r="F2528" s="13">
        <v>1947.4265</v>
      </c>
      <c r="G2528">
        <v>0.03</v>
      </c>
      <c r="H2528" t="s">
        <v>19</v>
      </c>
      <c r="I2528" s="13">
        <v>473.27</v>
      </c>
      <c r="J2528">
        <v>65.989999999999995</v>
      </c>
      <c r="K2528">
        <v>5.92</v>
      </c>
      <c r="L2528" t="s">
        <v>224</v>
      </c>
      <c r="M2528" t="s">
        <v>104</v>
      </c>
      <c r="N2528" s="5" t="s">
        <v>105</v>
      </c>
      <c r="O2528" t="s">
        <v>28</v>
      </c>
      <c r="P2528" t="s">
        <v>29</v>
      </c>
      <c r="Q2528" t="s">
        <v>30</v>
      </c>
      <c r="R2528">
        <v>0.55000000000000004</v>
      </c>
      <c r="S2528" s="1">
        <v>40887</v>
      </c>
      <c r="T2528" t="str">
        <f t="shared" si="79"/>
        <v>10-Dec-2011</v>
      </c>
    </row>
    <row r="2529" spans="1:20" x14ac:dyDescent="0.3">
      <c r="A2529">
        <v>36834</v>
      </c>
      <c r="B2529" s="1">
        <v>40171</v>
      </c>
      <c r="C2529" t="s">
        <v>18</v>
      </c>
      <c r="D2529" t="str">
        <f t="shared" si="78"/>
        <v>24-Dec-2009</v>
      </c>
      <c r="E2529">
        <v>11</v>
      </c>
      <c r="F2529" s="13">
        <v>1935.1</v>
      </c>
      <c r="G2529">
        <v>0.01</v>
      </c>
      <c r="H2529" t="s">
        <v>24</v>
      </c>
      <c r="I2529" s="13">
        <v>-42.96</v>
      </c>
      <c r="J2529">
        <v>170.98</v>
      </c>
      <c r="K2529">
        <v>35.89</v>
      </c>
      <c r="L2529" t="s">
        <v>125</v>
      </c>
      <c r="M2529" t="s">
        <v>104</v>
      </c>
      <c r="N2529" s="5" t="s">
        <v>105</v>
      </c>
      <c r="O2529" t="s">
        <v>28</v>
      </c>
      <c r="P2529" t="s">
        <v>32</v>
      </c>
      <c r="Q2529" t="s">
        <v>45</v>
      </c>
      <c r="R2529">
        <v>0.66</v>
      </c>
      <c r="S2529" s="1">
        <v>40173</v>
      </c>
      <c r="T2529" t="str">
        <f t="shared" si="79"/>
        <v>26-Dec-2009</v>
      </c>
    </row>
    <row r="2530" spans="1:20" x14ac:dyDescent="0.3">
      <c r="A2530">
        <v>42338</v>
      </c>
      <c r="B2530" s="1">
        <v>40119</v>
      </c>
      <c r="C2530" t="s">
        <v>31</v>
      </c>
      <c r="D2530" t="str">
        <f t="shared" si="78"/>
        <v>02-Nov-2009</v>
      </c>
      <c r="E2530">
        <v>32</v>
      </c>
      <c r="F2530" s="13">
        <v>1909.0065</v>
      </c>
      <c r="G2530">
        <v>0.01</v>
      </c>
      <c r="H2530" t="s">
        <v>19</v>
      </c>
      <c r="I2530" s="13">
        <v>344.13</v>
      </c>
      <c r="J2530">
        <v>65.989999999999995</v>
      </c>
      <c r="K2530">
        <v>8.99</v>
      </c>
      <c r="L2530" t="s">
        <v>378</v>
      </c>
      <c r="M2530" t="s">
        <v>104</v>
      </c>
      <c r="N2530" s="5" t="s">
        <v>105</v>
      </c>
      <c r="O2530" t="s">
        <v>28</v>
      </c>
      <c r="P2530" t="s">
        <v>29</v>
      </c>
      <c r="Q2530" t="s">
        <v>30</v>
      </c>
      <c r="R2530">
        <v>0.59</v>
      </c>
      <c r="S2530" s="1">
        <v>40121</v>
      </c>
      <c r="T2530" t="str">
        <f t="shared" si="79"/>
        <v>04-Nov-2009</v>
      </c>
    </row>
    <row r="2531" spans="1:20" x14ac:dyDescent="0.3">
      <c r="A2531">
        <v>35</v>
      </c>
      <c r="B2531" s="1">
        <v>40838</v>
      </c>
      <c r="C2531" t="s">
        <v>31</v>
      </c>
      <c r="D2531" t="str">
        <f t="shared" si="78"/>
        <v>22-Oct-2011</v>
      </c>
      <c r="E2531">
        <v>14</v>
      </c>
      <c r="F2531" s="13">
        <v>1892.848</v>
      </c>
      <c r="G2531">
        <v>0.01</v>
      </c>
      <c r="H2531" t="s">
        <v>19</v>
      </c>
      <c r="I2531" s="13">
        <v>48.99</v>
      </c>
      <c r="J2531">
        <v>155.99</v>
      </c>
      <c r="K2531">
        <v>8.99</v>
      </c>
      <c r="L2531" t="s">
        <v>106</v>
      </c>
      <c r="M2531" t="s">
        <v>104</v>
      </c>
      <c r="N2531" s="5" t="s">
        <v>105</v>
      </c>
      <c r="O2531" t="s">
        <v>28</v>
      </c>
      <c r="P2531" t="s">
        <v>29</v>
      </c>
      <c r="Q2531" t="s">
        <v>30</v>
      </c>
      <c r="R2531">
        <v>0.57999999999999996</v>
      </c>
      <c r="S2531" s="1">
        <v>40840</v>
      </c>
      <c r="T2531" t="str">
        <f t="shared" si="79"/>
        <v>24-Oct-2011</v>
      </c>
    </row>
    <row r="2532" spans="1:20" x14ac:dyDescent="0.3">
      <c r="A2532">
        <v>44256</v>
      </c>
      <c r="B2532" s="1">
        <v>40866</v>
      </c>
      <c r="C2532" t="s">
        <v>18</v>
      </c>
      <c r="D2532" t="str">
        <f t="shared" si="78"/>
        <v>19-Nov-2011</v>
      </c>
      <c r="E2532">
        <v>49</v>
      </c>
      <c r="F2532" s="13">
        <v>1889.04</v>
      </c>
      <c r="G2532">
        <v>0.1</v>
      </c>
      <c r="H2532" t="s">
        <v>35</v>
      </c>
      <c r="I2532" s="13">
        <v>182.15</v>
      </c>
      <c r="J2532">
        <v>40.97</v>
      </c>
      <c r="K2532">
        <v>8.99</v>
      </c>
      <c r="L2532" t="s">
        <v>109</v>
      </c>
      <c r="M2532" t="s">
        <v>104</v>
      </c>
      <c r="N2532" s="5" t="s">
        <v>105</v>
      </c>
      <c r="O2532" t="s">
        <v>28</v>
      </c>
      <c r="P2532" t="s">
        <v>21</v>
      </c>
      <c r="Q2532" t="s">
        <v>50</v>
      </c>
      <c r="R2532">
        <v>0.59</v>
      </c>
      <c r="S2532" s="1">
        <v>40873</v>
      </c>
      <c r="T2532" t="str">
        <f t="shared" si="79"/>
        <v>26-Nov-2011</v>
      </c>
    </row>
    <row r="2533" spans="1:20" x14ac:dyDescent="0.3">
      <c r="A2533">
        <v>1925</v>
      </c>
      <c r="B2533" s="1">
        <v>40972</v>
      </c>
      <c r="C2533" t="s">
        <v>43</v>
      </c>
      <c r="D2533" t="str">
        <f t="shared" si="78"/>
        <v>04-Mar-2012</v>
      </c>
      <c r="E2533">
        <v>7</v>
      </c>
      <c r="F2533" s="13">
        <v>1874.37</v>
      </c>
      <c r="G2533">
        <v>0.08</v>
      </c>
      <c r="H2533" t="s">
        <v>19</v>
      </c>
      <c r="I2533" s="13">
        <v>67.84</v>
      </c>
      <c r="J2533">
        <v>276.2</v>
      </c>
      <c r="K2533">
        <v>24.49</v>
      </c>
      <c r="L2533" t="s">
        <v>103</v>
      </c>
      <c r="M2533" t="s">
        <v>104</v>
      </c>
      <c r="N2533" s="5" t="s">
        <v>105</v>
      </c>
      <c r="O2533" t="s">
        <v>28</v>
      </c>
      <c r="P2533" t="s">
        <v>32</v>
      </c>
      <c r="Q2533" t="s">
        <v>56</v>
      </c>
      <c r="S2533" s="1">
        <v>40973</v>
      </c>
      <c r="T2533" t="str">
        <f t="shared" si="79"/>
        <v>05-Mar-2012</v>
      </c>
    </row>
    <row r="2534" spans="1:20" x14ac:dyDescent="0.3">
      <c r="A2534">
        <v>43682</v>
      </c>
      <c r="B2534" s="1">
        <v>41148</v>
      </c>
      <c r="C2534" t="s">
        <v>38</v>
      </c>
      <c r="D2534" t="str">
        <f t="shared" si="78"/>
        <v>27-Aug-2012</v>
      </c>
      <c r="E2534">
        <v>14</v>
      </c>
      <c r="F2534" s="13">
        <v>1849.6</v>
      </c>
      <c r="G2534">
        <v>0.06</v>
      </c>
      <c r="H2534" t="s">
        <v>19</v>
      </c>
      <c r="I2534" s="13">
        <v>62.16</v>
      </c>
      <c r="J2534">
        <v>155.99</v>
      </c>
      <c r="K2534">
        <v>8.99</v>
      </c>
      <c r="L2534" t="s">
        <v>385</v>
      </c>
      <c r="M2534" t="s">
        <v>104</v>
      </c>
      <c r="N2534" s="5" t="s">
        <v>105</v>
      </c>
      <c r="O2534" t="s">
        <v>28</v>
      </c>
      <c r="P2534" t="s">
        <v>29</v>
      </c>
      <c r="Q2534" t="s">
        <v>30</v>
      </c>
      <c r="R2534">
        <v>0.55000000000000004</v>
      </c>
      <c r="S2534" s="1">
        <v>41150</v>
      </c>
      <c r="T2534" t="str">
        <f t="shared" si="79"/>
        <v>29-Aug-2012</v>
      </c>
    </row>
    <row r="2535" spans="1:20" x14ac:dyDescent="0.3">
      <c r="A2535">
        <v>50310</v>
      </c>
      <c r="B2535" s="1">
        <v>40040</v>
      </c>
      <c r="C2535" t="s">
        <v>38</v>
      </c>
      <c r="D2535" t="str">
        <f t="shared" si="78"/>
        <v>15-Aug-2009</v>
      </c>
      <c r="E2535">
        <v>42</v>
      </c>
      <c r="F2535" s="13">
        <v>1811.3</v>
      </c>
      <c r="G2535">
        <v>7.0000000000000007E-2</v>
      </c>
      <c r="H2535" t="s">
        <v>35</v>
      </c>
      <c r="I2535" s="13">
        <v>520.41</v>
      </c>
      <c r="J2535">
        <v>42.98</v>
      </c>
      <c r="K2535">
        <v>4.62</v>
      </c>
      <c r="L2535" t="s">
        <v>118</v>
      </c>
      <c r="M2535" t="s">
        <v>104</v>
      </c>
      <c r="N2535" s="5" t="s">
        <v>105</v>
      </c>
      <c r="O2535" t="s">
        <v>28</v>
      </c>
      <c r="P2535" t="s">
        <v>21</v>
      </c>
      <c r="Q2535" t="s">
        <v>25</v>
      </c>
      <c r="R2535">
        <v>0.56000000000000005</v>
      </c>
      <c r="S2535" s="1">
        <v>40042</v>
      </c>
      <c r="T2535" t="str">
        <f t="shared" si="79"/>
        <v>17-Aug-2009</v>
      </c>
    </row>
    <row r="2536" spans="1:20" x14ac:dyDescent="0.3">
      <c r="A2536">
        <v>26368</v>
      </c>
      <c r="B2536" s="1">
        <v>40374</v>
      </c>
      <c r="C2536" t="s">
        <v>38</v>
      </c>
      <c r="D2536" t="str">
        <f t="shared" si="78"/>
        <v>15-Jul-2010</v>
      </c>
      <c r="E2536">
        <v>25</v>
      </c>
      <c r="F2536" s="13">
        <v>1809.0125</v>
      </c>
      <c r="G2536">
        <v>0.01</v>
      </c>
      <c r="H2536" t="s">
        <v>19</v>
      </c>
      <c r="I2536" s="13">
        <v>795.05</v>
      </c>
      <c r="J2536">
        <v>85.99</v>
      </c>
      <c r="K2536">
        <v>2.5</v>
      </c>
      <c r="L2536" t="s">
        <v>122</v>
      </c>
      <c r="M2536" t="s">
        <v>104</v>
      </c>
      <c r="N2536" s="5" t="s">
        <v>105</v>
      </c>
      <c r="O2536" t="s">
        <v>28</v>
      </c>
      <c r="P2536" t="s">
        <v>29</v>
      </c>
      <c r="Q2536" t="s">
        <v>30</v>
      </c>
      <c r="R2536">
        <v>0.35</v>
      </c>
      <c r="S2536" s="1">
        <v>40376</v>
      </c>
      <c r="T2536" t="str">
        <f t="shared" si="79"/>
        <v>17-Jul-2010</v>
      </c>
    </row>
    <row r="2537" spans="1:20" x14ac:dyDescent="0.3">
      <c r="A2537">
        <v>37925</v>
      </c>
      <c r="B2537" s="1">
        <v>40447</v>
      </c>
      <c r="C2537" t="s">
        <v>38</v>
      </c>
      <c r="D2537" t="str">
        <f t="shared" si="78"/>
        <v>26-Sep-2010</v>
      </c>
      <c r="E2537">
        <v>31</v>
      </c>
      <c r="F2537" s="13">
        <v>1784.048</v>
      </c>
      <c r="G2537">
        <v>0.05</v>
      </c>
      <c r="H2537" t="s">
        <v>19</v>
      </c>
      <c r="I2537" s="13">
        <v>394.45</v>
      </c>
      <c r="J2537">
        <v>65.989999999999995</v>
      </c>
      <c r="K2537">
        <v>3.99</v>
      </c>
      <c r="L2537" t="s">
        <v>111</v>
      </c>
      <c r="M2537" t="s">
        <v>104</v>
      </c>
      <c r="N2537" s="5" t="s">
        <v>105</v>
      </c>
      <c r="O2537" t="s">
        <v>28</v>
      </c>
      <c r="P2537" t="s">
        <v>29</v>
      </c>
      <c r="Q2537" t="s">
        <v>30</v>
      </c>
      <c r="R2537">
        <v>0.59</v>
      </c>
      <c r="S2537" s="1">
        <v>40448</v>
      </c>
      <c r="T2537" t="str">
        <f t="shared" si="79"/>
        <v>27-Sep-2010</v>
      </c>
    </row>
    <row r="2538" spans="1:20" x14ac:dyDescent="0.3">
      <c r="A2538">
        <v>35938</v>
      </c>
      <c r="B2538" s="1">
        <v>41230</v>
      </c>
      <c r="C2538" t="s">
        <v>31</v>
      </c>
      <c r="D2538" t="str">
        <f t="shared" si="78"/>
        <v>17-Nov-2012</v>
      </c>
      <c r="E2538">
        <v>6</v>
      </c>
      <c r="F2538" s="13">
        <v>1770.7</v>
      </c>
      <c r="G2538">
        <v>0.05</v>
      </c>
      <c r="H2538" t="s">
        <v>24</v>
      </c>
      <c r="I2538" s="13">
        <v>-448.25</v>
      </c>
      <c r="J2538">
        <v>280.98</v>
      </c>
      <c r="K2538">
        <v>57</v>
      </c>
      <c r="L2538" t="s">
        <v>270</v>
      </c>
      <c r="M2538" t="s">
        <v>104</v>
      </c>
      <c r="N2538" s="5" t="s">
        <v>105</v>
      </c>
      <c r="O2538" t="s">
        <v>28</v>
      </c>
      <c r="P2538" t="s">
        <v>32</v>
      </c>
      <c r="Q2538" t="s">
        <v>56</v>
      </c>
      <c r="R2538">
        <v>0.78</v>
      </c>
      <c r="S2538" s="1">
        <v>41232</v>
      </c>
      <c r="T2538" t="str">
        <f t="shared" si="79"/>
        <v>19-Nov-2012</v>
      </c>
    </row>
    <row r="2539" spans="1:20" x14ac:dyDescent="0.3">
      <c r="A2539">
        <v>41413</v>
      </c>
      <c r="B2539" s="1">
        <v>40863</v>
      </c>
      <c r="C2539" t="s">
        <v>18</v>
      </c>
      <c r="D2539" t="str">
        <f t="shared" si="78"/>
        <v>16-Nov-2011</v>
      </c>
      <c r="E2539">
        <v>46</v>
      </c>
      <c r="F2539" s="13">
        <v>1765.64</v>
      </c>
      <c r="G2539">
        <v>0.08</v>
      </c>
      <c r="H2539" t="s">
        <v>19</v>
      </c>
      <c r="I2539" s="13">
        <v>108.65</v>
      </c>
      <c r="J2539">
        <v>40.97</v>
      </c>
      <c r="K2539">
        <v>14.45</v>
      </c>
      <c r="L2539" t="s">
        <v>392</v>
      </c>
      <c r="M2539" t="s">
        <v>104</v>
      </c>
      <c r="N2539" s="5" t="s">
        <v>105</v>
      </c>
      <c r="O2539" t="s">
        <v>28</v>
      </c>
      <c r="P2539" t="s">
        <v>32</v>
      </c>
      <c r="Q2539" t="s">
        <v>33</v>
      </c>
      <c r="R2539">
        <v>0.56999999999999995</v>
      </c>
      <c r="S2539" s="1">
        <v>40865</v>
      </c>
      <c r="T2539" t="str">
        <f t="shared" si="79"/>
        <v>18-Nov-2011</v>
      </c>
    </row>
    <row r="2540" spans="1:20" x14ac:dyDescent="0.3">
      <c r="A2540">
        <v>51073</v>
      </c>
      <c r="B2540" s="1">
        <v>40312</v>
      </c>
      <c r="C2540" t="s">
        <v>31</v>
      </c>
      <c r="D2540" t="str">
        <f t="shared" si="78"/>
        <v>14-May-2010</v>
      </c>
      <c r="E2540">
        <v>49</v>
      </c>
      <c r="F2540" s="13">
        <v>1610.42</v>
      </c>
      <c r="G2540">
        <v>0</v>
      </c>
      <c r="H2540" t="s">
        <v>19</v>
      </c>
      <c r="I2540" s="13">
        <v>813.35</v>
      </c>
      <c r="J2540">
        <v>30.93</v>
      </c>
      <c r="K2540">
        <v>3.92</v>
      </c>
      <c r="L2540" t="s">
        <v>111</v>
      </c>
      <c r="M2540" t="s">
        <v>104</v>
      </c>
      <c r="N2540" s="5" t="s">
        <v>105</v>
      </c>
      <c r="O2540" t="s">
        <v>28</v>
      </c>
      <c r="P2540" t="s">
        <v>32</v>
      </c>
      <c r="Q2540" t="s">
        <v>33</v>
      </c>
      <c r="R2540">
        <v>0.44</v>
      </c>
      <c r="S2540" s="1">
        <v>40313</v>
      </c>
      <c r="T2540" t="str">
        <f t="shared" si="79"/>
        <v>15-May-2010</v>
      </c>
    </row>
    <row r="2541" spans="1:20" x14ac:dyDescent="0.3">
      <c r="A2541">
        <v>7169</v>
      </c>
      <c r="B2541" s="1">
        <v>40263</v>
      </c>
      <c r="C2541" t="s">
        <v>38</v>
      </c>
      <c r="D2541" t="str">
        <f t="shared" si="78"/>
        <v>26-Mar-2010</v>
      </c>
      <c r="E2541">
        <v>30</v>
      </c>
      <c r="F2541" s="13">
        <v>1580.6005</v>
      </c>
      <c r="G2541">
        <v>7.0000000000000007E-2</v>
      </c>
      <c r="H2541" t="s">
        <v>19</v>
      </c>
      <c r="I2541" s="13">
        <v>303.52999999999997</v>
      </c>
      <c r="J2541">
        <v>65.989999999999995</v>
      </c>
      <c r="K2541">
        <v>2.79</v>
      </c>
      <c r="L2541" t="s">
        <v>121</v>
      </c>
      <c r="M2541" t="s">
        <v>104</v>
      </c>
      <c r="N2541" s="5" t="s">
        <v>105</v>
      </c>
      <c r="O2541" t="s">
        <v>28</v>
      </c>
      <c r="P2541" t="s">
        <v>29</v>
      </c>
      <c r="Q2541" t="s">
        <v>30</v>
      </c>
      <c r="R2541">
        <v>0.56000000000000005</v>
      </c>
      <c r="S2541" s="1">
        <v>40265</v>
      </c>
      <c r="T2541" t="str">
        <f t="shared" si="79"/>
        <v>28-Mar-2010</v>
      </c>
    </row>
    <row r="2542" spans="1:20" x14ac:dyDescent="0.3">
      <c r="A2542">
        <v>31297</v>
      </c>
      <c r="B2542" s="1">
        <v>41139</v>
      </c>
      <c r="C2542" t="s">
        <v>18</v>
      </c>
      <c r="D2542" t="str">
        <f t="shared" si="78"/>
        <v>18-Aug-2012</v>
      </c>
      <c r="E2542">
        <v>44</v>
      </c>
      <c r="F2542" s="13">
        <v>1579.56</v>
      </c>
      <c r="G2542">
        <v>0.01</v>
      </c>
      <c r="H2542" t="s">
        <v>19</v>
      </c>
      <c r="I2542" s="13">
        <v>699.64</v>
      </c>
      <c r="J2542">
        <v>35.44</v>
      </c>
      <c r="K2542">
        <v>4.92</v>
      </c>
      <c r="L2542" t="s">
        <v>147</v>
      </c>
      <c r="M2542" t="s">
        <v>104</v>
      </c>
      <c r="N2542" s="5" t="s">
        <v>105</v>
      </c>
      <c r="O2542" t="s">
        <v>28</v>
      </c>
      <c r="P2542" t="s">
        <v>21</v>
      </c>
      <c r="Q2542" t="s">
        <v>37</v>
      </c>
      <c r="R2542">
        <v>0.38</v>
      </c>
      <c r="S2542" s="1">
        <v>41148</v>
      </c>
      <c r="T2542" t="str">
        <f t="shared" si="79"/>
        <v>27-Aug-2012</v>
      </c>
    </row>
    <row r="2543" spans="1:20" x14ac:dyDescent="0.3">
      <c r="A2543">
        <v>4261</v>
      </c>
      <c r="B2543" s="1">
        <v>41184</v>
      </c>
      <c r="C2543" t="s">
        <v>43</v>
      </c>
      <c r="D2543" t="str">
        <f t="shared" si="78"/>
        <v>02-Oct-2012</v>
      </c>
      <c r="E2543">
        <v>22</v>
      </c>
      <c r="F2543" s="13">
        <v>1556.87</v>
      </c>
      <c r="G2543">
        <v>0.04</v>
      </c>
      <c r="H2543" t="s">
        <v>24</v>
      </c>
      <c r="I2543" s="13">
        <v>-521.41999999999996</v>
      </c>
      <c r="J2543">
        <v>68.81</v>
      </c>
      <c r="K2543">
        <v>60</v>
      </c>
      <c r="L2543" t="s">
        <v>121</v>
      </c>
      <c r="M2543" t="s">
        <v>104</v>
      </c>
      <c r="N2543" s="5" t="s">
        <v>105</v>
      </c>
      <c r="O2543" t="s">
        <v>28</v>
      </c>
      <c r="P2543" t="s">
        <v>21</v>
      </c>
      <c r="Q2543" t="s">
        <v>25</v>
      </c>
      <c r="R2543">
        <v>0.41</v>
      </c>
      <c r="S2543" s="1">
        <v>41185</v>
      </c>
      <c r="T2543" t="str">
        <f t="shared" si="79"/>
        <v>03-Oct-2012</v>
      </c>
    </row>
    <row r="2544" spans="1:20" x14ac:dyDescent="0.3">
      <c r="A2544">
        <v>54564</v>
      </c>
      <c r="B2544" s="1">
        <v>40518</v>
      </c>
      <c r="C2544" t="s">
        <v>23</v>
      </c>
      <c r="D2544" t="str">
        <f t="shared" si="78"/>
        <v>06-Dec-2010</v>
      </c>
      <c r="E2544">
        <v>27</v>
      </c>
      <c r="F2544" s="13">
        <v>1553.8679999999999</v>
      </c>
      <c r="G2544">
        <v>0.04</v>
      </c>
      <c r="H2544" t="s">
        <v>35</v>
      </c>
      <c r="I2544" s="13">
        <v>322.51</v>
      </c>
      <c r="J2544">
        <v>65.989999999999995</v>
      </c>
      <c r="K2544">
        <v>5.92</v>
      </c>
      <c r="L2544" t="s">
        <v>246</v>
      </c>
      <c r="M2544" t="s">
        <v>104</v>
      </c>
      <c r="N2544" s="5" t="s">
        <v>105</v>
      </c>
      <c r="O2544" t="s">
        <v>28</v>
      </c>
      <c r="P2544" t="s">
        <v>29</v>
      </c>
      <c r="Q2544" t="s">
        <v>30</v>
      </c>
      <c r="R2544">
        <v>0.55000000000000004</v>
      </c>
      <c r="S2544" s="1">
        <v>40520</v>
      </c>
      <c r="T2544" t="str">
        <f t="shared" si="79"/>
        <v>08-Dec-2010</v>
      </c>
    </row>
    <row r="2545" spans="1:20" x14ac:dyDescent="0.3">
      <c r="A2545">
        <v>36805</v>
      </c>
      <c r="B2545" s="1">
        <v>40526</v>
      </c>
      <c r="C2545" t="s">
        <v>38</v>
      </c>
      <c r="D2545" t="str">
        <f t="shared" si="78"/>
        <v>14-Dec-2010</v>
      </c>
      <c r="E2545">
        <v>28</v>
      </c>
      <c r="F2545" s="13">
        <v>1546.3965000000001</v>
      </c>
      <c r="G2545">
        <v>7.0000000000000007E-2</v>
      </c>
      <c r="H2545" t="s">
        <v>35</v>
      </c>
      <c r="I2545" s="13">
        <v>226.72</v>
      </c>
      <c r="J2545">
        <v>65.989999999999995</v>
      </c>
      <c r="K2545">
        <v>5.26</v>
      </c>
      <c r="L2545" t="s">
        <v>122</v>
      </c>
      <c r="M2545" t="s">
        <v>104</v>
      </c>
      <c r="N2545" s="5" t="s">
        <v>105</v>
      </c>
      <c r="O2545" t="s">
        <v>28</v>
      </c>
      <c r="P2545" t="s">
        <v>29</v>
      </c>
      <c r="Q2545" t="s">
        <v>30</v>
      </c>
      <c r="R2545">
        <v>0.59</v>
      </c>
      <c r="S2545" s="1">
        <v>40528</v>
      </c>
      <c r="T2545" t="str">
        <f t="shared" si="79"/>
        <v>16-Dec-2010</v>
      </c>
    </row>
    <row r="2546" spans="1:20" x14ac:dyDescent="0.3">
      <c r="A2546">
        <v>11782</v>
      </c>
      <c r="B2546" s="1">
        <v>41118</v>
      </c>
      <c r="C2546" t="s">
        <v>18</v>
      </c>
      <c r="D2546" t="str">
        <f t="shared" si="78"/>
        <v>28-Jul-2012</v>
      </c>
      <c r="E2546">
        <v>27</v>
      </c>
      <c r="F2546" s="13">
        <v>1541.7809999999999</v>
      </c>
      <c r="G2546">
        <v>7.0000000000000007E-2</v>
      </c>
      <c r="H2546" t="s">
        <v>19</v>
      </c>
      <c r="I2546" s="13">
        <v>14.35</v>
      </c>
      <c r="J2546">
        <v>66.989999999999995</v>
      </c>
      <c r="K2546">
        <v>13.99</v>
      </c>
      <c r="L2546" t="s">
        <v>110</v>
      </c>
      <c r="M2546" t="s">
        <v>104</v>
      </c>
      <c r="N2546" s="5" t="s">
        <v>105</v>
      </c>
      <c r="O2546" t="s">
        <v>28</v>
      </c>
      <c r="P2546" t="s">
        <v>29</v>
      </c>
      <c r="Q2546" t="s">
        <v>30</v>
      </c>
      <c r="R2546">
        <v>0.6</v>
      </c>
      <c r="S2546" s="1">
        <v>41125</v>
      </c>
      <c r="T2546" t="str">
        <f t="shared" si="79"/>
        <v>04-Aug-2012</v>
      </c>
    </row>
    <row r="2547" spans="1:20" x14ac:dyDescent="0.3">
      <c r="A2547">
        <v>11553</v>
      </c>
      <c r="B2547" s="1">
        <v>39921</v>
      </c>
      <c r="C2547" t="s">
        <v>38</v>
      </c>
      <c r="D2547" t="str">
        <f t="shared" si="78"/>
        <v>18-Apr-2009</v>
      </c>
      <c r="E2547">
        <v>20</v>
      </c>
      <c r="F2547" s="13">
        <v>1531.4110000000001</v>
      </c>
      <c r="G2547">
        <v>0.03</v>
      </c>
      <c r="H2547" t="s">
        <v>19</v>
      </c>
      <c r="I2547" s="13">
        <v>365.42</v>
      </c>
      <c r="J2547">
        <v>85.99</v>
      </c>
      <c r="K2547">
        <v>0.99</v>
      </c>
      <c r="L2547" t="s">
        <v>107</v>
      </c>
      <c r="M2547" t="s">
        <v>104</v>
      </c>
      <c r="N2547" s="5" t="s">
        <v>105</v>
      </c>
      <c r="O2547" t="s">
        <v>28</v>
      </c>
      <c r="P2547" t="s">
        <v>29</v>
      </c>
      <c r="Q2547" t="s">
        <v>30</v>
      </c>
      <c r="R2547">
        <v>0.55000000000000004</v>
      </c>
      <c r="S2547" s="1">
        <v>39923</v>
      </c>
      <c r="T2547" t="str">
        <f t="shared" si="79"/>
        <v>20-Apr-2009</v>
      </c>
    </row>
    <row r="2548" spans="1:20" x14ac:dyDescent="0.3">
      <c r="A2548">
        <v>51362</v>
      </c>
      <c r="B2548" s="1">
        <v>40231</v>
      </c>
      <c r="C2548" t="s">
        <v>38</v>
      </c>
      <c r="D2548" t="str">
        <f t="shared" si="78"/>
        <v>22-Feb-2010</v>
      </c>
      <c r="E2548">
        <v>47</v>
      </c>
      <c r="F2548" s="13">
        <v>1501.8</v>
      </c>
      <c r="G2548">
        <v>0.02</v>
      </c>
      <c r="H2548" t="s">
        <v>19</v>
      </c>
      <c r="I2548" s="13">
        <v>112.78</v>
      </c>
      <c r="J2548">
        <v>30.97</v>
      </c>
      <c r="K2548">
        <v>4</v>
      </c>
      <c r="L2548" t="s">
        <v>385</v>
      </c>
      <c r="M2548" t="s">
        <v>104</v>
      </c>
      <c r="N2548" s="5" t="s">
        <v>105</v>
      </c>
      <c r="O2548" t="s">
        <v>28</v>
      </c>
      <c r="P2548" t="s">
        <v>29</v>
      </c>
      <c r="Q2548" t="s">
        <v>41</v>
      </c>
      <c r="R2548">
        <v>0.74</v>
      </c>
      <c r="S2548" s="1">
        <v>40233</v>
      </c>
      <c r="T2548" t="str">
        <f t="shared" si="79"/>
        <v>24-Feb-2010</v>
      </c>
    </row>
    <row r="2549" spans="1:20" x14ac:dyDescent="0.3">
      <c r="A2549">
        <v>33570</v>
      </c>
      <c r="B2549" s="1">
        <v>41259</v>
      </c>
      <c r="C2549" t="s">
        <v>31</v>
      </c>
      <c r="D2549" t="str">
        <f t="shared" si="78"/>
        <v>16-Dec-2012</v>
      </c>
      <c r="E2549">
        <v>1</v>
      </c>
      <c r="F2549" s="13">
        <v>1500.82</v>
      </c>
      <c r="G2549">
        <v>0.01</v>
      </c>
      <c r="H2549" t="s">
        <v>24</v>
      </c>
      <c r="I2549" s="13">
        <v>-3381.99</v>
      </c>
      <c r="J2549">
        <v>1500.97</v>
      </c>
      <c r="K2549">
        <v>29.7</v>
      </c>
      <c r="L2549" t="s">
        <v>146</v>
      </c>
      <c r="M2549" t="s">
        <v>104</v>
      </c>
      <c r="N2549" s="5" t="s">
        <v>105</v>
      </c>
      <c r="O2549" t="s">
        <v>28</v>
      </c>
      <c r="P2549" t="s">
        <v>29</v>
      </c>
      <c r="Q2549" t="s">
        <v>74</v>
      </c>
      <c r="R2549">
        <v>0.56999999999999995</v>
      </c>
      <c r="S2549" s="1">
        <v>41261</v>
      </c>
      <c r="T2549" t="str">
        <f t="shared" si="79"/>
        <v>18-Dec-2012</v>
      </c>
    </row>
    <row r="2550" spans="1:20" x14ac:dyDescent="0.3">
      <c r="A2550">
        <v>38021</v>
      </c>
      <c r="B2550" s="1">
        <v>39834</v>
      </c>
      <c r="C2550" t="s">
        <v>38</v>
      </c>
      <c r="D2550" t="str">
        <f t="shared" si="78"/>
        <v>21-Jan-2009</v>
      </c>
      <c r="E2550">
        <v>46</v>
      </c>
      <c r="F2550" s="13">
        <v>1482.01</v>
      </c>
      <c r="G2550">
        <v>0.02</v>
      </c>
      <c r="H2550" t="s">
        <v>19</v>
      </c>
      <c r="I2550" s="13">
        <v>709.33</v>
      </c>
      <c r="J2550">
        <v>30.44</v>
      </c>
      <c r="K2550">
        <v>1.49</v>
      </c>
      <c r="L2550" t="s">
        <v>108</v>
      </c>
      <c r="M2550" t="s">
        <v>104</v>
      </c>
      <c r="N2550" s="5" t="s">
        <v>105</v>
      </c>
      <c r="O2550" t="s">
        <v>28</v>
      </c>
      <c r="P2550" t="s">
        <v>21</v>
      </c>
      <c r="Q2550" t="s">
        <v>26</v>
      </c>
      <c r="R2550">
        <v>0.37</v>
      </c>
      <c r="S2550" s="1">
        <v>39836</v>
      </c>
      <c r="T2550" t="str">
        <f t="shared" si="79"/>
        <v>23-Jan-2009</v>
      </c>
    </row>
    <row r="2551" spans="1:20" x14ac:dyDescent="0.3">
      <c r="A2551">
        <v>29986</v>
      </c>
      <c r="B2551" s="1">
        <v>40727</v>
      </c>
      <c r="C2551" t="s">
        <v>43</v>
      </c>
      <c r="D2551" t="str">
        <f t="shared" si="78"/>
        <v>03-Jul-2011</v>
      </c>
      <c r="E2551">
        <v>40</v>
      </c>
      <c r="F2551" s="13">
        <v>1477.39</v>
      </c>
      <c r="G2551">
        <v>0.03</v>
      </c>
      <c r="H2551" t="s">
        <v>19</v>
      </c>
      <c r="I2551" s="13">
        <v>641.4</v>
      </c>
      <c r="J2551">
        <v>37.700000000000003</v>
      </c>
      <c r="K2551">
        <v>2.99</v>
      </c>
      <c r="L2551" t="s">
        <v>125</v>
      </c>
      <c r="M2551" t="s">
        <v>104</v>
      </c>
      <c r="N2551" s="5" t="s">
        <v>105</v>
      </c>
      <c r="O2551" t="s">
        <v>28</v>
      </c>
      <c r="P2551" t="s">
        <v>21</v>
      </c>
      <c r="Q2551" t="s">
        <v>26</v>
      </c>
      <c r="R2551">
        <v>0.35</v>
      </c>
      <c r="S2551" s="1">
        <v>40727</v>
      </c>
      <c r="T2551" t="str">
        <f t="shared" si="79"/>
        <v>03-Jul-2011</v>
      </c>
    </row>
    <row r="2552" spans="1:20" x14ac:dyDescent="0.3">
      <c r="A2552">
        <v>6144</v>
      </c>
      <c r="B2552" s="1">
        <v>39985</v>
      </c>
      <c r="C2552" t="s">
        <v>43</v>
      </c>
      <c r="D2552" t="str">
        <f t="shared" si="78"/>
        <v>21-Jun-2009</v>
      </c>
      <c r="E2552">
        <v>4</v>
      </c>
      <c r="F2552" s="13">
        <v>1472.31</v>
      </c>
      <c r="G2552">
        <v>0.03</v>
      </c>
      <c r="H2552" t="s">
        <v>24</v>
      </c>
      <c r="I2552" s="13">
        <v>-223.59</v>
      </c>
      <c r="J2552">
        <v>348.21</v>
      </c>
      <c r="K2552">
        <v>40.19</v>
      </c>
      <c r="L2552" t="s">
        <v>124</v>
      </c>
      <c r="M2552" t="s">
        <v>104</v>
      </c>
      <c r="N2552" s="5" t="s">
        <v>105</v>
      </c>
      <c r="O2552" t="s">
        <v>28</v>
      </c>
      <c r="P2552" t="s">
        <v>32</v>
      </c>
      <c r="Q2552" t="s">
        <v>46</v>
      </c>
      <c r="R2552">
        <v>0.62</v>
      </c>
      <c r="S2552" s="1">
        <v>39986</v>
      </c>
      <c r="T2552" t="str">
        <f t="shared" si="79"/>
        <v>22-Jun-2009</v>
      </c>
    </row>
    <row r="2553" spans="1:20" x14ac:dyDescent="0.3">
      <c r="A2553">
        <v>39232</v>
      </c>
      <c r="B2553" s="1">
        <v>40736</v>
      </c>
      <c r="C2553" t="s">
        <v>18</v>
      </c>
      <c r="D2553" t="str">
        <f t="shared" si="78"/>
        <v>12-Jul-2011</v>
      </c>
      <c r="E2553">
        <v>26</v>
      </c>
      <c r="F2553" s="13">
        <v>1451.59</v>
      </c>
      <c r="G2553">
        <v>0.06</v>
      </c>
      <c r="H2553" t="s">
        <v>19</v>
      </c>
      <c r="I2553" s="13">
        <v>435.11</v>
      </c>
      <c r="J2553">
        <v>55.48</v>
      </c>
      <c r="K2553">
        <v>14.3</v>
      </c>
      <c r="L2553" t="s">
        <v>378</v>
      </c>
      <c r="M2553" t="s">
        <v>104</v>
      </c>
      <c r="N2553" s="5" t="s">
        <v>105</v>
      </c>
      <c r="O2553" t="s">
        <v>28</v>
      </c>
      <c r="P2553" t="s">
        <v>21</v>
      </c>
      <c r="Q2553" t="s">
        <v>37</v>
      </c>
      <c r="R2553">
        <v>0.37</v>
      </c>
      <c r="S2553" s="1">
        <v>40741</v>
      </c>
      <c r="T2553" t="str">
        <f t="shared" si="79"/>
        <v>17-Jul-2011</v>
      </c>
    </row>
    <row r="2554" spans="1:20" x14ac:dyDescent="0.3">
      <c r="A2554">
        <v>9892</v>
      </c>
      <c r="B2554" s="1">
        <v>41106</v>
      </c>
      <c r="C2554" t="s">
        <v>38</v>
      </c>
      <c r="D2554" t="str">
        <f t="shared" si="78"/>
        <v>16-Jul-2012</v>
      </c>
      <c r="E2554">
        <v>50</v>
      </c>
      <c r="F2554" s="13">
        <v>1406.64</v>
      </c>
      <c r="G2554">
        <v>0.02</v>
      </c>
      <c r="H2554" t="s">
        <v>19</v>
      </c>
      <c r="I2554" s="13">
        <v>424.36</v>
      </c>
      <c r="J2554">
        <v>27.18</v>
      </c>
      <c r="K2554">
        <v>8.23</v>
      </c>
      <c r="L2554" t="s">
        <v>115</v>
      </c>
      <c r="M2554" t="s">
        <v>104</v>
      </c>
      <c r="N2554" s="5" t="s">
        <v>105</v>
      </c>
      <c r="O2554" t="s">
        <v>28</v>
      </c>
      <c r="P2554" t="s">
        <v>21</v>
      </c>
      <c r="Q2554" t="s">
        <v>42</v>
      </c>
      <c r="R2554">
        <v>0.38</v>
      </c>
      <c r="S2554" s="1">
        <v>41107</v>
      </c>
      <c r="T2554" t="str">
        <f t="shared" si="79"/>
        <v>17-Jul-2012</v>
      </c>
    </row>
    <row r="2555" spans="1:20" x14ac:dyDescent="0.3">
      <c r="A2555">
        <v>51879</v>
      </c>
      <c r="B2555" s="1">
        <v>40414</v>
      </c>
      <c r="C2555" t="s">
        <v>31</v>
      </c>
      <c r="D2555" t="str">
        <f t="shared" si="78"/>
        <v>24-Aug-2010</v>
      </c>
      <c r="E2555">
        <v>26</v>
      </c>
      <c r="F2555" s="13">
        <v>1382.31</v>
      </c>
      <c r="G2555">
        <v>0.03</v>
      </c>
      <c r="H2555" t="s">
        <v>19</v>
      </c>
      <c r="I2555" s="13">
        <v>372.26</v>
      </c>
      <c r="J2555">
        <v>51.94</v>
      </c>
      <c r="K2555">
        <v>19.989999999999998</v>
      </c>
      <c r="L2555" t="s">
        <v>36</v>
      </c>
      <c r="M2555" t="s">
        <v>104</v>
      </c>
      <c r="N2555" s="5" t="s">
        <v>105</v>
      </c>
      <c r="O2555" t="s">
        <v>28</v>
      </c>
      <c r="P2555" t="s">
        <v>32</v>
      </c>
      <c r="Q2555" t="s">
        <v>33</v>
      </c>
      <c r="R2555">
        <v>0.44</v>
      </c>
      <c r="S2555" s="1">
        <v>40416</v>
      </c>
      <c r="T2555" t="str">
        <f t="shared" si="79"/>
        <v>26-Aug-2010</v>
      </c>
    </row>
    <row r="2556" spans="1:20" x14ac:dyDescent="0.3">
      <c r="A2556">
        <v>39649</v>
      </c>
      <c r="B2556" s="1">
        <v>40105</v>
      </c>
      <c r="C2556" t="s">
        <v>23</v>
      </c>
      <c r="D2556" t="str">
        <f t="shared" si="78"/>
        <v>19-Oct-2009</v>
      </c>
      <c r="E2556">
        <v>10</v>
      </c>
      <c r="F2556" s="13">
        <v>1351.653</v>
      </c>
      <c r="G2556">
        <v>0.01</v>
      </c>
      <c r="H2556" t="s">
        <v>35</v>
      </c>
      <c r="I2556" s="13">
        <v>-202.85</v>
      </c>
      <c r="J2556">
        <v>155.99</v>
      </c>
      <c r="K2556">
        <v>8.99</v>
      </c>
      <c r="L2556" t="s">
        <v>238</v>
      </c>
      <c r="M2556" t="s">
        <v>104</v>
      </c>
      <c r="N2556" s="5" t="s">
        <v>105</v>
      </c>
      <c r="O2556" t="s">
        <v>28</v>
      </c>
      <c r="P2556" t="s">
        <v>29</v>
      </c>
      <c r="Q2556" t="s">
        <v>30</v>
      </c>
      <c r="R2556">
        <v>0.57999999999999996</v>
      </c>
      <c r="S2556" s="1">
        <v>40106</v>
      </c>
      <c r="T2556" t="str">
        <f t="shared" si="79"/>
        <v>20-Oct-2009</v>
      </c>
    </row>
    <row r="2557" spans="1:20" x14ac:dyDescent="0.3">
      <c r="A2557">
        <v>11553</v>
      </c>
      <c r="B2557" s="1">
        <v>39921</v>
      </c>
      <c r="C2557" t="s">
        <v>38</v>
      </c>
      <c r="D2557" t="str">
        <f t="shared" si="78"/>
        <v>18-Apr-2009</v>
      </c>
      <c r="E2557">
        <v>28</v>
      </c>
      <c r="F2557" s="13">
        <v>1350.34</v>
      </c>
      <c r="G2557">
        <v>0.1</v>
      </c>
      <c r="H2557" t="s">
        <v>35</v>
      </c>
      <c r="I2557" s="13">
        <v>-517.16999999999996</v>
      </c>
      <c r="J2557">
        <v>52.99</v>
      </c>
      <c r="K2557">
        <v>19.989999999999998</v>
      </c>
      <c r="L2557" t="s">
        <v>107</v>
      </c>
      <c r="M2557" t="s">
        <v>104</v>
      </c>
      <c r="N2557" s="5" t="s">
        <v>105</v>
      </c>
      <c r="O2557" t="s">
        <v>28</v>
      </c>
      <c r="P2557" t="s">
        <v>21</v>
      </c>
      <c r="Q2557" t="s">
        <v>22</v>
      </c>
      <c r="R2557">
        <v>0.81</v>
      </c>
      <c r="S2557" s="1">
        <v>39922</v>
      </c>
      <c r="T2557" t="str">
        <f t="shared" si="79"/>
        <v>19-Apr-2009</v>
      </c>
    </row>
    <row r="2558" spans="1:20" x14ac:dyDescent="0.3">
      <c r="A2558">
        <v>8992</v>
      </c>
      <c r="B2558" s="1">
        <v>40494</v>
      </c>
      <c r="C2558" t="s">
        <v>23</v>
      </c>
      <c r="D2558" t="str">
        <f t="shared" si="78"/>
        <v>12-Nov-2010</v>
      </c>
      <c r="E2558">
        <v>18</v>
      </c>
      <c r="F2558" s="13">
        <v>1341.963</v>
      </c>
      <c r="G2558">
        <v>0</v>
      </c>
      <c r="H2558" t="s">
        <v>19</v>
      </c>
      <c r="I2558" s="13">
        <v>180.78</v>
      </c>
      <c r="J2558">
        <v>85.99</v>
      </c>
      <c r="K2558">
        <v>2.79</v>
      </c>
      <c r="L2558" t="s">
        <v>122</v>
      </c>
      <c r="M2558" t="s">
        <v>104</v>
      </c>
      <c r="N2558" s="5" t="s">
        <v>105</v>
      </c>
      <c r="O2558" t="s">
        <v>28</v>
      </c>
      <c r="P2558" t="s">
        <v>29</v>
      </c>
      <c r="Q2558" t="s">
        <v>30</v>
      </c>
      <c r="R2558">
        <v>0.57999999999999996</v>
      </c>
      <c r="S2558" s="1">
        <v>40495</v>
      </c>
      <c r="T2558" t="str">
        <f t="shared" si="79"/>
        <v>13-Nov-2010</v>
      </c>
    </row>
    <row r="2559" spans="1:20" x14ac:dyDescent="0.3">
      <c r="A2559">
        <v>44450</v>
      </c>
      <c r="B2559" s="1">
        <v>40460</v>
      </c>
      <c r="C2559" t="s">
        <v>43</v>
      </c>
      <c r="D2559" t="str">
        <f t="shared" si="78"/>
        <v>09-Oct-2010</v>
      </c>
      <c r="E2559">
        <v>24</v>
      </c>
      <c r="F2559" s="13">
        <v>1326.51</v>
      </c>
      <c r="G2559">
        <v>0.03</v>
      </c>
      <c r="H2559" t="s">
        <v>19</v>
      </c>
      <c r="I2559" s="13">
        <v>58.17</v>
      </c>
      <c r="J2559">
        <v>65.989999999999995</v>
      </c>
      <c r="K2559">
        <v>8.99</v>
      </c>
      <c r="L2559" t="s">
        <v>142</v>
      </c>
      <c r="M2559" t="s">
        <v>104</v>
      </c>
      <c r="N2559" s="5" t="s">
        <v>105</v>
      </c>
      <c r="O2559" t="s">
        <v>28</v>
      </c>
      <c r="P2559" t="s">
        <v>29</v>
      </c>
      <c r="Q2559" t="s">
        <v>30</v>
      </c>
      <c r="R2559">
        <v>0.6</v>
      </c>
      <c r="S2559" s="1">
        <v>40460</v>
      </c>
      <c r="T2559" t="str">
        <f t="shared" si="79"/>
        <v>09-Oct-2010</v>
      </c>
    </row>
    <row r="2560" spans="1:20" x14ac:dyDescent="0.3">
      <c r="A2560">
        <v>1445</v>
      </c>
      <c r="B2560" s="1">
        <v>40552</v>
      </c>
      <c r="C2560" t="s">
        <v>38</v>
      </c>
      <c r="D2560" t="str">
        <f t="shared" si="78"/>
        <v>09-Jan-2011</v>
      </c>
      <c r="E2560">
        <v>3</v>
      </c>
      <c r="F2560" s="13">
        <v>1326.09</v>
      </c>
      <c r="G2560">
        <v>0</v>
      </c>
      <c r="H2560" t="s">
        <v>19</v>
      </c>
      <c r="I2560" s="13">
        <v>-20.55</v>
      </c>
      <c r="J2560">
        <v>420.98</v>
      </c>
      <c r="K2560">
        <v>19.989999999999998</v>
      </c>
      <c r="L2560" t="s">
        <v>122</v>
      </c>
      <c r="M2560" t="s">
        <v>104</v>
      </c>
      <c r="N2560" s="5" t="s">
        <v>105</v>
      </c>
      <c r="O2560" t="s">
        <v>28</v>
      </c>
      <c r="P2560" t="s">
        <v>21</v>
      </c>
      <c r="Q2560" t="s">
        <v>26</v>
      </c>
      <c r="R2560">
        <v>0.35</v>
      </c>
      <c r="S2560" s="1">
        <v>40555</v>
      </c>
      <c r="T2560" t="str">
        <f t="shared" si="79"/>
        <v>12-Jan-2011</v>
      </c>
    </row>
    <row r="2561" spans="1:20" x14ac:dyDescent="0.3">
      <c r="A2561">
        <v>10692</v>
      </c>
      <c r="B2561" s="1">
        <v>40020</v>
      </c>
      <c r="C2561" t="s">
        <v>18</v>
      </c>
      <c r="D2561" t="str">
        <f t="shared" si="78"/>
        <v>26-Jul-2009</v>
      </c>
      <c r="E2561">
        <v>8</v>
      </c>
      <c r="F2561" s="13">
        <v>1313.8109999999999</v>
      </c>
      <c r="G2561">
        <v>7.0000000000000007E-2</v>
      </c>
      <c r="H2561" t="s">
        <v>19</v>
      </c>
      <c r="I2561" s="13">
        <v>-457.16</v>
      </c>
      <c r="J2561">
        <v>195.99</v>
      </c>
      <c r="K2561">
        <v>8.99</v>
      </c>
      <c r="L2561" t="s">
        <v>108</v>
      </c>
      <c r="M2561" t="s">
        <v>104</v>
      </c>
      <c r="N2561" s="5" t="s">
        <v>105</v>
      </c>
      <c r="O2561" t="s">
        <v>28</v>
      </c>
      <c r="P2561" t="s">
        <v>29</v>
      </c>
      <c r="Q2561" t="s">
        <v>30</v>
      </c>
      <c r="R2561">
        <v>0.57999999999999996</v>
      </c>
      <c r="S2561" s="1">
        <v>40020</v>
      </c>
      <c r="T2561" t="str">
        <f t="shared" si="79"/>
        <v>26-Jul-2009</v>
      </c>
    </row>
    <row r="2562" spans="1:20" x14ac:dyDescent="0.3">
      <c r="A2562">
        <v>42343</v>
      </c>
      <c r="B2562" s="1">
        <v>40039</v>
      </c>
      <c r="C2562" t="s">
        <v>43</v>
      </c>
      <c r="D2562" t="str">
        <f t="shared" ref="D2562:D2625" si="80">TEXT(B2562, "dd-mmm-yyyy" )</f>
        <v>14-Aug-2009</v>
      </c>
      <c r="E2562">
        <v>31</v>
      </c>
      <c r="F2562" s="13">
        <v>1311.68</v>
      </c>
      <c r="G2562">
        <v>0.03</v>
      </c>
      <c r="H2562" t="s">
        <v>19</v>
      </c>
      <c r="I2562" s="13">
        <v>230.37</v>
      </c>
      <c r="J2562">
        <v>40.99</v>
      </c>
      <c r="K2562">
        <v>17.48</v>
      </c>
      <c r="L2562" t="s">
        <v>243</v>
      </c>
      <c r="M2562" t="s">
        <v>104</v>
      </c>
      <c r="N2562" s="5" t="s">
        <v>105</v>
      </c>
      <c r="O2562" t="s">
        <v>28</v>
      </c>
      <c r="P2562" t="s">
        <v>21</v>
      </c>
      <c r="Q2562" t="s">
        <v>37</v>
      </c>
      <c r="R2562">
        <v>0.36</v>
      </c>
      <c r="S2562" s="1">
        <v>40040</v>
      </c>
      <c r="T2562" t="str">
        <f t="shared" ref="T2562:T2625" si="81">TEXT(S2562, "dd-mmm-yyyy")</f>
        <v>15-Aug-2009</v>
      </c>
    </row>
    <row r="2563" spans="1:20" x14ac:dyDescent="0.3">
      <c r="A2563">
        <v>35364</v>
      </c>
      <c r="B2563" s="1">
        <v>40159</v>
      </c>
      <c r="C2563" t="s">
        <v>43</v>
      </c>
      <c r="D2563" t="str">
        <f t="shared" si="80"/>
        <v>12-Dec-2009</v>
      </c>
      <c r="E2563">
        <v>8</v>
      </c>
      <c r="F2563" s="13">
        <v>1265.2929999999999</v>
      </c>
      <c r="G2563">
        <v>0.06</v>
      </c>
      <c r="H2563" t="s">
        <v>19</v>
      </c>
      <c r="I2563" s="13">
        <v>-554.44000000000005</v>
      </c>
      <c r="J2563">
        <v>195.99</v>
      </c>
      <c r="K2563">
        <v>8.99</v>
      </c>
      <c r="L2563" t="s">
        <v>119</v>
      </c>
      <c r="M2563" t="s">
        <v>104</v>
      </c>
      <c r="N2563" s="5" t="s">
        <v>105</v>
      </c>
      <c r="O2563" t="s">
        <v>28</v>
      </c>
      <c r="P2563" t="s">
        <v>29</v>
      </c>
      <c r="Q2563" t="s">
        <v>30</v>
      </c>
      <c r="R2563">
        <v>0.6</v>
      </c>
      <c r="S2563" s="1">
        <v>40161</v>
      </c>
      <c r="T2563" t="str">
        <f t="shared" si="81"/>
        <v>14-Dec-2009</v>
      </c>
    </row>
    <row r="2564" spans="1:20" x14ac:dyDescent="0.3">
      <c r="A2564">
        <v>24132</v>
      </c>
      <c r="B2564" s="1">
        <v>40000</v>
      </c>
      <c r="C2564" t="s">
        <v>18</v>
      </c>
      <c r="D2564" t="str">
        <f t="shared" si="80"/>
        <v>06-Jul-2009</v>
      </c>
      <c r="E2564">
        <v>31</v>
      </c>
      <c r="F2564" s="13">
        <v>1252.8900000000001</v>
      </c>
      <c r="G2564">
        <v>0.05</v>
      </c>
      <c r="H2564" t="s">
        <v>19</v>
      </c>
      <c r="I2564" s="13">
        <v>339.75</v>
      </c>
      <c r="J2564">
        <v>39.06</v>
      </c>
      <c r="K2564">
        <v>10.55</v>
      </c>
      <c r="L2564" t="s">
        <v>107</v>
      </c>
      <c r="M2564" t="s">
        <v>104</v>
      </c>
      <c r="N2564" s="5" t="s">
        <v>105</v>
      </c>
      <c r="O2564" t="s">
        <v>28</v>
      </c>
      <c r="P2564" t="s">
        <v>21</v>
      </c>
      <c r="Q2564" t="s">
        <v>26</v>
      </c>
      <c r="R2564">
        <v>0.37</v>
      </c>
      <c r="S2564" s="1">
        <v>40007</v>
      </c>
      <c r="T2564" t="str">
        <f t="shared" si="81"/>
        <v>13-Jul-2009</v>
      </c>
    </row>
    <row r="2565" spans="1:20" x14ac:dyDescent="0.3">
      <c r="A2565">
        <v>32418</v>
      </c>
      <c r="B2565" s="1">
        <v>39818</v>
      </c>
      <c r="C2565" t="s">
        <v>31</v>
      </c>
      <c r="D2565" t="str">
        <f t="shared" si="80"/>
        <v>05-Jan-2009</v>
      </c>
      <c r="E2565">
        <v>5</v>
      </c>
      <c r="F2565" s="13">
        <v>1244.19</v>
      </c>
      <c r="G2565">
        <v>0.08</v>
      </c>
      <c r="H2565" t="s">
        <v>24</v>
      </c>
      <c r="I2565" s="13">
        <v>-131.31</v>
      </c>
      <c r="J2565">
        <v>243.98</v>
      </c>
      <c r="K2565">
        <v>43.32</v>
      </c>
      <c r="L2565" t="s">
        <v>110</v>
      </c>
      <c r="M2565" t="s">
        <v>104</v>
      </c>
      <c r="N2565" s="5" t="s">
        <v>105</v>
      </c>
      <c r="O2565" t="s">
        <v>28</v>
      </c>
      <c r="P2565" t="s">
        <v>32</v>
      </c>
      <c r="Q2565" t="s">
        <v>56</v>
      </c>
      <c r="R2565">
        <v>0.55000000000000004</v>
      </c>
      <c r="S2565" s="1">
        <v>39819</v>
      </c>
      <c r="T2565" t="str">
        <f t="shared" si="81"/>
        <v>06-Jan-2009</v>
      </c>
    </row>
    <row r="2566" spans="1:20" x14ac:dyDescent="0.3">
      <c r="A2566">
        <v>37537</v>
      </c>
      <c r="B2566" s="1">
        <v>39815</v>
      </c>
      <c r="C2566" t="s">
        <v>18</v>
      </c>
      <c r="D2566" t="str">
        <f t="shared" si="80"/>
        <v>02-Jan-2009</v>
      </c>
      <c r="E2566">
        <v>4</v>
      </c>
      <c r="F2566" s="13">
        <v>1239.06</v>
      </c>
      <c r="G2566">
        <v>0</v>
      </c>
      <c r="H2566" t="s">
        <v>24</v>
      </c>
      <c r="I2566" s="13">
        <v>-193.08</v>
      </c>
      <c r="J2566">
        <v>291.73</v>
      </c>
      <c r="K2566">
        <v>48.8</v>
      </c>
      <c r="L2566" t="s">
        <v>309</v>
      </c>
      <c r="M2566" t="s">
        <v>104</v>
      </c>
      <c r="N2566" s="5" t="s">
        <v>105</v>
      </c>
      <c r="O2566" t="s">
        <v>28</v>
      </c>
      <c r="P2566" t="s">
        <v>32</v>
      </c>
      <c r="Q2566" t="s">
        <v>56</v>
      </c>
      <c r="R2566">
        <v>0.56000000000000005</v>
      </c>
      <c r="S2566" s="1">
        <v>39815</v>
      </c>
      <c r="T2566" t="str">
        <f t="shared" si="81"/>
        <v>02-Jan-2009</v>
      </c>
    </row>
    <row r="2567" spans="1:20" x14ac:dyDescent="0.3">
      <c r="A2567">
        <v>11332</v>
      </c>
      <c r="B2567" s="1">
        <v>40133</v>
      </c>
      <c r="C2567" t="s">
        <v>18</v>
      </c>
      <c r="D2567" t="str">
        <f t="shared" si="80"/>
        <v>16-Nov-2009</v>
      </c>
      <c r="E2567">
        <v>23</v>
      </c>
      <c r="F2567" s="13">
        <v>1223.3795</v>
      </c>
      <c r="G2567">
        <v>0.08</v>
      </c>
      <c r="H2567" t="s">
        <v>35</v>
      </c>
      <c r="I2567" s="13">
        <v>83.57</v>
      </c>
      <c r="J2567">
        <v>65.989999999999995</v>
      </c>
      <c r="K2567">
        <v>5.92</v>
      </c>
      <c r="L2567" t="s">
        <v>123</v>
      </c>
      <c r="M2567" t="s">
        <v>104</v>
      </c>
      <c r="N2567" s="5" t="s">
        <v>105</v>
      </c>
      <c r="O2567" t="s">
        <v>28</v>
      </c>
      <c r="P2567" t="s">
        <v>29</v>
      </c>
      <c r="Q2567" t="s">
        <v>30</v>
      </c>
      <c r="R2567">
        <v>0.57999999999999996</v>
      </c>
      <c r="S2567" s="1">
        <v>40140</v>
      </c>
      <c r="T2567" t="str">
        <f t="shared" si="81"/>
        <v>23-Nov-2009</v>
      </c>
    </row>
    <row r="2568" spans="1:20" x14ac:dyDescent="0.3">
      <c r="A2568">
        <v>20646</v>
      </c>
      <c r="B2568" s="1">
        <v>40632</v>
      </c>
      <c r="C2568" t="s">
        <v>38</v>
      </c>
      <c r="D2568" t="str">
        <f t="shared" si="80"/>
        <v>30-Mar-2011</v>
      </c>
      <c r="E2568">
        <v>41</v>
      </c>
      <c r="F2568" s="13">
        <v>1204.0844999999999</v>
      </c>
      <c r="G2568">
        <v>0.04</v>
      </c>
      <c r="H2568" t="s">
        <v>19</v>
      </c>
      <c r="I2568" s="13">
        <v>341.96</v>
      </c>
      <c r="J2568">
        <v>35.99</v>
      </c>
      <c r="K2568">
        <v>1.1000000000000001</v>
      </c>
      <c r="L2568" t="s">
        <v>393</v>
      </c>
      <c r="M2568" t="s">
        <v>104</v>
      </c>
      <c r="N2568" s="5" t="s">
        <v>105</v>
      </c>
      <c r="O2568" t="s">
        <v>28</v>
      </c>
      <c r="P2568" t="s">
        <v>29</v>
      </c>
      <c r="Q2568" t="s">
        <v>30</v>
      </c>
      <c r="R2568">
        <v>0.55000000000000004</v>
      </c>
      <c r="S2568" s="1">
        <v>40634</v>
      </c>
      <c r="T2568" t="str">
        <f t="shared" si="81"/>
        <v>01-Apr-2011</v>
      </c>
    </row>
    <row r="2569" spans="1:20" x14ac:dyDescent="0.3">
      <c r="A2569">
        <v>36480</v>
      </c>
      <c r="B2569" s="1">
        <v>40412</v>
      </c>
      <c r="C2569" t="s">
        <v>38</v>
      </c>
      <c r="D2569" t="str">
        <f t="shared" si="80"/>
        <v>22-Aug-2010</v>
      </c>
      <c r="E2569">
        <v>44</v>
      </c>
      <c r="F2569" s="13">
        <v>1190.8</v>
      </c>
      <c r="G2569">
        <v>7.0000000000000007E-2</v>
      </c>
      <c r="H2569" t="s">
        <v>19</v>
      </c>
      <c r="I2569" s="13">
        <v>502.49</v>
      </c>
      <c r="J2569">
        <v>28.53</v>
      </c>
      <c r="K2569">
        <v>1.49</v>
      </c>
      <c r="L2569" t="s">
        <v>121</v>
      </c>
      <c r="M2569" t="s">
        <v>104</v>
      </c>
      <c r="N2569" s="5" t="s">
        <v>105</v>
      </c>
      <c r="O2569" t="s">
        <v>28</v>
      </c>
      <c r="P2569" t="s">
        <v>21</v>
      </c>
      <c r="Q2569" t="s">
        <v>26</v>
      </c>
      <c r="R2569">
        <v>0.38</v>
      </c>
      <c r="S2569" s="1">
        <v>40413</v>
      </c>
      <c r="T2569" t="str">
        <f t="shared" si="81"/>
        <v>23-Aug-2010</v>
      </c>
    </row>
    <row r="2570" spans="1:20" x14ac:dyDescent="0.3">
      <c r="A2570">
        <v>34816</v>
      </c>
      <c r="B2570" s="1">
        <v>40487</v>
      </c>
      <c r="C2570" t="s">
        <v>31</v>
      </c>
      <c r="D2570" t="str">
        <f t="shared" si="80"/>
        <v>05-Nov-2010</v>
      </c>
      <c r="E2570">
        <v>29</v>
      </c>
      <c r="F2570" s="13">
        <v>1158.45</v>
      </c>
      <c r="G2570">
        <v>0.1</v>
      </c>
      <c r="H2570" t="s">
        <v>19</v>
      </c>
      <c r="I2570" s="13">
        <v>267.16000000000003</v>
      </c>
      <c r="J2570">
        <v>41.71</v>
      </c>
      <c r="K2570">
        <v>4.5</v>
      </c>
      <c r="L2570" t="s">
        <v>109</v>
      </c>
      <c r="M2570" t="s">
        <v>104</v>
      </c>
      <c r="N2570" s="5" t="s">
        <v>105</v>
      </c>
      <c r="O2570" t="s">
        <v>28</v>
      </c>
      <c r="P2570" t="s">
        <v>21</v>
      </c>
      <c r="Q2570" t="s">
        <v>25</v>
      </c>
      <c r="R2570">
        <v>0.56000000000000005</v>
      </c>
      <c r="S2570" s="1">
        <v>40487</v>
      </c>
      <c r="T2570" t="str">
        <f t="shared" si="81"/>
        <v>05-Nov-2010</v>
      </c>
    </row>
    <row r="2571" spans="1:20" x14ac:dyDescent="0.3">
      <c r="A2571">
        <v>42919</v>
      </c>
      <c r="B2571" s="1">
        <v>40822</v>
      </c>
      <c r="C2571" t="s">
        <v>38</v>
      </c>
      <c r="D2571" t="str">
        <f t="shared" si="80"/>
        <v>06-Oct-2011</v>
      </c>
      <c r="E2571">
        <v>7</v>
      </c>
      <c r="F2571" s="13">
        <v>1143.4285</v>
      </c>
      <c r="G2571">
        <v>0.04</v>
      </c>
      <c r="H2571" t="s">
        <v>35</v>
      </c>
      <c r="I2571" s="13">
        <v>-475.66</v>
      </c>
      <c r="J2571">
        <v>195.99</v>
      </c>
      <c r="K2571">
        <v>4.2</v>
      </c>
      <c r="L2571" t="s">
        <v>384</v>
      </c>
      <c r="M2571" t="s">
        <v>104</v>
      </c>
      <c r="N2571" s="5" t="s">
        <v>105</v>
      </c>
      <c r="O2571" t="s">
        <v>28</v>
      </c>
      <c r="P2571" t="s">
        <v>29</v>
      </c>
      <c r="Q2571" t="s">
        <v>30</v>
      </c>
      <c r="R2571">
        <v>0.56000000000000005</v>
      </c>
      <c r="S2571" s="1">
        <v>40823</v>
      </c>
      <c r="T2571" t="str">
        <f t="shared" si="81"/>
        <v>07-Oct-2011</v>
      </c>
    </row>
    <row r="2572" spans="1:20" x14ac:dyDescent="0.3">
      <c r="A2572">
        <v>47750</v>
      </c>
      <c r="B2572" s="1">
        <v>40344</v>
      </c>
      <c r="C2572" t="s">
        <v>18</v>
      </c>
      <c r="D2572" t="str">
        <f t="shared" si="80"/>
        <v>15-Jun-2010</v>
      </c>
      <c r="E2572">
        <v>43</v>
      </c>
      <c r="F2572" s="13">
        <v>1097.5999999999999</v>
      </c>
      <c r="G2572">
        <v>0.05</v>
      </c>
      <c r="H2572" t="s">
        <v>19</v>
      </c>
      <c r="I2572" s="13">
        <v>216.12</v>
      </c>
      <c r="J2572">
        <v>25.38</v>
      </c>
      <c r="K2572">
        <v>8.99</v>
      </c>
      <c r="L2572" t="s">
        <v>109</v>
      </c>
      <c r="M2572" t="s">
        <v>104</v>
      </c>
      <c r="N2572" s="5" t="s">
        <v>105</v>
      </c>
      <c r="O2572" t="s">
        <v>28</v>
      </c>
      <c r="P2572" t="s">
        <v>32</v>
      </c>
      <c r="Q2572" t="s">
        <v>33</v>
      </c>
      <c r="R2572">
        <v>0.5</v>
      </c>
      <c r="S2572" s="1">
        <v>40349</v>
      </c>
      <c r="T2572" t="str">
        <f t="shared" si="81"/>
        <v>20-Jun-2010</v>
      </c>
    </row>
    <row r="2573" spans="1:20" x14ac:dyDescent="0.3">
      <c r="A2573">
        <v>49761</v>
      </c>
      <c r="B2573" s="1">
        <v>40567</v>
      </c>
      <c r="C2573" t="s">
        <v>31</v>
      </c>
      <c r="D2573" t="str">
        <f t="shared" si="80"/>
        <v>24-Jan-2011</v>
      </c>
      <c r="E2573">
        <v>45</v>
      </c>
      <c r="F2573" s="13">
        <v>1090.5999999999999</v>
      </c>
      <c r="G2573">
        <v>7.0000000000000007E-2</v>
      </c>
      <c r="H2573" t="s">
        <v>19</v>
      </c>
      <c r="I2573" s="13">
        <v>300.91000000000003</v>
      </c>
      <c r="J2573">
        <v>23.99</v>
      </c>
      <c r="K2573">
        <v>6.3</v>
      </c>
      <c r="L2573" t="s">
        <v>119</v>
      </c>
      <c r="M2573" t="s">
        <v>104</v>
      </c>
      <c r="N2573" s="5" t="s">
        <v>105</v>
      </c>
      <c r="O2573" t="s">
        <v>28</v>
      </c>
      <c r="P2573" t="s">
        <v>29</v>
      </c>
      <c r="Q2573" t="s">
        <v>74</v>
      </c>
      <c r="R2573">
        <v>0.38</v>
      </c>
      <c r="S2573" s="1">
        <v>40568</v>
      </c>
      <c r="T2573" t="str">
        <f t="shared" si="81"/>
        <v>25-Jan-2011</v>
      </c>
    </row>
    <row r="2574" spans="1:20" x14ac:dyDescent="0.3">
      <c r="A2574">
        <v>24580</v>
      </c>
      <c r="B2574" s="1">
        <v>41083</v>
      </c>
      <c r="C2574" t="s">
        <v>23</v>
      </c>
      <c r="D2574" t="str">
        <f t="shared" si="80"/>
        <v>23-Jun-2012</v>
      </c>
      <c r="E2574">
        <v>25</v>
      </c>
      <c r="F2574" s="13">
        <v>1081.22</v>
      </c>
      <c r="G2574">
        <v>0.08</v>
      </c>
      <c r="H2574" t="s">
        <v>19</v>
      </c>
      <c r="I2574" s="13">
        <v>130.80000000000001</v>
      </c>
      <c r="J2574">
        <v>43.98</v>
      </c>
      <c r="K2574">
        <v>8.99</v>
      </c>
      <c r="L2574" t="s">
        <v>129</v>
      </c>
      <c r="M2574" t="s">
        <v>104</v>
      </c>
      <c r="N2574" s="5" t="s">
        <v>105</v>
      </c>
      <c r="O2574" t="s">
        <v>28</v>
      </c>
      <c r="P2574" t="s">
        <v>21</v>
      </c>
      <c r="Q2574" t="s">
        <v>50</v>
      </c>
      <c r="R2574">
        <v>0.57999999999999996</v>
      </c>
      <c r="S2574" s="1">
        <v>41084</v>
      </c>
      <c r="T2574" t="str">
        <f t="shared" si="81"/>
        <v>24-Jun-2012</v>
      </c>
    </row>
    <row r="2575" spans="1:20" x14ac:dyDescent="0.3">
      <c r="A2575">
        <v>38594</v>
      </c>
      <c r="B2575" s="1">
        <v>40148</v>
      </c>
      <c r="C2575" t="s">
        <v>38</v>
      </c>
      <c r="D2575" t="str">
        <f t="shared" si="80"/>
        <v>01-Dec-2009</v>
      </c>
      <c r="E2575">
        <v>26</v>
      </c>
      <c r="F2575" s="13">
        <v>1011.9</v>
      </c>
      <c r="G2575">
        <v>7.0000000000000007E-2</v>
      </c>
      <c r="H2575" t="s">
        <v>19</v>
      </c>
      <c r="I2575" s="13">
        <v>247.94</v>
      </c>
      <c r="J2575">
        <v>39.479999999999997</v>
      </c>
      <c r="K2575">
        <v>1.99</v>
      </c>
      <c r="L2575" t="s">
        <v>379</v>
      </c>
      <c r="M2575" t="s">
        <v>104</v>
      </c>
      <c r="N2575" s="5" t="s">
        <v>105</v>
      </c>
      <c r="O2575" t="s">
        <v>28</v>
      </c>
      <c r="P2575" t="s">
        <v>29</v>
      </c>
      <c r="Q2575" t="s">
        <v>41</v>
      </c>
      <c r="R2575">
        <v>0.54</v>
      </c>
      <c r="S2575" s="1">
        <v>40149</v>
      </c>
      <c r="T2575" t="str">
        <f t="shared" si="81"/>
        <v>02-Dec-2009</v>
      </c>
    </row>
    <row r="2576" spans="1:20" x14ac:dyDescent="0.3">
      <c r="A2576">
        <v>55651</v>
      </c>
      <c r="B2576" s="1">
        <v>40975</v>
      </c>
      <c r="C2576" t="s">
        <v>38</v>
      </c>
      <c r="D2576" t="str">
        <f t="shared" si="80"/>
        <v>07-Mar-2012</v>
      </c>
      <c r="E2576">
        <v>11</v>
      </c>
      <c r="F2576" s="13">
        <v>995.72400000000005</v>
      </c>
      <c r="G2576">
        <v>0.05</v>
      </c>
      <c r="H2576" t="s">
        <v>19</v>
      </c>
      <c r="I2576" s="13">
        <v>-117.61</v>
      </c>
      <c r="J2576">
        <v>110.99</v>
      </c>
      <c r="K2576">
        <v>2.5</v>
      </c>
      <c r="L2576" t="s">
        <v>155</v>
      </c>
      <c r="M2576" t="s">
        <v>104</v>
      </c>
      <c r="N2576" s="5" t="s">
        <v>105</v>
      </c>
      <c r="O2576" t="s">
        <v>28</v>
      </c>
      <c r="P2576" t="s">
        <v>29</v>
      </c>
      <c r="Q2576" t="s">
        <v>30</v>
      </c>
      <c r="R2576">
        <v>0.56999999999999995</v>
      </c>
      <c r="S2576" s="1">
        <v>40976</v>
      </c>
      <c r="T2576" t="str">
        <f t="shared" si="81"/>
        <v>08-Mar-2012</v>
      </c>
    </row>
    <row r="2577" spans="1:20" x14ac:dyDescent="0.3">
      <c r="A2577">
        <v>55203</v>
      </c>
      <c r="B2577" s="1">
        <v>40279</v>
      </c>
      <c r="C2577" t="s">
        <v>18</v>
      </c>
      <c r="D2577" t="str">
        <f t="shared" si="80"/>
        <v>11-Apr-2010</v>
      </c>
      <c r="E2577">
        <v>18</v>
      </c>
      <c r="F2577" s="13">
        <v>994.47450000000003</v>
      </c>
      <c r="G2577">
        <v>0.05</v>
      </c>
      <c r="H2577" t="s">
        <v>19</v>
      </c>
      <c r="I2577" s="13">
        <v>0.71</v>
      </c>
      <c r="J2577">
        <v>65.989999999999995</v>
      </c>
      <c r="K2577">
        <v>7.69</v>
      </c>
      <c r="L2577" t="s">
        <v>220</v>
      </c>
      <c r="M2577" t="s">
        <v>104</v>
      </c>
      <c r="N2577" s="5" t="s">
        <v>105</v>
      </c>
      <c r="O2577" t="s">
        <v>28</v>
      </c>
      <c r="P2577" t="s">
        <v>29</v>
      </c>
      <c r="Q2577" t="s">
        <v>30</v>
      </c>
      <c r="R2577">
        <v>0.59</v>
      </c>
      <c r="S2577" s="1">
        <v>40279</v>
      </c>
      <c r="T2577" t="str">
        <f t="shared" si="81"/>
        <v>11-Apr-2010</v>
      </c>
    </row>
    <row r="2578" spans="1:20" x14ac:dyDescent="0.3">
      <c r="A2578">
        <v>51879</v>
      </c>
      <c r="B2578" s="1">
        <v>40414</v>
      </c>
      <c r="C2578" t="s">
        <v>31</v>
      </c>
      <c r="D2578" t="str">
        <f t="shared" si="80"/>
        <v>24-Aug-2010</v>
      </c>
      <c r="E2578">
        <v>46</v>
      </c>
      <c r="F2578" s="13">
        <v>991.36</v>
      </c>
      <c r="G2578">
        <v>0.01</v>
      </c>
      <c r="H2578" t="s">
        <v>19</v>
      </c>
      <c r="I2578" s="13">
        <v>212.06</v>
      </c>
      <c r="J2578">
        <v>19.98</v>
      </c>
      <c r="K2578">
        <v>8.68</v>
      </c>
      <c r="L2578" t="s">
        <v>36</v>
      </c>
      <c r="M2578" t="s">
        <v>104</v>
      </c>
      <c r="N2578" s="5" t="s">
        <v>105</v>
      </c>
      <c r="O2578" t="s">
        <v>28</v>
      </c>
      <c r="P2578" t="s">
        <v>21</v>
      </c>
      <c r="Q2578" t="s">
        <v>37</v>
      </c>
      <c r="R2578">
        <v>0.37</v>
      </c>
      <c r="S2578" s="1">
        <v>40415</v>
      </c>
      <c r="T2578" t="str">
        <f t="shared" si="81"/>
        <v>25-Aug-2010</v>
      </c>
    </row>
    <row r="2579" spans="1:20" x14ac:dyDescent="0.3">
      <c r="A2579">
        <v>32611</v>
      </c>
      <c r="B2579" s="1">
        <v>40052</v>
      </c>
      <c r="C2579" t="s">
        <v>38</v>
      </c>
      <c r="D2579" t="str">
        <f t="shared" si="80"/>
        <v>27-Aug-2009</v>
      </c>
      <c r="E2579">
        <v>18</v>
      </c>
      <c r="F2579" s="13">
        <v>986.24</v>
      </c>
      <c r="G2579">
        <v>0.02</v>
      </c>
      <c r="H2579" t="s">
        <v>35</v>
      </c>
      <c r="I2579" s="13">
        <v>68.900000000000006</v>
      </c>
      <c r="J2579">
        <v>53.98</v>
      </c>
      <c r="K2579">
        <v>5.5</v>
      </c>
      <c r="L2579" t="s">
        <v>131</v>
      </c>
      <c r="M2579" t="s">
        <v>104</v>
      </c>
      <c r="N2579" s="5" t="s">
        <v>105</v>
      </c>
      <c r="O2579" t="s">
        <v>28</v>
      </c>
      <c r="P2579" t="s">
        <v>29</v>
      </c>
      <c r="Q2579" t="s">
        <v>41</v>
      </c>
      <c r="R2579">
        <v>0.62</v>
      </c>
      <c r="S2579" s="1">
        <v>40053</v>
      </c>
      <c r="T2579" t="str">
        <f t="shared" si="81"/>
        <v>28-Aug-2009</v>
      </c>
    </row>
    <row r="2580" spans="1:20" x14ac:dyDescent="0.3">
      <c r="A2580">
        <v>37830</v>
      </c>
      <c r="B2580" s="1">
        <v>40041</v>
      </c>
      <c r="C2580" t="s">
        <v>31</v>
      </c>
      <c r="D2580" t="str">
        <f t="shared" si="80"/>
        <v>16-Aug-2009</v>
      </c>
      <c r="E2580">
        <v>39</v>
      </c>
      <c r="F2580" s="13">
        <v>977.92</v>
      </c>
      <c r="G2580">
        <v>0.05</v>
      </c>
      <c r="H2580" t="s">
        <v>35</v>
      </c>
      <c r="I2580" s="13">
        <v>148.88999999999999</v>
      </c>
      <c r="J2580">
        <v>25.99</v>
      </c>
      <c r="K2580">
        <v>5.37</v>
      </c>
      <c r="L2580" t="s">
        <v>380</v>
      </c>
      <c r="M2580" t="s">
        <v>104</v>
      </c>
      <c r="N2580" s="5" t="s">
        <v>105</v>
      </c>
      <c r="O2580" t="s">
        <v>28</v>
      </c>
      <c r="P2580" t="s">
        <v>21</v>
      </c>
      <c r="Q2580" t="s">
        <v>50</v>
      </c>
      <c r="R2580">
        <v>0.56000000000000005</v>
      </c>
      <c r="S2580" s="1">
        <v>40043</v>
      </c>
      <c r="T2580" t="str">
        <f t="shared" si="81"/>
        <v>18-Aug-2009</v>
      </c>
    </row>
    <row r="2581" spans="1:20" x14ac:dyDescent="0.3">
      <c r="A2581">
        <v>39745</v>
      </c>
      <c r="B2581" s="1">
        <v>40667</v>
      </c>
      <c r="C2581" t="s">
        <v>31</v>
      </c>
      <c r="D2581" t="str">
        <f t="shared" si="80"/>
        <v>04-May-2011</v>
      </c>
      <c r="E2581">
        <v>8</v>
      </c>
      <c r="F2581" s="13">
        <v>955.29</v>
      </c>
      <c r="G2581">
        <v>0.05</v>
      </c>
      <c r="H2581" t="s">
        <v>24</v>
      </c>
      <c r="I2581" s="13">
        <v>-286.2</v>
      </c>
      <c r="J2581">
        <v>115.99</v>
      </c>
      <c r="K2581">
        <v>56.14</v>
      </c>
      <c r="L2581" t="s">
        <v>124</v>
      </c>
      <c r="M2581" t="s">
        <v>104</v>
      </c>
      <c r="N2581" s="5" t="s">
        <v>105</v>
      </c>
      <c r="O2581" t="s">
        <v>28</v>
      </c>
      <c r="P2581" t="s">
        <v>29</v>
      </c>
      <c r="Q2581" t="s">
        <v>74</v>
      </c>
      <c r="R2581">
        <v>0.4</v>
      </c>
      <c r="S2581" s="1">
        <v>40668</v>
      </c>
      <c r="T2581" t="str">
        <f t="shared" si="81"/>
        <v>05-May-2011</v>
      </c>
    </row>
    <row r="2582" spans="1:20" x14ac:dyDescent="0.3">
      <c r="A2582">
        <v>54336</v>
      </c>
      <c r="B2582" s="1">
        <v>40283</v>
      </c>
      <c r="C2582" t="s">
        <v>38</v>
      </c>
      <c r="D2582" t="str">
        <f t="shared" si="80"/>
        <v>15-Apr-2010</v>
      </c>
      <c r="E2582">
        <v>50</v>
      </c>
      <c r="F2582" s="13">
        <v>952.21</v>
      </c>
      <c r="G2582">
        <v>0.05</v>
      </c>
      <c r="H2582" t="s">
        <v>19</v>
      </c>
      <c r="I2582" s="13">
        <v>403.83</v>
      </c>
      <c r="J2582">
        <v>18.84</v>
      </c>
      <c r="K2582">
        <v>3.62</v>
      </c>
      <c r="L2582" t="s">
        <v>310</v>
      </c>
      <c r="M2582" t="s">
        <v>104</v>
      </c>
      <c r="N2582" s="5" t="s">
        <v>105</v>
      </c>
      <c r="O2582" t="s">
        <v>28</v>
      </c>
      <c r="P2582" t="s">
        <v>32</v>
      </c>
      <c r="Q2582" t="s">
        <v>33</v>
      </c>
      <c r="R2582">
        <v>0.43</v>
      </c>
      <c r="S2582" s="1">
        <v>40285</v>
      </c>
      <c r="T2582" t="str">
        <f t="shared" si="81"/>
        <v>17-Apr-2010</v>
      </c>
    </row>
    <row r="2583" spans="1:20" x14ac:dyDescent="0.3">
      <c r="A2583">
        <v>22119</v>
      </c>
      <c r="B2583" s="1">
        <v>40018</v>
      </c>
      <c r="C2583" t="s">
        <v>18</v>
      </c>
      <c r="D2583" t="str">
        <f t="shared" si="80"/>
        <v>24-Jul-2009</v>
      </c>
      <c r="E2583">
        <v>20</v>
      </c>
      <c r="F2583" s="13">
        <v>939.39</v>
      </c>
      <c r="G2583">
        <v>7.0000000000000007E-2</v>
      </c>
      <c r="H2583" t="s">
        <v>19</v>
      </c>
      <c r="I2583" s="13">
        <v>-122.77</v>
      </c>
      <c r="J2583">
        <v>49.43</v>
      </c>
      <c r="K2583">
        <v>19.989999999999998</v>
      </c>
      <c r="L2583" t="s">
        <v>117</v>
      </c>
      <c r="M2583" t="s">
        <v>104</v>
      </c>
      <c r="N2583" s="5" t="s">
        <v>105</v>
      </c>
      <c r="O2583" t="s">
        <v>28</v>
      </c>
      <c r="P2583" t="s">
        <v>21</v>
      </c>
      <c r="Q2583" t="s">
        <v>25</v>
      </c>
      <c r="R2583">
        <v>0.56999999999999995</v>
      </c>
      <c r="S2583" s="1">
        <v>40023</v>
      </c>
      <c r="T2583" t="str">
        <f t="shared" si="81"/>
        <v>29-Jul-2009</v>
      </c>
    </row>
    <row r="2584" spans="1:20" x14ac:dyDescent="0.3">
      <c r="A2584">
        <v>46631</v>
      </c>
      <c r="B2584" s="1">
        <v>40979</v>
      </c>
      <c r="C2584" t="s">
        <v>31</v>
      </c>
      <c r="D2584" t="str">
        <f t="shared" si="80"/>
        <v>11-Mar-2012</v>
      </c>
      <c r="E2584">
        <v>39</v>
      </c>
      <c r="F2584" s="13">
        <v>930.84</v>
      </c>
      <c r="G2584">
        <v>0.05</v>
      </c>
      <c r="H2584" t="s">
        <v>19</v>
      </c>
      <c r="I2584" s="13">
        <v>-122.12</v>
      </c>
      <c r="J2584">
        <v>22.84</v>
      </c>
      <c r="K2584">
        <v>16.920000000000002</v>
      </c>
      <c r="L2584" t="s">
        <v>225</v>
      </c>
      <c r="M2584" t="s">
        <v>104</v>
      </c>
      <c r="N2584" s="5" t="s">
        <v>105</v>
      </c>
      <c r="O2584" t="s">
        <v>28</v>
      </c>
      <c r="P2584" t="s">
        <v>21</v>
      </c>
      <c r="Q2584" t="s">
        <v>37</v>
      </c>
      <c r="R2584">
        <v>0.39</v>
      </c>
      <c r="S2584" s="1">
        <v>40981</v>
      </c>
      <c r="T2584" t="str">
        <f t="shared" si="81"/>
        <v>13-Mar-2012</v>
      </c>
    </row>
    <row r="2585" spans="1:20" x14ac:dyDescent="0.3">
      <c r="A2585">
        <v>43043</v>
      </c>
      <c r="B2585" s="1">
        <v>41013</v>
      </c>
      <c r="C2585" t="s">
        <v>43</v>
      </c>
      <c r="D2585" t="str">
        <f t="shared" si="80"/>
        <v>14-Apr-2012</v>
      </c>
      <c r="E2585">
        <v>4</v>
      </c>
      <c r="F2585" s="13">
        <v>904.12</v>
      </c>
      <c r="G2585">
        <v>7.0000000000000007E-2</v>
      </c>
      <c r="H2585" t="s">
        <v>19</v>
      </c>
      <c r="I2585" s="13">
        <v>28.81</v>
      </c>
      <c r="J2585">
        <v>225.04</v>
      </c>
      <c r="K2585">
        <v>11.79</v>
      </c>
      <c r="L2585" t="s">
        <v>378</v>
      </c>
      <c r="M2585" t="s">
        <v>104</v>
      </c>
      <c r="N2585" s="5" t="s">
        <v>105</v>
      </c>
      <c r="O2585" t="s">
        <v>28</v>
      </c>
      <c r="P2585" t="s">
        <v>21</v>
      </c>
      <c r="Q2585" t="s">
        <v>25</v>
      </c>
      <c r="R2585">
        <v>0.42</v>
      </c>
      <c r="S2585" s="1">
        <v>41015</v>
      </c>
      <c r="T2585" t="str">
        <f t="shared" si="81"/>
        <v>16-Apr-2012</v>
      </c>
    </row>
    <row r="2586" spans="1:20" x14ac:dyDescent="0.3">
      <c r="A2586">
        <v>45409</v>
      </c>
      <c r="B2586" s="1">
        <v>40280</v>
      </c>
      <c r="C2586" t="s">
        <v>43</v>
      </c>
      <c r="D2586" t="str">
        <f t="shared" si="80"/>
        <v>12-Apr-2010</v>
      </c>
      <c r="E2586">
        <v>50</v>
      </c>
      <c r="F2586" s="13">
        <v>893.13750000000005</v>
      </c>
      <c r="G2586">
        <v>0</v>
      </c>
      <c r="H2586" t="s">
        <v>19</v>
      </c>
      <c r="I2586" s="13">
        <v>11</v>
      </c>
      <c r="J2586">
        <v>20.99</v>
      </c>
      <c r="K2586">
        <v>1.25</v>
      </c>
      <c r="L2586" t="s">
        <v>230</v>
      </c>
      <c r="M2586" t="s">
        <v>104</v>
      </c>
      <c r="N2586" s="5" t="s">
        <v>105</v>
      </c>
      <c r="O2586" t="s">
        <v>28</v>
      </c>
      <c r="P2586" t="s">
        <v>29</v>
      </c>
      <c r="Q2586" t="s">
        <v>30</v>
      </c>
      <c r="R2586">
        <v>0.83</v>
      </c>
      <c r="S2586" s="1">
        <v>40283</v>
      </c>
      <c r="T2586" t="str">
        <f t="shared" si="81"/>
        <v>15-Apr-2010</v>
      </c>
    </row>
    <row r="2587" spans="1:20" x14ac:dyDescent="0.3">
      <c r="A2587">
        <v>40420</v>
      </c>
      <c r="B2587" s="1">
        <v>40553</v>
      </c>
      <c r="C2587" t="s">
        <v>23</v>
      </c>
      <c r="D2587" t="str">
        <f t="shared" si="80"/>
        <v>10-Jan-2011</v>
      </c>
      <c r="E2587">
        <v>50</v>
      </c>
      <c r="F2587" s="13">
        <v>886.36300000000006</v>
      </c>
      <c r="G2587">
        <v>0.08</v>
      </c>
      <c r="H2587" t="s">
        <v>19</v>
      </c>
      <c r="I2587" s="13">
        <v>450.02</v>
      </c>
      <c r="J2587">
        <v>20.99</v>
      </c>
      <c r="K2587">
        <v>0.99</v>
      </c>
      <c r="L2587" t="s">
        <v>381</v>
      </c>
      <c r="M2587" t="s">
        <v>104</v>
      </c>
      <c r="N2587" s="5" t="s">
        <v>105</v>
      </c>
      <c r="O2587" t="s">
        <v>28</v>
      </c>
      <c r="P2587" t="s">
        <v>29</v>
      </c>
      <c r="Q2587" t="s">
        <v>30</v>
      </c>
      <c r="R2587">
        <v>0.37</v>
      </c>
      <c r="S2587" s="1">
        <v>40555</v>
      </c>
      <c r="T2587" t="str">
        <f t="shared" si="81"/>
        <v>12-Jan-2011</v>
      </c>
    </row>
    <row r="2588" spans="1:20" x14ac:dyDescent="0.3">
      <c r="A2588">
        <v>26053</v>
      </c>
      <c r="B2588" s="1">
        <v>40932</v>
      </c>
      <c r="C2588" t="s">
        <v>18</v>
      </c>
      <c r="D2588" t="str">
        <f t="shared" si="80"/>
        <v>24-Jan-2012</v>
      </c>
      <c r="E2588">
        <v>48</v>
      </c>
      <c r="F2588" s="13">
        <v>878.75</v>
      </c>
      <c r="G2588">
        <v>7.0000000000000007E-2</v>
      </c>
      <c r="H2588" t="s">
        <v>35</v>
      </c>
      <c r="I2588" s="13">
        <v>70.459999999999994</v>
      </c>
      <c r="J2588">
        <v>18.97</v>
      </c>
      <c r="K2588">
        <v>9.0299999999999994</v>
      </c>
      <c r="L2588" t="s">
        <v>265</v>
      </c>
      <c r="M2588" t="s">
        <v>104</v>
      </c>
      <c r="N2588" s="5" t="s">
        <v>105</v>
      </c>
      <c r="O2588" t="s">
        <v>28</v>
      </c>
      <c r="P2588" t="s">
        <v>21</v>
      </c>
      <c r="Q2588" t="s">
        <v>37</v>
      </c>
      <c r="R2588">
        <v>0.37</v>
      </c>
      <c r="S2588" s="1">
        <v>40932</v>
      </c>
      <c r="T2588" t="str">
        <f t="shared" si="81"/>
        <v>24-Jan-2012</v>
      </c>
    </row>
    <row r="2589" spans="1:20" x14ac:dyDescent="0.3">
      <c r="A2589">
        <v>26277</v>
      </c>
      <c r="B2589" s="1">
        <v>40721</v>
      </c>
      <c r="C2589" t="s">
        <v>38</v>
      </c>
      <c r="D2589" t="str">
        <f t="shared" si="80"/>
        <v>27-Jun-2011</v>
      </c>
      <c r="E2589">
        <v>17</v>
      </c>
      <c r="F2589" s="13">
        <v>877.81</v>
      </c>
      <c r="G2589">
        <v>0.02</v>
      </c>
      <c r="H2589" t="s">
        <v>19</v>
      </c>
      <c r="I2589" s="13">
        <v>-44.4</v>
      </c>
      <c r="J2589">
        <v>49.99</v>
      </c>
      <c r="K2589">
        <v>19.989999999999998</v>
      </c>
      <c r="L2589" t="s">
        <v>392</v>
      </c>
      <c r="M2589" t="s">
        <v>104</v>
      </c>
      <c r="N2589" s="5" t="s">
        <v>105</v>
      </c>
      <c r="O2589" t="s">
        <v>28</v>
      </c>
      <c r="P2589" t="s">
        <v>29</v>
      </c>
      <c r="Q2589" t="s">
        <v>41</v>
      </c>
      <c r="R2589">
        <v>0.45</v>
      </c>
      <c r="S2589" s="1">
        <v>40722</v>
      </c>
      <c r="T2589" t="str">
        <f t="shared" si="81"/>
        <v>28-Jun-2011</v>
      </c>
    </row>
    <row r="2590" spans="1:20" x14ac:dyDescent="0.3">
      <c r="A2590">
        <v>48420</v>
      </c>
      <c r="B2590" s="1">
        <v>40097</v>
      </c>
      <c r="C2590" t="s">
        <v>18</v>
      </c>
      <c r="D2590" t="str">
        <f t="shared" si="80"/>
        <v>11-Oct-2009</v>
      </c>
      <c r="E2590">
        <v>46</v>
      </c>
      <c r="F2590" s="13">
        <v>863.26</v>
      </c>
      <c r="G2590">
        <v>0.09</v>
      </c>
      <c r="H2590" t="s">
        <v>35</v>
      </c>
      <c r="I2590" s="13">
        <v>229.6</v>
      </c>
      <c r="J2590">
        <v>19.23</v>
      </c>
      <c r="K2590">
        <v>6.15</v>
      </c>
      <c r="L2590" t="s">
        <v>243</v>
      </c>
      <c r="M2590" t="s">
        <v>104</v>
      </c>
      <c r="N2590" s="5" t="s">
        <v>105</v>
      </c>
      <c r="O2590" t="s">
        <v>28</v>
      </c>
      <c r="P2590" t="s">
        <v>32</v>
      </c>
      <c r="Q2590" t="s">
        <v>33</v>
      </c>
      <c r="R2590">
        <v>0.44</v>
      </c>
      <c r="S2590" s="1">
        <v>40099</v>
      </c>
      <c r="T2590" t="str">
        <f t="shared" si="81"/>
        <v>13-Oct-2009</v>
      </c>
    </row>
    <row r="2591" spans="1:20" x14ac:dyDescent="0.3">
      <c r="A2591">
        <v>11553</v>
      </c>
      <c r="B2591" s="1">
        <v>39921</v>
      </c>
      <c r="C2591" t="s">
        <v>38</v>
      </c>
      <c r="D2591" t="str">
        <f t="shared" si="80"/>
        <v>18-Apr-2009</v>
      </c>
      <c r="E2591">
        <v>8</v>
      </c>
      <c r="F2591" s="13">
        <v>861.26</v>
      </c>
      <c r="G2591">
        <v>7.0000000000000007E-2</v>
      </c>
      <c r="H2591" t="s">
        <v>24</v>
      </c>
      <c r="I2591" s="13">
        <v>-429.86</v>
      </c>
      <c r="J2591">
        <v>100.98</v>
      </c>
      <c r="K2591">
        <v>57.38</v>
      </c>
      <c r="L2591" t="s">
        <v>107</v>
      </c>
      <c r="M2591" t="s">
        <v>104</v>
      </c>
      <c r="N2591" s="5" t="s">
        <v>105</v>
      </c>
      <c r="O2591" t="s">
        <v>28</v>
      </c>
      <c r="P2591" t="s">
        <v>32</v>
      </c>
      <c r="Q2591" t="s">
        <v>45</v>
      </c>
      <c r="R2591">
        <v>0.78</v>
      </c>
      <c r="S2591" s="1">
        <v>39924</v>
      </c>
      <c r="T2591" t="str">
        <f t="shared" si="81"/>
        <v>21-Apr-2009</v>
      </c>
    </row>
    <row r="2592" spans="1:20" x14ac:dyDescent="0.3">
      <c r="A2592">
        <v>6374</v>
      </c>
      <c r="B2592" s="1">
        <v>40762</v>
      </c>
      <c r="C2592" t="s">
        <v>43</v>
      </c>
      <c r="D2592" t="str">
        <f t="shared" si="80"/>
        <v>07-Aug-2011</v>
      </c>
      <c r="E2592">
        <v>29</v>
      </c>
      <c r="F2592" s="13">
        <v>857.42</v>
      </c>
      <c r="G2592">
        <v>7.0000000000000007E-2</v>
      </c>
      <c r="H2592" t="s">
        <v>35</v>
      </c>
      <c r="I2592" s="13">
        <v>51.18</v>
      </c>
      <c r="J2592">
        <v>31.11</v>
      </c>
      <c r="K2592">
        <v>3.6</v>
      </c>
      <c r="L2592" t="s">
        <v>127</v>
      </c>
      <c r="M2592" t="s">
        <v>104</v>
      </c>
      <c r="N2592" s="5" t="s">
        <v>105</v>
      </c>
      <c r="O2592" t="s">
        <v>28</v>
      </c>
      <c r="P2592" t="s">
        <v>29</v>
      </c>
      <c r="Q2592" t="s">
        <v>41</v>
      </c>
      <c r="R2592">
        <v>0.64</v>
      </c>
      <c r="S2592" s="1">
        <v>40763</v>
      </c>
      <c r="T2592" t="str">
        <f t="shared" si="81"/>
        <v>08-Aug-2011</v>
      </c>
    </row>
    <row r="2593" spans="1:20" x14ac:dyDescent="0.3">
      <c r="A2593">
        <v>39654</v>
      </c>
      <c r="B2593" s="1">
        <v>41182</v>
      </c>
      <c r="C2593" t="s">
        <v>38</v>
      </c>
      <c r="D2593" t="str">
        <f t="shared" si="80"/>
        <v>30-Sep-2012</v>
      </c>
      <c r="E2593">
        <v>39</v>
      </c>
      <c r="F2593" s="13">
        <v>856.15</v>
      </c>
      <c r="G2593">
        <v>0.03</v>
      </c>
      <c r="H2593" t="s">
        <v>35</v>
      </c>
      <c r="I2593" s="13">
        <v>330.03</v>
      </c>
      <c r="J2593">
        <v>21.38</v>
      </c>
      <c r="K2593">
        <v>2.99</v>
      </c>
      <c r="L2593" t="s">
        <v>267</v>
      </c>
      <c r="M2593" t="s">
        <v>104</v>
      </c>
      <c r="N2593" s="5" t="s">
        <v>105</v>
      </c>
      <c r="O2593" t="s">
        <v>28</v>
      </c>
      <c r="P2593" t="s">
        <v>21</v>
      </c>
      <c r="Q2593" t="s">
        <v>26</v>
      </c>
      <c r="R2593">
        <v>0.37</v>
      </c>
      <c r="S2593" s="1">
        <v>41183</v>
      </c>
      <c r="T2593" t="str">
        <f t="shared" si="81"/>
        <v>01-Oct-2012</v>
      </c>
    </row>
    <row r="2594" spans="1:20" x14ac:dyDescent="0.3">
      <c r="A2594">
        <v>34980</v>
      </c>
      <c r="B2594" s="1">
        <v>40392</v>
      </c>
      <c r="C2594" t="s">
        <v>31</v>
      </c>
      <c r="D2594" t="str">
        <f t="shared" si="80"/>
        <v>02-Aug-2010</v>
      </c>
      <c r="E2594">
        <v>25</v>
      </c>
      <c r="F2594" s="13">
        <v>848.19</v>
      </c>
      <c r="G2594">
        <v>0.06</v>
      </c>
      <c r="H2594" t="s">
        <v>35</v>
      </c>
      <c r="I2594" s="13">
        <v>120.02</v>
      </c>
      <c r="J2594">
        <v>34.76</v>
      </c>
      <c r="K2594">
        <v>5.49</v>
      </c>
      <c r="L2594" t="s">
        <v>382</v>
      </c>
      <c r="M2594" t="s">
        <v>104</v>
      </c>
      <c r="N2594" s="5" t="s">
        <v>105</v>
      </c>
      <c r="O2594" t="s">
        <v>28</v>
      </c>
      <c r="P2594" t="s">
        <v>21</v>
      </c>
      <c r="Q2594" t="s">
        <v>22</v>
      </c>
      <c r="R2594">
        <v>0.6</v>
      </c>
      <c r="S2594" s="1">
        <v>40394</v>
      </c>
      <c r="T2594" t="str">
        <f t="shared" si="81"/>
        <v>04-Aug-2010</v>
      </c>
    </row>
    <row r="2595" spans="1:20" x14ac:dyDescent="0.3">
      <c r="A2595">
        <v>2279</v>
      </c>
      <c r="B2595" s="1">
        <v>40231</v>
      </c>
      <c r="C2595" t="s">
        <v>38</v>
      </c>
      <c r="D2595" t="str">
        <f t="shared" si="80"/>
        <v>22-Feb-2010</v>
      </c>
      <c r="E2595">
        <v>39</v>
      </c>
      <c r="F2595" s="13">
        <v>845.9</v>
      </c>
      <c r="G2595">
        <v>0.04</v>
      </c>
      <c r="H2595" t="s">
        <v>19</v>
      </c>
      <c r="I2595" s="13">
        <v>52.53</v>
      </c>
      <c r="J2595">
        <v>20.98</v>
      </c>
      <c r="K2595">
        <v>5.42</v>
      </c>
      <c r="L2595" t="s">
        <v>108</v>
      </c>
      <c r="M2595" t="s">
        <v>104</v>
      </c>
      <c r="N2595" s="5" t="s">
        <v>105</v>
      </c>
      <c r="O2595" t="s">
        <v>28</v>
      </c>
      <c r="P2595" t="s">
        <v>21</v>
      </c>
      <c r="Q2595" t="s">
        <v>22</v>
      </c>
      <c r="R2595">
        <v>0.66</v>
      </c>
      <c r="S2595" s="1">
        <v>40233</v>
      </c>
      <c r="T2595" t="str">
        <f t="shared" si="81"/>
        <v>24-Feb-2010</v>
      </c>
    </row>
    <row r="2596" spans="1:20" x14ac:dyDescent="0.3">
      <c r="A2596">
        <v>40965</v>
      </c>
      <c r="B2596" s="1">
        <v>40137</v>
      </c>
      <c r="C2596" t="s">
        <v>38</v>
      </c>
      <c r="D2596" t="str">
        <f t="shared" si="80"/>
        <v>20-Nov-2009</v>
      </c>
      <c r="E2596">
        <v>29</v>
      </c>
      <c r="F2596" s="13">
        <v>843.55</v>
      </c>
      <c r="G2596">
        <v>0.08</v>
      </c>
      <c r="H2596" t="s">
        <v>19</v>
      </c>
      <c r="I2596" s="13">
        <v>168.76</v>
      </c>
      <c r="J2596">
        <v>30.98</v>
      </c>
      <c r="K2596">
        <v>8.74</v>
      </c>
      <c r="L2596" t="s">
        <v>129</v>
      </c>
      <c r="M2596" t="s">
        <v>104</v>
      </c>
      <c r="N2596" s="5" t="s">
        <v>105</v>
      </c>
      <c r="O2596" t="s">
        <v>28</v>
      </c>
      <c r="P2596" t="s">
        <v>21</v>
      </c>
      <c r="Q2596" t="s">
        <v>37</v>
      </c>
      <c r="R2596">
        <v>0.4</v>
      </c>
      <c r="S2596" s="1">
        <v>40138</v>
      </c>
      <c r="T2596" t="str">
        <f t="shared" si="81"/>
        <v>21-Nov-2009</v>
      </c>
    </row>
    <row r="2597" spans="1:20" x14ac:dyDescent="0.3">
      <c r="A2597">
        <v>14471</v>
      </c>
      <c r="B2597" s="1">
        <v>40689</v>
      </c>
      <c r="C2597" t="s">
        <v>31</v>
      </c>
      <c r="D2597" t="str">
        <f t="shared" si="80"/>
        <v>26-May-2011</v>
      </c>
      <c r="E2597">
        <v>44</v>
      </c>
      <c r="F2597" s="13">
        <v>823.63</v>
      </c>
      <c r="G2597">
        <v>0.03</v>
      </c>
      <c r="H2597" t="s">
        <v>19</v>
      </c>
      <c r="I2597" s="13">
        <v>375.02</v>
      </c>
      <c r="J2597">
        <v>18.649999999999999</v>
      </c>
      <c r="K2597">
        <v>3.77</v>
      </c>
      <c r="L2597" t="s">
        <v>124</v>
      </c>
      <c r="M2597" t="s">
        <v>104</v>
      </c>
      <c r="N2597" s="5" t="s">
        <v>105</v>
      </c>
      <c r="O2597" t="s">
        <v>28</v>
      </c>
      <c r="P2597" t="s">
        <v>32</v>
      </c>
      <c r="Q2597" t="s">
        <v>33</v>
      </c>
      <c r="R2597">
        <v>0.39</v>
      </c>
      <c r="S2597" s="1">
        <v>40689</v>
      </c>
      <c r="T2597" t="str">
        <f t="shared" si="81"/>
        <v>26-May-2011</v>
      </c>
    </row>
    <row r="2598" spans="1:20" x14ac:dyDescent="0.3">
      <c r="A2598">
        <v>39235</v>
      </c>
      <c r="B2598" s="1">
        <v>40373</v>
      </c>
      <c r="C2598" t="s">
        <v>38</v>
      </c>
      <c r="D2598" t="str">
        <f t="shared" si="80"/>
        <v>14-Jul-2010</v>
      </c>
      <c r="E2598">
        <v>34</v>
      </c>
      <c r="F2598" s="13">
        <v>801.98</v>
      </c>
      <c r="G2598">
        <v>0</v>
      </c>
      <c r="H2598" t="s">
        <v>19</v>
      </c>
      <c r="I2598" s="13">
        <v>-99.95</v>
      </c>
      <c r="J2598">
        <v>21.66</v>
      </c>
      <c r="K2598">
        <v>13.99</v>
      </c>
      <c r="L2598" t="s">
        <v>393</v>
      </c>
      <c r="M2598" t="s">
        <v>104</v>
      </c>
      <c r="N2598" s="5" t="s">
        <v>105</v>
      </c>
      <c r="O2598" t="s">
        <v>28</v>
      </c>
      <c r="P2598" t="s">
        <v>21</v>
      </c>
      <c r="Q2598" t="s">
        <v>25</v>
      </c>
      <c r="R2598">
        <v>0.52</v>
      </c>
      <c r="S2598" s="1">
        <v>40375</v>
      </c>
      <c r="T2598" t="str">
        <f t="shared" si="81"/>
        <v>16-Jul-2010</v>
      </c>
    </row>
    <row r="2599" spans="1:20" x14ac:dyDescent="0.3">
      <c r="A2599">
        <v>45762</v>
      </c>
      <c r="B2599" s="1">
        <v>40380</v>
      </c>
      <c r="C2599" t="s">
        <v>18</v>
      </c>
      <c r="D2599" t="str">
        <f t="shared" si="80"/>
        <v>21-Jul-2010</v>
      </c>
      <c r="E2599">
        <v>21</v>
      </c>
      <c r="F2599" s="13">
        <v>793.85</v>
      </c>
      <c r="G2599">
        <v>0.01</v>
      </c>
      <c r="H2599" t="s">
        <v>19</v>
      </c>
      <c r="I2599" s="13">
        <v>308.52999999999997</v>
      </c>
      <c r="J2599">
        <v>37.94</v>
      </c>
      <c r="K2599">
        <v>5.08</v>
      </c>
      <c r="L2599" t="s">
        <v>66</v>
      </c>
      <c r="M2599" t="s">
        <v>104</v>
      </c>
      <c r="N2599" s="5" t="s">
        <v>105</v>
      </c>
      <c r="O2599" t="s">
        <v>28</v>
      </c>
      <c r="P2599" t="s">
        <v>21</v>
      </c>
      <c r="Q2599" t="s">
        <v>37</v>
      </c>
      <c r="R2599">
        <v>0.38</v>
      </c>
      <c r="S2599" s="1">
        <v>40385</v>
      </c>
      <c r="T2599" t="str">
        <f t="shared" si="81"/>
        <v>26-Jul-2010</v>
      </c>
    </row>
    <row r="2600" spans="1:20" x14ac:dyDescent="0.3">
      <c r="A2600">
        <v>5095</v>
      </c>
      <c r="B2600" s="1">
        <v>41020</v>
      </c>
      <c r="C2600" t="s">
        <v>23</v>
      </c>
      <c r="D2600" t="str">
        <f t="shared" si="80"/>
        <v>21-Apr-2012</v>
      </c>
      <c r="E2600">
        <v>7</v>
      </c>
      <c r="F2600" s="13">
        <v>786.67499999999995</v>
      </c>
      <c r="G2600">
        <v>0.01</v>
      </c>
      <c r="H2600" t="s">
        <v>19</v>
      </c>
      <c r="I2600" s="13">
        <v>-315.02999999999997</v>
      </c>
      <c r="J2600">
        <v>125.99</v>
      </c>
      <c r="K2600">
        <v>8.8000000000000007</v>
      </c>
      <c r="L2600" t="s">
        <v>393</v>
      </c>
      <c r="M2600" t="s">
        <v>104</v>
      </c>
      <c r="N2600" s="5" t="s">
        <v>105</v>
      </c>
      <c r="O2600" t="s">
        <v>28</v>
      </c>
      <c r="P2600" t="s">
        <v>29</v>
      </c>
      <c r="Q2600" t="s">
        <v>30</v>
      </c>
      <c r="R2600">
        <v>0.59</v>
      </c>
      <c r="S2600" s="1">
        <v>41021</v>
      </c>
      <c r="T2600" t="str">
        <f t="shared" si="81"/>
        <v>22-Apr-2012</v>
      </c>
    </row>
    <row r="2601" spans="1:20" x14ac:dyDescent="0.3">
      <c r="A2601">
        <v>27876</v>
      </c>
      <c r="B2601" s="1">
        <v>40428</v>
      </c>
      <c r="C2601" t="s">
        <v>18</v>
      </c>
      <c r="D2601" t="str">
        <f t="shared" si="80"/>
        <v>07-Sep-2010</v>
      </c>
      <c r="E2601">
        <v>44</v>
      </c>
      <c r="F2601" s="13">
        <v>777.63</v>
      </c>
      <c r="G2601">
        <v>0.03</v>
      </c>
      <c r="H2601" t="s">
        <v>19</v>
      </c>
      <c r="I2601" s="13">
        <v>-70.540000000000006</v>
      </c>
      <c r="J2601">
        <v>16.989999999999998</v>
      </c>
      <c r="K2601">
        <v>8.99</v>
      </c>
      <c r="L2601" t="s">
        <v>118</v>
      </c>
      <c r="M2601" t="s">
        <v>104</v>
      </c>
      <c r="N2601" s="5" t="s">
        <v>105</v>
      </c>
      <c r="O2601" t="s">
        <v>28</v>
      </c>
      <c r="P2601" t="s">
        <v>21</v>
      </c>
      <c r="Q2601" t="s">
        <v>50</v>
      </c>
      <c r="R2601">
        <v>0.56000000000000005</v>
      </c>
      <c r="S2601" s="1">
        <v>40435</v>
      </c>
      <c r="T2601" t="str">
        <f t="shared" si="81"/>
        <v>14-Sep-2010</v>
      </c>
    </row>
    <row r="2602" spans="1:20" x14ac:dyDescent="0.3">
      <c r="A2602">
        <v>2438</v>
      </c>
      <c r="B2602" s="1">
        <v>40373</v>
      </c>
      <c r="C2602" t="s">
        <v>23</v>
      </c>
      <c r="D2602" t="str">
        <f t="shared" si="80"/>
        <v>14-Jul-2010</v>
      </c>
      <c r="E2602">
        <v>23</v>
      </c>
      <c r="F2602" s="13">
        <v>717.46799999999996</v>
      </c>
      <c r="G2602">
        <v>0.01</v>
      </c>
      <c r="H2602" t="s">
        <v>19</v>
      </c>
      <c r="I2602" s="13">
        <v>316.48</v>
      </c>
      <c r="J2602">
        <v>35.99</v>
      </c>
      <c r="K2602">
        <v>0.99</v>
      </c>
      <c r="L2602" t="s">
        <v>391</v>
      </c>
      <c r="M2602" t="s">
        <v>104</v>
      </c>
      <c r="N2602" s="5" t="s">
        <v>105</v>
      </c>
      <c r="O2602" t="s">
        <v>28</v>
      </c>
      <c r="P2602" t="s">
        <v>29</v>
      </c>
      <c r="Q2602" t="s">
        <v>30</v>
      </c>
      <c r="R2602">
        <v>0.35</v>
      </c>
      <c r="S2602" s="1">
        <v>40375</v>
      </c>
      <c r="T2602" t="str">
        <f t="shared" si="81"/>
        <v>16-Jul-2010</v>
      </c>
    </row>
    <row r="2603" spans="1:20" x14ac:dyDescent="0.3">
      <c r="A2603">
        <v>23745</v>
      </c>
      <c r="B2603" s="1">
        <v>41248</v>
      </c>
      <c r="C2603" t="s">
        <v>18</v>
      </c>
      <c r="D2603" t="str">
        <f t="shared" si="80"/>
        <v>05-Dec-2012</v>
      </c>
      <c r="E2603">
        <v>12</v>
      </c>
      <c r="F2603" s="13">
        <v>715.8</v>
      </c>
      <c r="G2603">
        <v>0.06</v>
      </c>
      <c r="H2603" t="s">
        <v>19</v>
      </c>
      <c r="I2603" s="13">
        <v>-279.12</v>
      </c>
      <c r="J2603">
        <v>55.5</v>
      </c>
      <c r="K2603">
        <v>52.2</v>
      </c>
      <c r="L2603" t="s">
        <v>387</v>
      </c>
      <c r="M2603" t="s">
        <v>104</v>
      </c>
      <c r="N2603" s="5" t="s">
        <v>105</v>
      </c>
      <c r="O2603" t="s">
        <v>28</v>
      </c>
      <c r="P2603" t="s">
        <v>32</v>
      </c>
      <c r="Q2603" t="s">
        <v>33</v>
      </c>
      <c r="R2603">
        <v>0.72</v>
      </c>
      <c r="S2603" s="1">
        <v>41248</v>
      </c>
      <c r="T2603" t="str">
        <f t="shared" si="81"/>
        <v>05-Dec-2012</v>
      </c>
    </row>
    <row r="2604" spans="1:20" x14ac:dyDescent="0.3">
      <c r="A2604">
        <v>38690</v>
      </c>
      <c r="B2604" s="1">
        <v>40928</v>
      </c>
      <c r="C2604" t="s">
        <v>18</v>
      </c>
      <c r="D2604" t="str">
        <f t="shared" si="80"/>
        <v>20-Jan-2012</v>
      </c>
      <c r="E2604">
        <v>28</v>
      </c>
      <c r="F2604" s="13">
        <v>697.5</v>
      </c>
      <c r="G2604">
        <v>0.02</v>
      </c>
      <c r="H2604" t="s">
        <v>19</v>
      </c>
      <c r="I2604" s="13">
        <v>169.89</v>
      </c>
      <c r="J2604">
        <v>23.99</v>
      </c>
      <c r="K2604">
        <v>6.3</v>
      </c>
      <c r="L2604" t="s">
        <v>122</v>
      </c>
      <c r="M2604" t="s">
        <v>104</v>
      </c>
      <c r="N2604" s="5" t="s">
        <v>105</v>
      </c>
      <c r="O2604" t="s">
        <v>28</v>
      </c>
      <c r="P2604" t="s">
        <v>29</v>
      </c>
      <c r="Q2604" t="s">
        <v>74</v>
      </c>
      <c r="R2604">
        <v>0.38</v>
      </c>
      <c r="S2604" s="1">
        <v>40932</v>
      </c>
      <c r="T2604" t="str">
        <f t="shared" si="81"/>
        <v>24-Jan-2012</v>
      </c>
    </row>
    <row r="2605" spans="1:20" x14ac:dyDescent="0.3">
      <c r="A2605">
        <v>30149</v>
      </c>
      <c r="B2605" s="1">
        <v>40524</v>
      </c>
      <c r="C2605" t="s">
        <v>38</v>
      </c>
      <c r="D2605" t="str">
        <f t="shared" si="80"/>
        <v>12-Dec-2010</v>
      </c>
      <c r="E2605">
        <v>50</v>
      </c>
      <c r="F2605" s="13">
        <v>690.97</v>
      </c>
      <c r="G2605">
        <v>0.03</v>
      </c>
      <c r="H2605" t="s">
        <v>19</v>
      </c>
      <c r="I2605" s="13">
        <v>-16.940000000000001</v>
      </c>
      <c r="J2605">
        <v>13.79</v>
      </c>
      <c r="K2605">
        <v>8.7799999999999994</v>
      </c>
      <c r="L2605" t="s">
        <v>129</v>
      </c>
      <c r="M2605" t="s">
        <v>104</v>
      </c>
      <c r="N2605" s="5" t="s">
        <v>105</v>
      </c>
      <c r="O2605" t="s">
        <v>28</v>
      </c>
      <c r="P2605" t="s">
        <v>32</v>
      </c>
      <c r="Q2605" t="s">
        <v>33</v>
      </c>
      <c r="R2605">
        <v>0.43</v>
      </c>
      <c r="S2605" s="1">
        <v>40527</v>
      </c>
      <c r="T2605" t="str">
        <f t="shared" si="81"/>
        <v>15-Dec-2010</v>
      </c>
    </row>
    <row r="2606" spans="1:20" x14ac:dyDescent="0.3">
      <c r="A2606">
        <v>16230</v>
      </c>
      <c r="B2606" s="1">
        <v>40236</v>
      </c>
      <c r="C2606" t="s">
        <v>18</v>
      </c>
      <c r="D2606" t="str">
        <f t="shared" si="80"/>
        <v>27-Feb-2010</v>
      </c>
      <c r="E2606">
        <v>15</v>
      </c>
      <c r="F2606" s="13">
        <v>687.52</v>
      </c>
      <c r="G2606">
        <v>0.08</v>
      </c>
      <c r="H2606" t="s">
        <v>19</v>
      </c>
      <c r="I2606" s="13">
        <v>223.76</v>
      </c>
      <c r="J2606">
        <v>48.91</v>
      </c>
      <c r="K2606">
        <v>5.81</v>
      </c>
      <c r="L2606" t="s">
        <v>112</v>
      </c>
      <c r="M2606" t="s">
        <v>104</v>
      </c>
      <c r="N2606" s="5" t="s">
        <v>105</v>
      </c>
      <c r="O2606" t="s">
        <v>28</v>
      </c>
      <c r="P2606" t="s">
        <v>21</v>
      </c>
      <c r="Q2606" t="s">
        <v>37</v>
      </c>
      <c r="R2606">
        <v>0.38</v>
      </c>
      <c r="S2606" s="1">
        <v>40243</v>
      </c>
      <c r="T2606" t="str">
        <f t="shared" si="81"/>
        <v>06-Mar-2010</v>
      </c>
    </row>
    <row r="2607" spans="1:20" x14ac:dyDescent="0.3">
      <c r="A2607">
        <v>31297</v>
      </c>
      <c r="B2607" s="1">
        <v>41139</v>
      </c>
      <c r="C2607" t="s">
        <v>18</v>
      </c>
      <c r="D2607" t="str">
        <f t="shared" si="80"/>
        <v>18-Aug-2012</v>
      </c>
      <c r="E2607">
        <v>39</v>
      </c>
      <c r="F2607" s="13">
        <v>679.95</v>
      </c>
      <c r="G2607">
        <v>0.08</v>
      </c>
      <c r="H2607" t="s">
        <v>19</v>
      </c>
      <c r="I2607" s="13">
        <v>-93.3</v>
      </c>
      <c r="J2607">
        <v>17.989999999999998</v>
      </c>
      <c r="K2607">
        <v>8.65</v>
      </c>
      <c r="L2607" t="s">
        <v>147</v>
      </c>
      <c r="M2607" t="s">
        <v>104</v>
      </c>
      <c r="N2607" s="5" t="s">
        <v>105</v>
      </c>
      <c r="O2607" t="s">
        <v>28</v>
      </c>
      <c r="P2607" t="s">
        <v>21</v>
      </c>
      <c r="Q2607" t="s">
        <v>50</v>
      </c>
      <c r="R2607">
        <v>0.56999999999999995</v>
      </c>
      <c r="S2607" s="1">
        <v>41146</v>
      </c>
      <c r="T2607" t="str">
        <f t="shared" si="81"/>
        <v>25-Aug-2012</v>
      </c>
    </row>
    <row r="2608" spans="1:20" x14ac:dyDescent="0.3">
      <c r="A2608">
        <v>12743</v>
      </c>
      <c r="B2608" s="1">
        <v>40352</v>
      </c>
      <c r="C2608" t="s">
        <v>23</v>
      </c>
      <c r="D2608" t="str">
        <f t="shared" si="80"/>
        <v>23-Jun-2010</v>
      </c>
      <c r="E2608">
        <v>39</v>
      </c>
      <c r="F2608" s="13">
        <v>677.51800000000003</v>
      </c>
      <c r="G2608">
        <v>0.09</v>
      </c>
      <c r="H2608" t="s">
        <v>19</v>
      </c>
      <c r="I2608" s="13">
        <v>168.22</v>
      </c>
      <c r="J2608">
        <v>20.99</v>
      </c>
      <c r="K2608">
        <v>0.99</v>
      </c>
      <c r="L2608" t="s">
        <v>129</v>
      </c>
      <c r="M2608" t="s">
        <v>104</v>
      </c>
      <c r="N2608" s="5" t="s">
        <v>105</v>
      </c>
      <c r="O2608" t="s">
        <v>28</v>
      </c>
      <c r="P2608" t="s">
        <v>29</v>
      </c>
      <c r="Q2608" t="s">
        <v>30</v>
      </c>
      <c r="R2608">
        <v>0.56999999999999995</v>
      </c>
      <c r="S2608" s="1">
        <v>40354</v>
      </c>
      <c r="T2608" t="str">
        <f t="shared" si="81"/>
        <v>25-Jun-2010</v>
      </c>
    </row>
    <row r="2609" spans="1:20" x14ac:dyDescent="0.3">
      <c r="A2609">
        <v>41671</v>
      </c>
      <c r="B2609" s="1">
        <v>41246</v>
      </c>
      <c r="C2609" t="s">
        <v>43</v>
      </c>
      <c r="D2609" t="str">
        <f t="shared" si="80"/>
        <v>03-Dec-2012</v>
      </c>
      <c r="E2609">
        <v>49</v>
      </c>
      <c r="F2609" s="13">
        <v>638.91</v>
      </c>
      <c r="G2609">
        <v>0.02</v>
      </c>
      <c r="H2609" t="s">
        <v>19</v>
      </c>
      <c r="I2609" s="13">
        <v>77.48</v>
      </c>
      <c r="J2609">
        <v>12.98</v>
      </c>
      <c r="K2609">
        <v>3.14</v>
      </c>
      <c r="L2609" t="s">
        <v>150</v>
      </c>
      <c r="M2609" t="s">
        <v>104</v>
      </c>
      <c r="N2609" s="5" t="s">
        <v>105</v>
      </c>
      <c r="O2609" t="s">
        <v>28</v>
      </c>
      <c r="P2609" t="s">
        <v>21</v>
      </c>
      <c r="Q2609" t="s">
        <v>67</v>
      </c>
      <c r="R2609">
        <v>0.6</v>
      </c>
      <c r="S2609" s="1">
        <v>41248</v>
      </c>
      <c r="T2609" t="str">
        <f t="shared" si="81"/>
        <v>05-Dec-2012</v>
      </c>
    </row>
    <row r="2610" spans="1:20" x14ac:dyDescent="0.3">
      <c r="A2610">
        <v>55330</v>
      </c>
      <c r="B2610" s="1">
        <v>40037</v>
      </c>
      <c r="C2610" t="s">
        <v>38</v>
      </c>
      <c r="D2610" t="str">
        <f t="shared" si="80"/>
        <v>12-Aug-2009</v>
      </c>
      <c r="E2610">
        <v>49</v>
      </c>
      <c r="F2610" s="13">
        <v>633.91</v>
      </c>
      <c r="G2610">
        <v>0</v>
      </c>
      <c r="H2610" t="s">
        <v>19</v>
      </c>
      <c r="I2610" s="13">
        <v>141.16999999999999</v>
      </c>
      <c r="J2610">
        <v>12.58</v>
      </c>
      <c r="K2610">
        <v>5.16</v>
      </c>
      <c r="L2610" t="s">
        <v>232</v>
      </c>
      <c r="M2610" t="s">
        <v>104</v>
      </c>
      <c r="N2610" s="5" t="s">
        <v>105</v>
      </c>
      <c r="O2610" t="s">
        <v>28</v>
      </c>
      <c r="P2610" t="s">
        <v>32</v>
      </c>
      <c r="Q2610" t="s">
        <v>33</v>
      </c>
      <c r="R2610">
        <v>0.43</v>
      </c>
      <c r="S2610" s="1">
        <v>40037</v>
      </c>
      <c r="T2610" t="str">
        <f t="shared" si="81"/>
        <v>12-Aug-2009</v>
      </c>
    </row>
    <row r="2611" spans="1:20" x14ac:dyDescent="0.3">
      <c r="A2611">
        <v>25635</v>
      </c>
      <c r="B2611" s="1">
        <v>41058</v>
      </c>
      <c r="C2611" t="s">
        <v>43</v>
      </c>
      <c r="D2611" t="str">
        <f t="shared" si="80"/>
        <v>29-May-2012</v>
      </c>
      <c r="E2611">
        <v>14</v>
      </c>
      <c r="F2611" s="13">
        <v>633.08000000000004</v>
      </c>
      <c r="G2611">
        <v>0.04</v>
      </c>
      <c r="H2611" t="s">
        <v>35</v>
      </c>
      <c r="I2611" s="13">
        <v>145.47999999999999</v>
      </c>
      <c r="J2611">
        <v>42.98</v>
      </c>
      <c r="K2611">
        <v>4.62</v>
      </c>
      <c r="L2611" t="s">
        <v>109</v>
      </c>
      <c r="M2611" t="s">
        <v>104</v>
      </c>
      <c r="N2611" s="5" t="s">
        <v>105</v>
      </c>
      <c r="O2611" t="s">
        <v>28</v>
      </c>
      <c r="P2611" t="s">
        <v>21</v>
      </c>
      <c r="Q2611" t="s">
        <v>25</v>
      </c>
      <c r="R2611">
        <v>0.56000000000000005</v>
      </c>
      <c r="S2611" s="1">
        <v>41059</v>
      </c>
      <c r="T2611" t="str">
        <f t="shared" si="81"/>
        <v>30-May-2012</v>
      </c>
    </row>
    <row r="2612" spans="1:20" x14ac:dyDescent="0.3">
      <c r="A2612">
        <v>28068</v>
      </c>
      <c r="B2612" s="1">
        <v>40416</v>
      </c>
      <c r="C2612" t="s">
        <v>18</v>
      </c>
      <c r="D2612" t="str">
        <f t="shared" si="80"/>
        <v>26-Aug-2010</v>
      </c>
      <c r="E2612">
        <v>23</v>
      </c>
      <c r="F2612" s="13">
        <v>631.99</v>
      </c>
      <c r="G2612">
        <v>0.08</v>
      </c>
      <c r="H2612" t="s">
        <v>19</v>
      </c>
      <c r="I2612" s="13">
        <v>-43.96</v>
      </c>
      <c r="J2612">
        <v>27.48</v>
      </c>
      <c r="K2612">
        <v>4</v>
      </c>
      <c r="L2612" t="s">
        <v>106</v>
      </c>
      <c r="M2612" t="s">
        <v>104</v>
      </c>
      <c r="N2612" s="5" t="s">
        <v>105</v>
      </c>
      <c r="O2612" t="s">
        <v>28</v>
      </c>
      <c r="P2612" t="s">
        <v>29</v>
      </c>
      <c r="Q2612" t="s">
        <v>41</v>
      </c>
      <c r="R2612">
        <v>0.75</v>
      </c>
      <c r="S2612" s="1">
        <v>40418</v>
      </c>
      <c r="T2612" t="str">
        <f t="shared" si="81"/>
        <v>28-Aug-2010</v>
      </c>
    </row>
    <row r="2613" spans="1:20" x14ac:dyDescent="0.3">
      <c r="A2613">
        <v>35938</v>
      </c>
      <c r="B2613" s="1">
        <v>41230</v>
      </c>
      <c r="C2613" t="s">
        <v>31</v>
      </c>
      <c r="D2613" t="str">
        <f t="shared" si="80"/>
        <v>17-Nov-2012</v>
      </c>
      <c r="E2613">
        <v>48</v>
      </c>
      <c r="F2613" s="13">
        <v>628.33000000000004</v>
      </c>
      <c r="G2613">
        <v>0.09</v>
      </c>
      <c r="H2613" t="s">
        <v>19</v>
      </c>
      <c r="I2613" s="13">
        <v>-226.62</v>
      </c>
      <c r="J2613">
        <v>14.03</v>
      </c>
      <c r="K2613">
        <v>9.3699999999999992</v>
      </c>
      <c r="L2613" t="s">
        <v>270</v>
      </c>
      <c r="M2613" t="s">
        <v>104</v>
      </c>
      <c r="N2613" s="5" t="s">
        <v>105</v>
      </c>
      <c r="O2613" t="s">
        <v>28</v>
      </c>
      <c r="P2613" t="s">
        <v>21</v>
      </c>
      <c r="Q2613" t="s">
        <v>22</v>
      </c>
      <c r="R2613">
        <v>0.56000000000000005</v>
      </c>
      <c r="S2613" s="1">
        <v>41231</v>
      </c>
      <c r="T2613" t="str">
        <f t="shared" si="81"/>
        <v>18-Nov-2012</v>
      </c>
    </row>
    <row r="2614" spans="1:20" x14ac:dyDescent="0.3">
      <c r="A2614">
        <v>59074</v>
      </c>
      <c r="B2614" s="1">
        <v>40402</v>
      </c>
      <c r="C2614" t="s">
        <v>18</v>
      </c>
      <c r="D2614" t="str">
        <f t="shared" si="80"/>
        <v>12-Aug-2010</v>
      </c>
      <c r="E2614">
        <v>37</v>
      </c>
      <c r="F2614" s="13">
        <v>589.63</v>
      </c>
      <c r="G2614">
        <v>0.03</v>
      </c>
      <c r="H2614" t="s">
        <v>19</v>
      </c>
      <c r="I2614" s="13">
        <v>70.8</v>
      </c>
      <c r="J2614">
        <v>14.98</v>
      </c>
      <c r="K2614">
        <v>8.99</v>
      </c>
      <c r="L2614" t="s">
        <v>77</v>
      </c>
      <c r="M2614" t="s">
        <v>104</v>
      </c>
      <c r="N2614" s="5" t="s">
        <v>105</v>
      </c>
      <c r="O2614" t="s">
        <v>28</v>
      </c>
      <c r="P2614" t="s">
        <v>32</v>
      </c>
      <c r="Q2614" t="s">
        <v>33</v>
      </c>
      <c r="R2614">
        <v>0.39</v>
      </c>
      <c r="S2614" s="1">
        <v>40404</v>
      </c>
      <c r="T2614" t="str">
        <f t="shared" si="81"/>
        <v>14-Aug-2010</v>
      </c>
    </row>
    <row r="2615" spans="1:20" x14ac:dyDescent="0.3">
      <c r="A2615">
        <v>40608</v>
      </c>
      <c r="B2615" s="1">
        <v>41140</v>
      </c>
      <c r="C2615" t="s">
        <v>31</v>
      </c>
      <c r="D2615" t="str">
        <f t="shared" si="80"/>
        <v>19-Aug-2012</v>
      </c>
      <c r="E2615">
        <v>29</v>
      </c>
      <c r="F2615" s="13">
        <v>573.97</v>
      </c>
      <c r="G2615">
        <v>0.05</v>
      </c>
      <c r="H2615" t="s">
        <v>19</v>
      </c>
      <c r="I2615" s="13">
        <v>55.82</v>
      </c>
      <c r="J2615">
        <v>18.97</v>
      </c>
      <c r="K2615">
        <v>9.5399999999999991</v>
      </c>
      <c r="L2615" t="s">
        <v>133</v>
      </c>
      <c r="M2615" t="s">
        <v>104</v>
      </c>
      <c r="N2615" s="5" t="s">
        <v>105</v>
      </c>
      <c r="O2615" t="s">
        <v>28</v>
      </c>
      <c r="P2615" t="s">
        <v>21</v>
      </c>
      <c r="Q2615" t="s">
        <v>37</v>
      </c>
      <c r="R2615">
        <v>0.37</v>
      </c>
      <c r="S2615" s="1">
        <v>41142</v>
      </c>
      <c r="T2615" t="str">
        <f t="shared" si="81"/>
        <v>21-Aug-2012</v>
      </c>
    </row>
    <row r="2616" spans="1:20" x14ac:dyDescent="0.3">
      <c r="A2616">
        <v>57511</v>
      </c>
      <c r="B2616" s="1">
        <v>40092</v>
      </c>
      <c r="C2616" t="s">
        <v>43</v>
      </c>
      <c r="D2616" t="str">
        <f t="shared" si="80"/>
        <v>06-Oct-2009</v>
      </c>
      <c r="E2616">
        <v>11</v>
      </c>
      <c r="F2616" s="13">
        <v>569.63599999999997</v>
      </c>
      <c r="G2616">
        <v>0</v>
      </c>
      <c r="H2616" t="s">
        <v>19</v>
      </c>
      <c r="I2616" s="13">
        <v>-173.25</v>
      </c>
      <c r="J2616">
        <v>55.99</v>
      </c>
      <c r="K2616">
        <v>5</v>
      </c>
      <c r="L2616" t="s">
        <v>387</v>
      </c>
      <c r="M2616" t="s">
        <v>104</v>
      </c>
      <c r="N2616" s="5" t="s">
        <v>105</v>
      </c>
      <c r="O2616" t="s">
        <v>28</v>
      </c>
      <c r="P2616" t="s">
        <v>29</v>
      </c>
      <c r="Q2616" t="s">
        <v>30</v>
      </c>
      <c r="R2616">
        <v>0.8</v>
      </c>
      <c r="S2616" s="1">
        <v>40094</v>
      </c>
      <c r="T2616" t="str">
        <f t="shared" si="81"/>
        <v>08-Oct-2009</v>
      </c>
    </row>
    <row r="2617" spans="1:20" x14ac:dyDescent="0.3">
      <c r="A2617">
        <v>34980</v>
      </c>
      <c r="B2617" s="1">
        <v>40392</v>
      </c>
      <c r="C2617" t="s">
        <v>31</v>
      </c>
      <c r="D2617" t="str">
        <f t="shared" si="80"/>
        <v>02-Aug-2010</v>
      </c>
      <c r="E2617">
        <v>12</v>
      </c>
      <c r="F2617" s="13">
        <v>562.15</v>
      </c>
      <c r="G2617">
        <v>0.01</v>
      </c>
      <c r="H2617" t="s">
        <v>19</v>
      </c>
      <c r="I2617" s="13">
        <v>148.34</v>
      </c>
      <c r="J2617">
        <v>46.89</v>
      </c>
      <c r="K2617">
        <v>5.0999999999999996</v>
      </c>
      <c r="L2617" t="s">
        <v>382</v>
      </c>
      <c r="M2617" t="s">
        <v>104</v>
      </c>
      <c r="N2617" s="5" t="s">
        <v>105</v>
      </c>
      <c r="O2617" t="s">
        <v>28</v>
      </c>
      <c r="P2617" t="s">
        <v>21</v>
      </c>
      <c r="Q2617" t="s">
        <v>25</v>
      </c>
      <c r="R2617">
        <v>0.46</v>
      </c>
      <c r="S2617" s="1">
        <v>40394</v>
      </c>
      <c r="T2617" t="str">
        <f t="shared" si="81"/>
        <v>04-Aug-2010</v>
      </c>
    </row>
    <row r="2618" spans="1:20" x14ac:dyDescent="0.3">
      <c r="A2618">
        <v>52196</v>
      </c>
      <c r="B2618" s="1">
        <v>40208</v>
      </c>
      <c r="C2618" t="s">
        <v>31</v>
      </c>
      <c r="D2618" t="str">
        <f t="shared" si="80"/>
        <v>30-Jan-2010</v>
      </c>
      <c r="E2618">
        <v>10</v>
      </c>
      <c r="F2618" s="13">
        <v>547.00049999999999</v>
      </c>
      <c r="G2618">
        <v>0.08</v>
      </c>
      <c r="H2618" t="s">
        <v>19</v>
      </c>
      <c r="I2618" s="13">
        <v>-97.2</v>
      </c>
      <c r="J2618">
        <v>65.989999999999995</v>
      </c>
      <c r="K2618">
        <v>3.9</v>
      </c>
      <c r="L2618" t="s">
        <v>378</v>
      </c>
      <c r="M2618" t="s">
        <v>104</v>
      </c>
      <c r="N2618" s="5" t="s">
        <v>105</v>
      </c>
      <c r="O2618" t="s">
        <v>28</v>
      </c>
      <c r="P2618" t="s">
        <v>29</v>
      </c>
      <c r="Q2618" t="s">
        <v>30</v>
      </c>
      <c r="R2618">
        <v>0.55000000000000004</v>
      </c>
      <c r="S2618" s="1">
        <v>40210</v>
      </c>
      <c r="T2618" t="str">
        <f t="shared" si="81"/>
        <v>01-Feb-2010</v>
      </c>
    </row>
    <row r="2619" spans="1:20" x14ac:dyDescent="0.3">
      <c r="A2619">
        <v>24576</v>
      </c>
      <c r="B2619" s="1">
        <v>41254</v>
      </c>
      <c r="C2619" t="s">
        <v>31</v>
      </c>
      <c r="D2619" t="str">
        <f t="shared" si="80"/>
        <v>11-Dec-2012</v>
      </c>
      <c r="E2619">
        <v>29</v>
      </c>
      <c r="F2619" s="13">
        <v>531.06299999999999</v>
      </c>
      <c r="G2619">
        <v>0.03</v>
      </c>
      <c r="H2619" t="s">
        <v>19</v>
      </c>
      <c r="I2619" s="13">
        <v>24.56</v>
      </c>
      <c r="J2619">
        <v>20.99</v>
      </c>
      <c r="K2619">
        <v>4.8099999999999996</v>
      </c>
      <c r="L2619" t="s">
        <v>111</v>
      </c>
      <c r="M2619" t="s">
        <v>104</v>
      </c>
      <c r="N2619" s="5" t="s">
        <v>105</v>
      </c>
      <c r="O2619" t="s">
        <v>28</v>
      </c>
      <c r="P2619" t="s">
        <v>29</v>
      </c>
      <c r="Q2619" t="s">
        <v>30</v>
      </c>
      <c r="R2619">
        <v>0.57999999999999996</v>
      </c>
      <c r="S2619" s="1">
        <v>41256</v>
      </c>
      <c r="T2619" t="str">
        <f t="shared" si="81"/>
        <v>13-Dec-2012</v>
      </c>
    </row>
    <row r="2620" spans="1:20" x14ac:dyDescent="0.3">
      <c r="A2620">
        <v>18179</v>
      </c>
      <c r="B2620" s="1">
        <v>40026</v>
      </c>
      <c r="C2620" t="s">
        <v>31</v>
      </c>
      <c r="D2620" t="str">
        <f t="shared" si="80"/>
        <v>01-Aug-2009</v>
      </c>
      <c r="E2620">
        <v>50</v>
      </c>
      <c r="F2620" s="13">
        <v>527.6</v>
      </c>
      <c r="G2620">
        <v>0</v>
      </c>
      <c r="H2620" t="s">
        <v>19</v>
      </c>
      <c r="I2620" s="13">
        <v>221.59</v>
      </c>
      <c r="J2620">
        <v>10.31</v>
      </c>
      <c r="K2620">
        <v>1.79</v>
      </c>
      <c r="L2620" t="s">
        <v>123</v>
      </c>
      <c r="M2620" t="s">
        <v>104</v>
      </c>
      <c r="N2620" s="5" t="s">
        <v>105</v>
      </c>
      <c r="O2620" t="s">
        <v>28</v>
      </c>
      <c r="P2620" t="s">
        <v>21</v>
      </c>
      <c r="Q2620" t="s">
        <v>37</v>
      </c>
      <c r="R2620">
        <v>0.38</v>
      </c>
      <c r="S2620" s="1">
        <v>40028</v>
      </c>
      <c r="T2620" t="str">
        <f t="shared" si="81"/>
        <v>03-Aug-2009</v>
      </c>
    </row>
    <row r="2621" spans="1:20" x14ac:dyDescent="0.3">
      <c r="A2621">
        <v>53056</v>
      </c>
      <c r="B2621" s="1">
        <v>40850</v>
      </c>
      <c r="C2621" t="s">
        <v>43</v>
      </c>
      <c r="D2621" t="str">
        <f t="shared" si="80"/>
        <v>03-Nov-2011</v>
      </c>
      <c r="E2621">
        <v>13</v>
      </c>
      <c r="F2621" s="13">
        <v>509.49</v>
      </c>
      <c r="G2621">
        <v>7.0000000000000007E-2</v>
      </c>
      <c r="H2621" t="s">
        <v>19</v>
      </c>
      <c r="I2621" s="13">
        <v>-51.18</v>
      </c>
      <c r="J2621">
        <v>40.99</v>
      </c>
      <c r="K2621">
        <v>8.9700000000000006</v>
      </c>
      <c r="L2621" t="s">
        <v>155</v>
      </c>
      <c r="M2621" t="s">
        <v>104</v>
      </c>
      <c r="N2621" s="5" t="s">
        <v>105</v>
      </c>
      <c r="O2621" t="s">
        <v>28</v>
      </c>
      <c r="P2621" t="s">
        <v>29</v>
      </c>
      <c r="Q2621" t="s">
        <v>74</v>
      </c>
      <c r="R2621">
        <v>0.54</v>
      </c>
      <c r="S2621" s="1">
        <v>40851</v>
      </c>
      <c r="T2621" t="str">
        <f t="shared" si="81"/>
        <v>04-Nov-2011</v>
      </c>
    </row>
    <row r="2622" spans="1:20" x14ac:dyDescent="0.3">
      <c r="A2622">
        <v>44162</v>
      </c>
      <c r="B2622" s="1">
        <v>40256</v>
      </c>
      <c r="C2622" t="s">
        <v>23</v>
      </c>
      <c r="D2622" t="str">
        <f t="shared" si="80"/>
        <v>19-Mar-2010</v>
      </c>
      <c r="E2622">
        <v>46</v>
      </c>
      <c r="F2622" s="13">
        <v>507.64</v>
      </c>
      <c r="G2622">
        <v>0.04</v>
      </c>
      <c r="H2622" t="s">
        <v>19</v>
      </c>
      <c r="I2622" s="13">
        <v>42.76</v>
      </c>
      <c r="J2622">
        <v>10.98</v>
      </c>
      <c r="K2622">
        <v>3.37</v>
      </c>
      <c r="L2622" t="s">
        <v>106</v>
      </c>
      <c r="M2622" t="s">
        <v>104</v>
      </c>
      <c r="N2622" s="5" t="s">
        <v>105</v>
      </c>
      <c r="O2622" t="s">
        <v>28</v>
      </c>
      <c r="P2622" t="s">
        <v>21</v>
      </c>
      <c r="Q2622" t="s">
        <v>67</v>
      </c>
      <c r="R2622">
        <v>0.56999999999999995</v>
      </c>
      <c r="S2622" s="1">
        <v>40257</v>
      </c>
      <c r="T2622" t="str">
        <f t="shared" si="81"/>
        <v>20-Mar-2010</v>
      </c>
    </row>
    <row r="2623" spans="1:20" x14ac:dyDescent="0.3">
      <c r="A2623">
        <v>34721</v>
      </c>
      <c r="B2623" s="1">
        <v>40483</v>
      </c>
      <c r="C2623" t="s">
        <v>31</v>
      </c>
      <c r="D2623" t="str">
        <f t="shared" si="80"/>
        <v>01-Nov-2010</v>
      </c>
      <c r="E2623">
        <v>46</v>
      </c>
      <c r="F2623" s="13">
        <v>503.17</v>
      </c>
      <c r="G2623">
        <v>0.01</v>
      </c>
      <c r="H2623" t="s">
        <v>19</v>
      </c>
      <c r="I2623" s="13">
        <v>-10.210000000000001</v>
      </c>
      <c r="J2623">
        <v>10.23</v>
      </c>
      <c r="K2623">
        <v>4.68</v>
      </c>
      <c r="L2623" t="s">
        <v>150</v>
      </c>
      <c r="M2623" t="s">
        <v>104</v>
      </c>
      <c r="N2623" s="5" t="s">
        <v>105</v>
      </c>
      <c r="O2623" t="s">
        <v>28</v>
      </c>
      <c r="P2623" t="s">
        <v>21</v>
      </c>
      <c r="Q2623" t="s">
        <v>67</v>
      </c>
      <c r="R2623">
        <v>0.59</v>
      </c>
      <c r="S2623" s="1">
        <v>40484</v>
      </c>
      <c r="T2623" t="str">
        <f t="shared" si="81"/>
        <v>02-Nov-2010</v>
      </c>
    </row>
    <row r="2624" spans="1:20" x14ac:dyDescent="0.3">
      <c r="A2624">
        <v>50310</v>
      </c>
      <c r="B2624" s="1">
        <v>40040</v>
      </c>
      <c r="C2624" t="s">
        <v>38</v>
      </c>
      <c r="D2624" t="str">
        <f t="shared" si="80"/>
        <v>15-Aug-2009</v>
      </c>
      <c r="E2624">
        <v>22</v>
      </c>
      <c r="F2624" s="13">
        <v>482.37</v>
      </c>
      <c r="G2624">
        <v>0.03</v>
      </c>
      <c r="H2624" t="s">
        <v>19</v>
      </c>
      <c r="I2624" s="13">
        <v>34.03</v>
      </c>
      <c r="J2624">
        <v>20.95</v>
      </c>
      <c r="K2624">
        <v>4</v>
      </c>
      <c r="L2624" t="s">
        <v>118</v>
      </c>
      <c r="M2624" t="s">
        <v>104</v>
      </c>
      <c r="N2624" s="5" t="s">
        <v>105</v>
      </c>
      <c r="O2624" t="s">
        <v>28</v>
      </c>
      <c r="P2624" t="s">
        <v>29</v>
      </c>
      <c r="Q2624" t="s">
        <v>41</v>
      </c>
      <c r="R2624">
        <v>0.6</v>
      </c>
      <c r="S2624" s="1">
        <v>40042</v>
      </c>
      <c r="T2624" t="str">
        <f t="shared" si="81"/>
        <v>17-Aug-2009</v>
      </c>
    </row>
    <row r="2625" spans="1:20" x14ac:dyDescent="0.3">
      <c r="A2625">
        <v>33284</v>
      </c>
      <c r="B2625" s="1">
        <v>40999</v>
      </c>
      <c r="C2625" t="s">
        <v>18</v>
      </c>
      <c r="D2625" t="str">
        <f t="shared" si="80"/>
        <v>31-Mar-2012</v>
      </c>
      <c r="E2625">
        <v>21</v>
      </c>
      <c r="F2625" s="13">
        <v>480.39</v>
      </c>
      <c r="G2625">
        <v>0.01</v>
      </c>
      <c r="H2625" t="s">
        <v>19</v>
      </c>
      <c r="I2625" s="13">
        <v>144.66</v>
      </c>
      <c r="J2625">
        <v>22.23</v>
      </c>
      <c r="K2625">
        <v>8.99</v>
      </c>
      <c r="L2625" t="s">
        <v>121</v>
      </c>
      <c r="M2625" t="s">
        <v>104</v>
      </c>
      <c r="N2625" s="5" t="s">
        <v>105</v>
      </c>
      <c r="O2625" t="s">
        <v>28</v>
      </c>
      <c r="P2625" t="s">
        <v>32</v>
      </c>
      <c r="Q2625" t="s">
        <v>33</v>
      </c>
      <c r="R2625">
        <v>0.41</v>
      </c>
      <c r="S2625" s="1">
        <v>41001</v>
      </c>
      <c r="T2625" t="str">
        <f t="shared" si="81"/>
        <v>02-Apr-2012</v>
      </c>
    </row>
    <row r="2626" spans="1:20" x14ac:dyDescent="0.3">
      <c r="A2626">
        <v>37668</v>
      </c>
      <c r="B2626" s="1">
        <v>40186</v>
      </c>
      <c r="C2626" t="s">
        <v>18</v>
      </c>
      <c r="D2626" t="str">
        <f t="shared" ref="D2626:D2689" si="82">TEXT(B2626, "dd-mmm-yyyy" )</f>
        <v>08-Jan-2010</v>
      </c>
      <c r="E2626">
        <v>33</v>
      </c>
      <c r="F2626" s="13">
        <v>478.27</v>
      </c>
      <c r="G2626">
        <v>0.01</v>
      </c>
      <c r="H2626" t="s">
        <v>19</v>
      </c>
      <c r="I2626" s="13">
        <v>-4.8499999999999996</v>
      </c>
      <c r="J2626">
        <v>13.99</v>
      </c>
      <c r="K2626">
        <v>7.51</v>
      </c>
      <c r="L2626" t="s">
        <v>382</v>
      </c>
      <c r="M2626" t="s">
        <v>104</v>
      </c>
      <c r="N2626" s="5" t="s">
        <v>105</v>
      </c>
      <c r="O2626" t="s">
        <v>28</v>
      </c>
      <c r="P2626" t="s">
        <v>29</v>
      </c>
      <c r="Q2626" t="s">
        <v>74</v>
      </c>
      <c r="R2626">
        <v>0.39</v>
      </c>
      <c r="S2626" s="1">
        <v>40186</v>
      </c>
      <c r="T2626" t="str">
        <f t="shared" ref="T2626:T2689" si="83">TEXT(S2626, "dd-mmm-yyyy")</f>
        <v>08-Jan-2010</v>
      </c>
    </row>
    <row r="2627" spans="1:20" x14ac:dyDescent="0.3">
      <c r="A2627">
        <v>27174</v>
      </c>
      <c r="B2627" s="1">
        <v>40824</v>
      </c>
      <c r="C2627" t="s">
        <v>43</v>
      </c>
      <c r="D2627" t="str">
        <f t="shared" si="82"/>
        <v>08-Oct-2011</v>
      </c>
      <c r="E2627">
        <v>17</v>
      </c>
      <c r="F2627" s="13">
        <v>477.50450000000001</v>
      </c>
      <c r="G2627">
        <v>0.09</v>
      </c>
      <c r="H2627" t="s">
        <v>19</v>
      </c>
      <c r="I2627" s="13">
        <v>-245.56</v>
      </c>
      <c r="J2627">
        <v>35.99</v>
      </c>
      <c r="K2627">
        <v>5</v>
      </c>
      <c r="L2627" t="s">
        <v>114</v>
      </c>
      <c r="M2627" t="s">
        <v>104</v>
      </c>
      <c r="N2627" s="5" t="s">
        <v>105</v>
      </c>
      <c r="O2627" t="s">
        <v>28</v>
      </c>
      <c r="P2627" t="s">
        <v>29</v>
      </c>
      <c r="Q2627" t="s">
        <v>30</v>
      </c>
      <c r="R2627">
        <v>0.85</v>
      </c>
      <c r="S2627" s="1">
        <v>40826</v>
      </c>
      <c r="T2627" t="str">
        <f t="shared" si="83"/>
        <v>10-Oct-2011</v>
      </c>
    </row>
    <row r="2628" spans="1:20" x14ac:dyDescent="0.3">
      <c r="A2628">
        <v>37250</v>
      </c>
      <c r="B2628" s="1">
        <v>40192</v>
      </c>
      <c r="C2628" t="s">
        <v>23</v>
      </c>
      <c r="D2628" t="str">
        <f t="shared" si="82"/>
        <v>14-Jan-2010</v>
      </c>
      <c r="E2628">
        <v>13</v>
      </c>
      <c r="F2628" s="13">
        <v>473.46</v>
      </c>
      <c r="G2628">
        <v>0.03</v>
      </c>
      <c r="H2628" t="s">
        <v>19</v>
      </c>
      <c r="I2628" s="13">
        <v>128.11000000000001</v>
      </c>
      <c r="J2628">
        <v>35.94</v>
      </c>
      <c r="K2628">
        <v>6.66</v>
      </c>
      <c r="L2628" t="s">
        <v>267</v>
      </c>
      <c r="M2628" t="s">
        <v>104</v>
      </c>
      <c r="N2628" s="5" t="s">
        <v>105</v>
      </c>
      <c r="O2628" t="s">
        <v>28</v>
      </c>
      <c r="P2628" t="s">
        <v>21</v>
      </c>
      <c r="Q2628" t="s">
        <v>42</v>
      </c>
      <c r="R2628">
        <v>0.4</v>
      </c>
      <c r="S2628" s="1">
        <v>40193</v>
      </c>
      <c r="T2628" t="str">
        <f t="shared" si="83"/>
        <v>15-Jan-2010</v>
      </c>
    </row>
    <row r="2629" spans="1:20" x14ac:dyDescent="0.3">
      <c r="A2629">
        <v>29185</v>
      </c>
      <c r="B2629" s="1">
        <v>40198</v>
      </c>
      <c r="C2629" t="s">
        <v>23</v>
      </c>
      <c r="D2629" t="str">
        <f t="shared" si="82"/>
        <v>20-Jan-2010</v>
      </c>
      <c r="E2629">
        <v>8</v>
      </c>
      <c r="F2629" s="13">
        <v>468.49</v>
      </c>
      <c r="G2629">
        <v>0.03</v>
      </c>
      <c r="H2629" t="s">
        <v>19</v>
      </c>
      <c r="I2629" s="13">
        <v>-6.37</v>
      </c>
      <c r="J2629">
        <v>56.96</v>
      </c>
      <c r="K2629">
        <v>13.22</v>
      </c>
      <c r="L2629" t="s">
        <v>125</v>
      </c>
      <c r="M2629" t="s">
        <v>104</v>
      </c>
      <c r="N2629" s="5" t="s">
        <v>105</v>
      </c>
      <c r="O2629" t="s">
        <v>28</v>
      </c>
      <c r="P2629" t="s">
        <v>21</v>
      </c>
      <c r="Q2629" t="s">
        <v>25</v>
      </c>
      <c r="R2629">
        <v>0.56000000000000005</v>
      </c>
      <c r="S2629" s="1">
        <v>40199</v>
      </c>
      <c r="T2629" t="str">
        <f t="shared" si="83"/>
        <v>21-Jan-2010</v>
      </c>
    </row>
    <row r="2630" spans="1:20" x14ac:dyDescent="0.3">
      <c r="A2630">
        <v>34787</v>
      </c>
      <c r="B2630" s="1">
        <v>40237</v>
      </c>
      <c r="C2630" t="s">
        <v>18</v>
      </c>
      <c r="D2630" t="str">
        <f t="shared" si="82"/>
        <v>28-Feb-2010</v>
      </c>
      <c r="E2630">
        <v>14</v>
      </c>
      <c r="F2630" s="13">
        <v>453.99</v>
      </c>
      <c r="G2630">
        <v>0.05</v>
      </c>
      <c r="H2630" t="s">
        <v>19</v>
      </c>
      <c r="I2630" s="13">
        <v>14.61</v>
      </c>
      <c r="J2630">
        <v>30.98</v>
      </c>
      <c r="K2630">
        <v>8.99</v>
      </c>
      <c r="L2630" t="s">
        <v>142</v>
      </c>
      <c r="M2630" t="s">
        <v>104</v>
      </c>
      <c r="N2630" s="5" t="s">
        <v>105</v>
      </c>
      <c r="O2630" t="s">
        <v>28</v>
      </c>
      <c r="P2630" t="s">
        <v>21</v>
      </c>
      <c r="Q2630" t="s">
        <v>50</v>
      </c>
      <c r="R2630">
        <v>0.57999999999999996</v>
      </c>
      <c r="S2630" s="1">
        <v>40239</v>
      </c>
      <c r="T2630" t="str">
        <f t="shared" si="83"/>
        <v>02-Mar-2010</v>
      </c>
    </row>
    <row r="2631" spans="1:20" x14ac:dyDescent="0.3">
      <c r="A2631">
        <v>37281</v>
      </c>
      <c r="B2631" s="1">
        <v>40053</v>
      </c>
      <c r="C2631" t="s">
        <v>38</v>
      </c>
      <c r="D2631" t="str">
        <f t="shared" si="82"/>
        <v>28-Aug-2009</v>
      </c>
      <c r="E2631">
        <v>25</v>
      </c>
      <c r="F2631" s="13">
        <v>453.24549999999999</v>
      </c>
      <c r="G2631">
        <v>0.05</v>
      </c>
      <c r="H2631" t="s">
        <v>19</v>
      </c>
      <c r="I2631" s="13">
        <v>3.31</v>
      </c>
      <c r="J2631">
        <v>20.99</v>
      </c>
      <c r="K2631">
        <v>4.8099999999999996</v>
      </c>
      <c r="L2631" t="s">
        <v>80</v>
      </c>
      <c r="M2631" t="s">
        <v>104</v>
      </c>
      <c r="N2631" s="5" t="s">
        <v>105</v>
      </c>
      <c r="O2631" t="s">
        <v>28</v>
      </c>
      <c r="P2631" t="s">
        <v>29</v>
      </c>
      <c r="Q2631" t="s">
        <v>30</v>
      </c>
      <c r="R2631">
        <v>0.57999999999999996</v>
      </c>
      <c r="S2631" s="1">
        <v>40054</v>
      </c>
      <c r="T2631" t="str">
        <f t="shared" si="83"/>
        <v>29-Aug-2009</v>
      </c>
    </row>
    <row r="2632" spans="1:20" x14ac:dyDescent="0.3">
      <c r="A2632">
        <v>6337</v>
      </c>
      <c r="B2632" s="1">
        <v>40786</v>
      </c>
      <c r="C2632" t="s">
        <v>31</v>
      </c>
      <c r="D2632" t="str">
        <f t="shared" si="82"/>
        <v>31-Aug-2011</v>
      </c>
      <c r="E2632">
        <v>1</v>
      </c>
      <c r="F2632" s="13">
        <v>449.42</v>
      </c>
      <c r="G2632">
        <v>7.0000000000000007E-2</v>
      </c>
      <c r="H2632" t="s">
        <v>24</v>
      </c>
      <c r="I2632" s="13">
        <v>-261.61</v>
      </c>
      <c r="J2632">
        <v>376.13</v>
      </c>
      <c r="K2632">
        <v>85.63</v>
      </c>
      <c r="L2632" t="s">
        <v>107</v>
      </c>
      <c r="M2632" t="s">
        <v>104</v>
      </c>
      <c r="N2632" s="5" t="s">
        <v>105</v>
      </c>
      <c r="O2632" t="s">
        <v>28</v>
      </c>
      <c r="P2632" t="s">
        <v>32</v>
      </c>
      <c r="Q2632" t="s">
        <v>46</v>
      </c>
      <c r="R2632">
        <v>0.74</v>
      </c>
      <c r="S2632" s="1">
        <v>40787</v>
      </c>
      <c r="T2632" t="str">
        <f t="shared" si="83"/>
        <v>01-Sep-2011</v>
      </c>
    </row>
    <row r="2633" spans="1:20" x14ac:dyDescent="0.3">
      <c r="A2633">
        <v>50950</v>
      </c>
      <c r="B2633" s="1">
        <v>41273</v>
      </c>
      <c r="C2633" t="s">
        <v>31</v>
      </c>
      <c r="D2633" t="str">
        <f t="shared" si="82"/>
        <v>30-Dec-2012</v>
      </c>
      <c r="E2633">
        <v>35</v>
      </c>
      <c r="F2633" s="13">
        <v>448.1</v>
      </c>
      <c r="G2633">
        <v>0.1</v>
      </c>
      <c r="H2633" t="s">
        <v>35</v>
      </c>
      <c r="I2633" s="13">
        <v>-15.07</v>
      </c>
      <c r="J2633">
        <v>13.48</v>
      </c>
      <c r="K2633">
        <v>4.51</v>
      </c>
      <c r="L2633" t="s">
        <v>244</v>
      </c>
      <c r="M2633" t="s">
        <v>104</v>
      </c>
      <c r="N2633" s="5" t="s">
        <v>105</v>
      </c>
      <c r="O2633" t="s">
        <v>28</v>
      </c>
      <c r="P2633" t="s">
        <v>21</v>
      </c>
      <c r="Q2633" t="s">
        <v>22</v>
      </c>
      <c r="R2633">
        <v>0.59</v>
      </c>
      <c r="S2633" s="1">
        <v>41273</v>
      </c>
      <c r="T2633" t="str">
        <f t="shared" si="83"/>
        <v>30-Dec-2012</v>
      </c>
    </row>
    <row r="2634" spans="1:20" x14ac:dyDescent="0.3">
      <c r="A2634">
        <v>37729</v>
      </c>
      <c r="B2634" s="1">
        <v>39828</v>
      </c>
      <c r="C2634" t="s">
        <v>31</v>
      </c>
      <c r="D2634" t="str">
        <f t="shared" si="82"/>
        <v>15-Jan-2009</v>
      </c>
      <c r="E2634">
        <v>48</v>
      </c>
      <c r="F2634" s="13">
        <v>447.89</v>
      </c>
      <c r="G2634">
        <v>0</v>
      </c>
      <c r="H2634" t="s">
        <v>19</v>
      </c>
      <c r="I2634" s="13">
        <v>-26.78</v>
      </c>
      <c r="J2634">
        <v>8.6</v>
      </c>
      <c r="K2634">
        <v>6.19</v>
      </c>
      <c r="L2634" t="s">
        <v>120</v>
      </c>
      <c r="M2634" t="s">
        <v>104</v>
      </c>
      <c r="N2634" s="5" t="s">
        <v>105</v>
      </c>
      <c r="O2634" t="s">
        <v>28</v>
      </c>
      <c r="P2634" t="s">
        <v>21</v>
      </c>
      <c r="Q2634" t="s">
        <v>26</v>
      </c>
      <c r="R2634">
        <v>0.38</v>
      </c>
      <c r="S2634" s="1">
        <v>39828</v>
      </c>
      <c r="T2634" t="str">
        <f t="shared" si="83"/>
        <v>15-Jan-2009</v>
      </c>
    </row>
    <row r="2635" spans="1:20" x14ac:dyDescent="0.3">
      <c r="A2635">
        <v>7169</v>
      </c>
      <c r="B2635" s="1">
        <v>40263</v>
      </c>
      <c r="C2635" t="s">
        <v>38</v>
      </c>
      <c r="D2635" t="str">
        <f t="shared" si="82"/>
        <v>26-Mar-2010</v>
      </c>
      <c r="E2635">
        <v>22</v>
      </c>
      <c r="F2635" s="13">
        <v>446.72</v>
      </c>
      <c r="G2635">
        <v>0.05</v>
      </c>
      <c r="H2635" t="s">
        <v>19</v>
      </c>
      <c r="I2635" s="13">
        <v>-39</v>
      </c>
      <c r="J2635">
        <v>20.28</v>
      </c>
      <c r="K2635">
        <v>14.39</v>
      </c>
      <c r="L2635" t="s">
        <v>121</v>
      </c>
      <c r="M2635" t="s">
        <v>104</v>
      </c>
      <c r="N2635" s="5" t="s">
        <v>105</v>
      </c>
      <c r="O2635" t="s">
        <v>28</v>
      </c>
      <c r="P2635" t="s">
        <v>32</v>
      </c>
      <c r="Q2635" t="s">
        <v>33</v>
      </c>
      <c r="R2635">
        <v>0.47</v>
      </c>
      <c r="S2635" s="1">
        <v>40265</v>
      </c>
      <c r="T2635" t="str">
        <f t="shared" si="83"/>
        <v>28-Mar-2010</v>
      </c>
    </row>
    <row r="2636" spans="1:20" x14ac:dyDescent="0.3">
      <c r="A2636">
        <v>29185</v>
      </c>
      <c r="B2636" s="1">
        <v>40198</v>
      </c>
      <c r="C2636" t="s">
        <v>23</v>
      </c>
      <c r="D2636" t="str">
        <f t="shared" si="82"/>
        <v>20-Jan-2010</v>
      </c>
      <c r="E2636">
        <v>48</v>
      </c>
      <c r="F2636" s="13">
        <v>446.53</v>
      </c>
      <c r="G2636">
        <v>0.04</v>
      </c>
      <c r="H2636" t="s">
        <v>35</v>
      </c>
      <c r="I2636" s="13">
        <v>-261.45</v>
      </c>
      <c r="J2636">
        <v>8.3699999999999992</v>
      </c>
      <c r="K2636">
        <v>10.16</v>
      </c>
      <c r="L2636" t="s">
        <v>125</v>
      </c>
      <c r="M2636" t="s">
        <v>104</v>
      </c>
      <c r="N2636" s="5" t="s">
        <v>105</v>
      </c>
      <c r="O2636" t="s">
        <v>28</v>
      </c>
      <c r="P2636" t="s">
        <v>32</v>
      </c>
      <c r="Q2636" t="s">
        <v>33</v>
      </c>
      <c r="R2636">
        <v>0.59</v>
      </c>
      <c r="S2636" s="1">
        <v>40200</v>
      </c>
      <c r="T2636" t="str">
        <f t="shared" si="83"/>
        <v>22-Jan-2010</v>
      </c>
    </row>
    <row r="2637" spans="1:20" x14ac:dyDescent="0.3">
      <c r="A2637">
        <v>24132</v>
      </c>
      <c r="B2637" s="1">
        <v>40000</v>
      </c>
      <c r="C2637" t="s">
        <v>18</v>
      </c>
      <c r="D2637" t="str">
        <f t="shared" si="82"/>
        <v>06-Jul-2009</v>
      </c>
      <c r="E2637">
        <v>22</v>
      </c>
      <c r="F2637" s="13">
        <v>446.46</v>
      </c>
      <c r="G2637">
        <v>0.04</v>
      </c>
      <c r="H2637" t="s">
        <v>19</v>
      </c>
      <c r="I2637" s="13">
        <v>-1.88</v>
      </c>
      <c r="J2637">
        <v>20.95</v>
      </c>
      <c r="K2637">
        <v>4</v>
      </c>
      <c r="L2637" t="s">
        <v>107</v>
      </c>
      <c r="M2637" t="s">
        <v>104</v>
      </c>
      <c r="N2637" s="5" t="s">
        <v>105</v>
      </c>
      <c r="O2637" t="s">
        <v>28</v>
      </c>
      <c r="P2637" t="s">
        <v>29</v>
      </c>
      <c r="Q2637" t="s">
        <v>41</v>
      </c>
      <c r="R2637">
        <v>0.6</v>
      </c>
      <c r="S2637" s="1">
        <v>40005</v>
      </c>
      <c r="T2637" t="str">
        <f t="shared" si="83"/>
        <v>11-Jul-2009</v>
      </c>
    </row>
    <row r="2638" spans="1:20" x14ac:dyDescent="0.3">
      <c r="A2638">
        <v>8992</v>
      </c>
      <c r="B2638" s="1">
        <v>40494</v>
      </c>
      <c r="C2638" t="s">
        <v>23</v>
      </c>
      <c r="D2638" t="str">
        <f t="shared" si="82"/>
        <v>12-Nov-2010</v>
      </c>
      <c r="E2638">
        <v>3</v>
      </c>
      <c r="F2638" s="13">
        <v>441.43</v>
      </c>
      <c r="G2638">
        <v>0.06</v>
      </c>
      <c r="H2638" t="s">
        <v>19</v>
      </c>
      <c r="I2638" s="13">
        <v>-154.44999999999999</v>
      </c>
      <c r="J2638">
        <v>140.81</v>
      </c>
      <c r="K2638">
        <v>24.49</v>
      </c>
      <c r="L2638" t="s">
        <v>122</v>
      </c>
      <c r="M2638" t="s">
        <v>104</v>
      </c>
      <c r="N2638" s="5" t="s">
        <v>105</v>
      </c>
      <c r="O2638" t="s">
        <v>28</v>
      </c>
      <c r="P2638" t="s">
        <v>32</v>
      </c>
      <c r="Q2638" t="s">
        <v>56</v>
      </c>
      <c r="R2638">
        <v>0.56999999999999995</v>
      </c>
      <c r="S2638" s="1">
        <v>40495</v>
      </c>
      <c r="T2638" t="str">
        <f t="shared" si="83"/>
        <v>13-Nov-2010</v>
      </c>
    </row>
    <row r="2639" spans="1:20" x14ac:dyDescent="0.3">
      <c r="A2639">
        <v>24070</v>
      </c>
      <c r="B2639" s="1">
        <v>40617</v>
      </c>
      <c r="C2639" t="s">
        <v>23</v>
      </c>
      <c r="D2639" t="str">
        <f t="shared" si="82"/>
        <v>15-Mar-2011</v>
      </c>
      <c r="E2639">
        <v>3</v>
      </c>
      <c r="F2639" s="13">
        <v>431.29</v>
      </c>
      <c r="G2639">
        <v>0.1</v>
      </c>
      <c r="H2639" t="s">
        <v>19</v>
      </c>
      <c r="I2639" s="13">
        <v>-164.59</v>
      </c>
      <c r="J2639">
        <v>140.81</v>
      </c>
      <c r="K2639">
        <v>24.49</v>
      </c>
      <c r="L2639" t="s">
        <v>112</v>
      </c>
      <c r="M2639" t="s">
        <v>104</v>
      </c>
      <c r="N2639" s="5" t="s">
        <v>105</v>
      </c>
      <c r="O2639" t="s">
        <v>28</v>
      </c>
      <c r="P2639" t="s">
        <v>32</v>
      </c>
      <c r="Q2639" t="s">
        <v>56</v>
      </c>
      <c r="R2639">
        <v>0.56999999999999995</v>
      </c>
      <c r="S2639" s="1">
        <v>40618</v>
      </c>
      <c r="T2639" t="str">
        <f t="shared" si="83"/>
        <v>16-Mar-2011</v>
      </c>
    </row>
    <row r="2640" spans="1:20" x14ac:dyDescent="0.3">
      <c r="A2640">
        <v>39041</v>
      </c>
      <c r="B2640" s="1">
        <v>40842</v>
      </c>
      <c r="C2640" t="s">
        <v>43</v>
      </c>
      <c r="D2640" t="str">
        <f t="shared" si="82"/>
        <v>26-Oct-2011</v>
      </c>
      <c r="E2640">
        <v>47</v>
      </c>
      <c r="F2640" s="13">
        <v>418.03</v>
      </c>
      <c r="G2640">
        <v>0</v>
      </c>
      <c r="H2640" t="s">
        <v>35</v>
      </c>
      <c r="I2640" s="13">
        <v>-158.58000000000001</v>
      </c>
      <c r="J2640">
        <v>8.09</v>
      </c>
      <c r="K2640">
        <v>7.96</v>
      </c>
      <c r="L2640" t="s">
        <v>378</v>
      </c>
      <c r="M2640" t="s">
        <v>104</v>
      </c>
      <c r="N2640" s="5" t="s">
        <v>105</v>
      </c>
      <c r="O2640" t="s">
        <v>28</v>
      </c>
      <c r="P2640" t="s">
        <v>32</v>
      </c>
      <c r="Q2640" t="s">
        <v>33</v>
      </c>
      <c r="R2640">
        <v>0.49</v>
      </c>
      <c r="S2640" s="1">
        <v>40842</v>
      </c>
      <c r="T2640" t="str">
        <f t="shared" si="83"/>
        <v>26-Oct-2011</v>
      </c>
    </row>
    <row r="2641" spans="1:20" x14ac:dyDescent="0.3">
      <c r="A2641">
        <v>49026</v>
      </c>
      <c r="B2641" s="1">
        <v>40609</v>
      </c>
      <c r="C2641" t="s">
        <v>18</v>
      </c>
      <c r="D2641" t="str">
        <f t="shared" si="82"/>
        <v>07-Mar-2011</v>
      </c>
      <c r="E2641">
        <v>36</v>
      </c>
      <c r="F2641" s="13">
        <v>411.75</v>
      </c>
      <c r="G2641">
        <v>0.05</v>
      </c>
      <c r="H2641" t="s">
        <v>19</v>
      </c>
      <c r="I2641" s="13">
        <v>-182.87</v>
      </c>
      <c r="J2641">
        <v>11.66</v>
      </c>
      <c r="K2641">
        <v>8.99</v>
      </c>
      <c r="L2641" t="s">
        <v>379</v>
      </c>
      <c r="M2641" t="s">
        <v>104</v>
      </c>
      <c r="N2641" s="5" t="s">
        <v>105</v>
      </c>
      <c r="O2641" t="s">
        <v>28</v>
      </c>
      <c r="P2641" t="s">
        <v>21</v>
      </c>
      <c r="Q2641" t="s">
        <v>50</v>
      </c>
      <c r="R2641">
        <v>0.59</v>
      </c>
      <c r="S2641" s="1">
        <v>40614</v>
      </c>
      <c r="T2641" t="str">
        <f t="shared" si="83"/>
        <v>12-Mar-2011</v>
      </c>
    </row>
    <row r="2642" spans="1:20" x14ac:dyDescent="0.3">
      <c r="A2642">
        <v>17507</v>
      </c>
      <c r="B2642" s="1">
        <v>41072</v>
      </c>
      <c r="C2642" t="s">
        <v>38</v>
      </c>
      <c r="D2642" t="str">
        <f t="shared" si="82"/>
        <v>12-Jun-2012</v>
      </c>
      <c r="E2642">
        <v>27</v>
      </c>
      <c r="F2642" s="13">
        <v>399.76</v>
      </c>
      <c r="G2642">
        <v>0.04</v>
      </c>
      <c r="H2642" t="s">
        <v>19</v>
      </c>
      <c r="I2642" s="13">
        <v>48.13</v>
      </c>
      <c r="J2642">
        <v>14.56</v>
      </c>
      <c r="K2642">
        <v>3.5</v>
      </c>
      <c r="L2642" t="s">
        <v>121</v>
      </c>
      <c r="M2642" t="s">
        <v>104</v>
      </c>
      <c r="N2642" s="5" t="s">
        <v>105</v>
      </c>
      <c r="O2642" t="s">
        <v>28</v>
      </c>
      <c r="P2642" t="s">
        <v>21</v>
      </c>
      <c r="Q2642" t="s">
        <v>25</v>
      </c>
      <c r="R2642">
        <v>0.57999999999999996</v>
      </c>
      <c r="S2642" s="1">
        <v>41072</v>
      </c>
      <c r="T2642" t="str">
        <f t="shared" si="83"/>
        <v>12-Jun-2012</v>
      </c>
    </row>
    <row r="2643" spans="1:20" x14ac:dyDescent="0.3">
      <c r="A2643">
        <v>59233</v>
      </c>
      <c r="B2643" s="1">
        <v>40410</v>
      </c>
      <c r="C2643" t="s">
        <v>23</v>
      </c>
      <c r="D2643" t="str">
        <f t="shared" si="82"/>
        <v>20-Aug-2010</v>
      </c>
      <c r="E2643">
        <v>30</v>
      </c>
      <c r="F2643" s="13">
        <v>397.17</v>
      </c>
      <c r="G2643">
        <v>0.1</v>
      </c>
      <c r="H2643" t="s">
        <v>35</v>
      </c>
      <c r="I2643" s="13">
        <v>7.69</v>
      </c>
      <c r="J2643">
        <v>14.34</v>
      </c>
      <c r="K2643">
        <v>5</v>
      </c>
      <c r="L2643" t="s">
        <v>77</v>
      </c>
      <c r="M2643" t="s">
        <v>104</v>
      </c>
      <c r="N2643" s="5" t="s">
        <v>105</v>
      </c>
      <c r="O2643" t="s">
        <v>28</v>
      </c>
      <c r="P2643" t="s">
        <v>32</v>
      </c>
      <c r="Q2643" t="s">
        <v>33</v>
      </c>
      <c r="R2643">
        <v>0.49</v>
      </c>
      <c r="S2643" s="1">
        <v>40410</v>
      </c>
      <c r="T2643" t="str">
        <f t="shared" si="83"/>
        <v>20-Aug-2010</v>
      </c>
    </row>
    <row r="2644" spans="1:20" x14ac:dyDescent="0.3">
      <c r="A2644">
        <v>39232</v>
      </c>
      <c r="B2644" s="1">
        <v>40736</v>
      </c>
      <c r="C2644" t="s">
        <v>18</v>
      </c>
      <c r="D2644" t="str">
        <f t="shared" si="82"/>
        <v>12-Jul-2011</v>
      </c>
      <c r="E2644">
        <v>11</v>
      </c>
      <c r="F2644" s="13">
        <v>391.9</v>
      </c>
      <c r="G2644">
        <v>0.1</v>
      </c>
      <c r="H2644" t="s">
        <v>19</v>
      </c>
      <c r="I2644" s="13">
        <v>-47.01</v>
      </c>
      <c r="J2644">
        <v>35.44</v>
      </c>
      <c r="K2644">
        <v>19.989999999999998</v>
      </c>
      <c r="L2644" t="s">
        <v>378</v>
      </c>
      <c r="M2644" t="s">
        <v>104</v>
      </c>
      <c r="N2644" s="5" t="s">
        <v>105</v>
      </c>
      <c r="O2644" t="s">
        <v>28</v>
      </c>
      <c r="P2644" t="s">
        <v>21</v>
      </c>
      <c r="Q2644" t="s">
        <v>37</v>
      </c>
      <c r="R2644">
        <v>0.38</v>
      </c>
      <c r="S2644" s="1">
        <v>40738</v>
      </c>
      <c r="T2644" t="str">
        <f t="shared" si="83"/>
        <v>14-Jul-2011</v>
      </c>
    </row>
    <row r="2645" spans="1:20" x14ac:dyDescent="0.3">
      <c r="A2645">
        <v>50950</v>
      </c>
      <c r="B2645" s="1">
        <v>41273</v>
      </c>
      <c r="C2645" t="s">
        <v>31</v>
      </c>
      <c r="D2645" t="str">
        <f t="shared" si="82"/>
        <v>30-Dec-2012</v>
      </c>
      <c r="E2645">
        <v>6</v>
      </c>
      <c r="F2645" s="13">
        <v>391.12</v>
      </c>
      <c r="G2645">
        <v>0.06</v>
      </c>
      <c r="H2645" t="s">
        <v>24</v>
      </c>
      <c r="I2645" s="13">
        <v>-166.96</v>
      </c>
      <c r="J2645">
        <v>60.98</v>
      </c>
      <c r="K2645">
        <v>30</v>
      </c>
      <c r="L2645" t="s">
        <v>244</v>
      </c>
      <c r="M2645" t="s">
        <v>104</v>
      </c>
      <c r="N2645" s="5" t="s">
        <v>105</v>
      </c>
      <c r="O2645" t="s">
        <v>28</v>
      </c>
      <c r="P2645" t="s">
        <v>32</v>
      </c>
      <c r="Q2645" t="s">
        <v>56</v>
      </c>
      <c r="R2645">
        <v>0.7</v>
      </c>
      <c r="S2645" s="1">
        <v>41273</v>
      </c>
      <c r="T2645" t="str">
        <f t="shared" si="83"/>
        <v>30-Dec-2012</v>
      </c>
    </row>
    <row r="2646" spans="1:20" x14ac:dyDescent="0.3">
      <c r="A2646">
        <v>40485</v>
      </c>
      <c r="B2646" s="1">
        <v>40174</v>
      </c>
      <c r="C2646" t="s">
        <v>31</v>
      </c>
      <c r="D2646" t="str">
        <f t="shared" si="82"/>
        <v>27-Dec-2009</v>
      </c>
      <c r="E2646">
        <v>7</v>
      </c>
      <c r="F2646" s="13">
        <v>388.71350000000001</v>
      </c>
      <c r="G2646">
        <v>0.01</v>
      </c>
      <c r="H2646" t="s">
        <v>19</v>
      </c>
      <c r="I2646" s="13">
        <v>-190.42</v>
      </c>
      <c r="J2646">
        <v>65.989999999999995</v>
      </c>
      <c r="K2646">
        <v>3.99</v>
      </c>
      <c r="L2646" t="s">
        <v>384</v>
      </c>
      <c r="M2646" t="s">
        <v>104</v>
      </c>
      <c r="N2646" s="5" t="s">
        <v>105</v>
      </c>
      <c r="O2646" t="s">
        <v>28</v>
      </c>
      <c r="P2646" t="s">
        <v>29</v>
      </c>
      <c r="Q2646" t="s">
        <v>30</v>
      </c>
      <c r="R2646">
        <v>0.59</v>
      </c>
      <c r="S2646" s="1">
        <v>40175</v>
      </c>
      <c r="T2646" t="str">
        <f t="shared" si="83"/>
        <v>28-Dec-2009</v>
      </c>
    </row>
    <row r="2647" spans="1:20" x14ac:dyDescent="0.3">
      <c r="A2647">
        <v>23907</v>
      </c>
      <c r="B2647" s="1">
        <v>40738</v>
      </c>
      <c r="C2647" t="s">
        <v>31</v>
      </c>
      <c r="D2647" t="str">
        <f t="shared" si="82"/>
        <v>14-Jul-2011</v>
      </c>
      <c r="E2647">
        <v>7</v>
      </c>
      <c r="F2647" s="13">
        <v>384.2</v>
      </c>
      <c r="G2647">
        <v>0.05</v>
      </c>
      <c r="H2647" t="s">
        <v>19</v>
      </c>
      <c r="I2647" s="13">
        <v>-164.46</v>
      </c>
      <c r="J2647">
        <v>65.989999999999995</v>
      </c>
      <c r="K2647">
        <v>2.5</v>
      </c>
      <c r="L2647" t="s">
        <v>106</v>
      </c>
      <c r="M2647" t="s">
        <v>104</v>
      </c>
      <c r="N2647" s="5" t="s">
        <v>105</v>
      </c>
      <c r="O2647" t="s">
        <v>28</v>
      </c>
      <c r="P2647" t="s">
        <v>29</v>
      </c>
      <c r="Q2647" t="s">
        <v>30</v>
      </c>
      <c r="R2647">
        <v>0.55000000000000004</v>
      </c>
      <c r="S2647" s="1">
        <v>40738</v>
      </c>
      <c r="T2647" t="str">
        <f t="shared" si="83"/>
        <v>14-Jul-2011</v>
      </c>
    </row>
    <row r="2648" spans="1:20" x14ac:dyDescent="0.3">
      <c r="A2648">
        <v>31619</v>
      </c>
      <c r="B2648" s="1">
        <v>40073</v>
      </c>
      <c r="C2648" t="s">
        <v>18</v>
      </c>
      <c r="D2648" t="str">
        <f t="shared" si="82"/>
        <v>17-Sep-2009</v>
      </c>
      <c r="E2648">
        <v>9</v>
      </c>
      <c r="F2648" s="13">
        <v>383.23</v>
      </c>
      <c r="G2648">
        <v>0.01</v>
      </c>
      <c r="H2648" t="s">
        <v>19</v>
      </c>
      <c r="I2648" s="13">
        <v>146.51</v>
      </c>
      <c r="J2648">
        <v>39.979999999999997</v>
      </c>
      <c r="K2648">
        <v>9.1999999999999993</v>
      </c>
      <c r="L2648" t="s">
        <v>389</v>
      </c>
      <c r="M2648" t="s">
        <v>104</v>
      </c>
      <c r="N2648" s="5" t="s">
        <v>105</v>
      </c>
      <c r="O2648" t="s">
        <v>28</v>
      </c>
      <c r="P2648" t="s">
        <v>32</v>
      </c>
      <c r="Q2648" t="s">
        <v>33</v>
      </c>
      <c r="R2648">
        <v>0.65</v>
      </c>
      <c r="S2648" s="1">
        <v>40075</v>
      </c>
      <c r="T2648" t="str">
        <f t="shared" si="83"/>
        <v>19-Sep-2009</v>
      </c>
    </row>
    <row r="2649" spans="1:20" x14ac:dyDescent="0.3">
      <c r="A2649">
        <v>45158</v>
      </c>
      <c r="B2649" s="1">
        <v>40278</v>
      </c>
      <c r="C2649" t="s">
        <v>18</v>
      </c>
      <c r="D2649" t="str">
        <f t="shared" si="82"/>
        <v>10-Apr-2010</v>
      </c>
      <c r="E2649">
        <v>40</v>
      </c>
      <c r="F2649" s="13">
        <v>375.52</v>
      </c>
      <c r="G2649">
        <v>0.09</v>
      </c>
      <c r="H2649" t="s">
        <v>19</v>
      </c>
      <c r="I2649" s="13">
        <v>131.69999999999999</v>
      </c>
      <c r="J2649">
        <v>9.68</v>
      </c>
      <c r="K2649">
        <v>2.0299999999999998</v>
      </c>
      <c r="L2649" t="s">
        <v>386</v>
      </c>
      <c r="M2649" t="s">
        <v>104</v>
      </c>
      <c r="N2649" s="5" t="s">
        <v>105</v>
      </c>
      <c r="O2649" t="s">
        <v>28</v>
      </c>
      <c r="P2649" t="s">
        <v>21</v>
      </c>
      <c r="Q2649" t="s">
        <v>37</v>
      </c>
      <c r="R2649">
        <v>0.37</v>
      </c>
      <c r="S2649" s="1">
        <v>40280</v>
      </c>
      <c r="T2649" t="str">
        <f t="shared" si="83"/>
        <v>12-Apr-2010</v>
      </c>
    </row>
    <row r="2650" spans="1:20" x14ac:dyDescent="0.3">
      <c r="A2650">
        <v>47011</v>
      </c>
      <c r="B2650" s="1">
        <v>39863</v>
      </c>
      <c r="C2650" t="s">
        <v>23</v>
      </c>
      <c r="D2650" t="str">
        <f t="shared" si="82"/>
        <v>19-Feb-2009</v>
      </c>
      <c r="E2650">
        <v>33</v>
      </c>
      <c r="F2650" s="13">
        <v>373.13</v>
      </c>
      <c r="G2650">
        <v>0.05</v>
      </c>
      <c r="H2650" t="s">
        <v>19</v>
      </c>
      <c r="I2650" s="13">
        <v>-35.26</v>
      </c>
      <c r="J2650">
        <v>11.29</v>
      </c>
      <c r="K2650">
        <v>5.03</v>
      </c>
      <c r="L2650" t="s">
        <v>379</v>
      </c>
      <c r="M2650" t="s">
        <v>104</v>
      </c>
      <c r="N2650" s="5" t="s">
        <v>105</v>
      </c>
      <c r="O2650" t="s">
        <v>28</v>
      </c>
      <c r="P2650" t="s">
        <v>21</v>
      </c>
      <c r="Q2650" t="s">
        <v>22</v>
      </c>
      <c r="R2650">
        <v>0.59</v>
      </c>
      <c r="S2650" s="1">
        <v>39865</v>
      </c>
      <c r="T2650" t="str">
        <f t="shared" si="83"/>
        <v>21-Feb-2009</v>
      </c>
    </row>
    <row r="2651" spans="1:20" x14ac:dyDescent="0.3">
      <c r="A2651">
        <v>48293</v>
      </c>
      <c r="B2651" s="1">
        <v>41008</v>
      </c>
      <c r="C2651" t="s">
        <v>43</v>
      </c>
      <c r="D2651" t="str">
        <f t="shared" si="82"/>
        <v>09-Apr-2012</v>
      </c>
      <c r="E2651">
        <v>47</v>
      </c>
      <c r="F2651" s="13">
        <v>370.6</v>
      </c>
      <c r="G2651">
        <v>0.03</v>
      </c>
      <c r="H2651" t="s">
        <v>19</v>
      </c>
      <c r="I2651" s="13">
        <v>160.72</v>
      </c>
      <c r="J2651">
        <v>7.64</v>
      </c>
      <c r="K2651">
        <v>1.39</v>
      </c>
      <c r="L2651" t="s">
        <v>382</v>
      </c>
      <c r="M2651" t="s">
        <v>104</v>
      </c>
      <c r="N2651" s="5" t="s">
        <v>105</v>
      </c>
      <c r="O2651" t="s">
        <v>28</v>
      </c>
      <c r="P2651" t="s">
        <v>21</v>
      </c>
      <c r="Q2651" t="s">
        <v>42</v>
      </c>
      <c r="R2651">
        <v>0.36</v>
      </c>
      <c r="S2651" s="1">
        <v>41009</v>
      </c>
      <c r="T2651" t="str">
        <f t="shared" si="83"/>
        <v>10-Apr-2012</v>
      </c>
    </row>
    <row r="2652" spans="1:20" x14ac:dyDescent="0.3">
      <c r="A2652">
        <v>52580</v>
      </c>
      <c r="B2652" s="1">
        <v>41149</v>
      </c>
      <c r="C2652" t="s">
        <v>23</v>
      </c>
      <c r="D2652" t="str">
        <f t="shared" si="82"/>
        <v>28-Aug-2012</v>
      </c>
      <c r="E2652">
        <v>16</v>
      </c>
      <c r="F2652" s="13">
        <v>367.09</v>
      </c>
      <c r="G2652">
        <v>0.04</v>
      </c>
      <c r="H2652" t="s">
        <v>19</v>
      </c>
      <c r="I2652" s="13">
        <v>74.2</v>
      </c>
      <c r="J2652">
        <v>22.98</v>
      </c>
      <c r="K2652">
        <v>1.99</v>
      </c>
      <c r="L2652" t="s">
        <v>334</v>
      </c>
      <c r="M2652" t="s">
        <v>104</v>
      </c>
      <c r="N2652" s="5" t="s">
        <v>105</v>
      </c>
      <c r="O2652" t="s">
        <v>28</v>
      </c>
      <c r="P2652" t="s">
        <v>29</v>
      </c>
      <c r="Q2652" t="s">
        <v>41</v>
      </c>
      <c r="R2652">
        <v>0.46</v>
      </c>
      <c r="S2652" s="1">
        <v>41151</v>
      </c>
      <c r="T2652" t="str">
        <f t="shared" si="83"/>
        <v>30-Aug-2012</v>
      </c>
    </row>
    <row r="2653" spans="1:20" x14ac:dyDescent="0.3">
      <c r="A2653">
        <v>18145</v>
      </c>
      <c r="B2653" s="1">
        <v>40425</v>
      </c>
      <c r="C2653" t="s">
        <v>38</v>
      </c>
      <c r="D2653" t="str">
        <f t="shared" si="82"/>
        <v>04-Sep-2010</v>
      </c>
      <c r="E2653">
        <v>21</v>
      </c>
      <c r="F2653" s="13">
        <v>361.98</v>
      </c>
      <c r="G2653">
        <v>0</v>
      </c>
      <c r="H2653" t="s">
        <v>19</v>
      </c>
      <c r="I2653" s="13">
        <v>-55.61</v>
      </c>
      <c r="J2653">
        <v>15.99</v>
      </c>
      <c r="K2653">
        <v>9.4</v>
      </c>
      <c r="L2653" t="s">
        <v>393</v>
      </c>
      <c r="M2653" t="s">
        <v>104</v>
      </c>
      <c r="N2653" s="5" t="s">
        <v>105</v>
      </c>
      <c r="O2653" t="s">
        <v>28</v>
      </c>
      <c r="P2653" t="s">
        <v>29</v>
      </c>
      <c r="Q2653" t="s">
        <v>74</v>
      </c>
      <c r="R2653">
        <v>0.49</v>
      </c>
      <c r="S2653" s="1">
        <v>40426</v>
      </c>
      <c r="T2653" t="str">
        <f t="shared" si="83"/>
        <v>05-Sep-2010</v>
      </c>
    </row>
    <row r="2654" spans="1:20" x14ac:dyDescent="0.3">
      <c r="A2654">
        <v>19234</v>
      </c>
      <c r="B2654" s="1">
        <v>39837</v>
      </c>
      <c r="C2654" t="s">
        <v>23</v>
      </c>
      <c r="D2654" t="str">
        <f t="shared" si="82"/>
        <v>24-Jan-2009</v>
      </c>
      <c r="E2654">
        <v>24</v>
      </c>
      <c r="F2654" s="13">
        <v>359.65</v>
      </c>
      <c r="G2654">
        <v>0.01</v>
      </c>
      <c r="H2654" t="s">
        <v>19</v>
      </c>
      <c r="I2654" s="13">
        <v>-11.15</v>
      </c>
      <c r="J2654">
        <v>14.42</v>
      </c>
      <c r="K2654">
        <v>6.75</v>
      </c>
      <c r="L2654" t="s">
        <v>265</v>
      </c>
      <c r="M2654" t="s">
        <v>104</v>
      </c>
      <c r="N2654" s="5" t="s">
        <v>105</v>
      </c>
      <c r="O2654" t="s">
        <v>28</v>
      </c>
      <c r="P2654" t="s">
        <v>21</v>
      </c>
      <c r="Q2654" t="s">
        <v>25</v>
      </c>
      <c r="R2654">
        <v>0.52</v>
      </c>
      <c r="S2654" s="1">
        <v>39837</v>
      </c>
      <c r="T2654" t="str">
        <f t="shared" si="83"/>
        <v>24-Jan-2009</v>
      </c>
    </row>
    <row r="2655" spans="1:20" x14ac:dyDescent="0.3">
      <c r="A2655">
        <v>57633</v>
      </c>
      <c r="B2655" s="1">
        <v>40580</v>
      </c>
      <c r="C2655" t="s">
        <v>23</v>
      </c>
      <c r="D2655" t="str">
        <f t="shared" si="82"/>
        <v>06-Feb-2011</v>
      </c>
      <c r="E2655">
        <v>12</v>
      </c>
      <c r="F2655" s="13">
        <v>351.12</v>
      </c>
      <c r="G2655">
        <v>0.09</v>
      </c>
      <c r="H2655" t="s">
        <v>35</v>
      </c>
      <c r="I2655" s="13">
        <v>202.63</v>
      </c>
      <c r="J2655">
        <v>30.93</v>
      </c>
      <c r="K2655">
        <v>3.92</v>
      </c>
      <c r="L2655" t="s">
        <v>268</v>
      </c>
      <c r="M2655" t="s">
        <v>104</v>
      </c>
      <c r="N2655" s="5" t="s">
        <v>105</v>
      </c>
      <c r="O2655" t="s">
        <v>28</v>
      </c>
      <c r="P2655" t="s">
        <v>32</v>
      </c>
      <c r="Q2655" t="s">
        <v>33</v>
      </c>
      <c r="R2655">
        <v>0.44</v>
      </c>
      <c r="S2655" s="1">
        <v>40581</v>
      </c>
      <c r="T2655" t="str">
        <f t="shared" si="83"/>
        <v>07-Feb-2011</v>
      </c>
    </row>
    <row r="2656" spans="1:20" x14ac:dyDescent="0.3">
      <c r="A2656">
        <v>35875</v>
      </c>
      <c r="B2656" s="1">
        <v>40708</v>
      </c>
      <c r="C2656" t="s">
        <v>23</v>
      </c>
      <c r="D2656" t="str">
        <f t="shared" si="82"/>
        <v>14-Jun-2011</v>
      </c>
      <c r="E2656">
        <v>31</v>
      </c>
      <c r="F2656" s="13">
        <v>348.92</v>
      </c>
      <c r="G2656">
        <v>0.06</v>
      </c>
      <c r="H2656" t="s">
        <v>19</v>
      </c>
      <c r="I2656" s="13">
        <v>28.47</v>
      </c>
      <c r="J2656">
        <v>10.98</v>
      </c>
      <c r="K2656">
        <v>3.37</v>
      </c>
      <c r="L2656" t="s">
        <v>265</v>
      </c>
      <c r="M2656" t="s">
        <v>104</v>
      </c>
      <c r="N2656" s="5" t="s">
        <v>105</v>
      </c>
      <c r="O2656" t="s">
        <v>28</v>
      </c>
      <c r="P2656" t="s">
        <v>21</v>
      </c>
      <c r="Q2656" t="s">
        <v>67</v>
      </c>
      <c r="R2656">
        <v>0.56999999999999995</v>
      </c>
      <c r="S2656" s="1">
        <v>40708</v>
      </c>
      <c r="T2656" t="str">
        <f t="shared" si="83"/>
        <v>14-Jun-2011</v>
      </c>
    </row>
    <row r="2657" spans="1:20" x14ac:dyDescent="0.3">
      <c r="A2657">
        <v>38336</v>
      </c>
      <c r="B2657" s="1">
        <v>41187</v>
      </c>
      <c r="C2657" t="s">
        <v>43</v>
      </c>
      <c r="D2657" t="str">
        <f t="shared" si="82"/>
        <v>05-Oct-2012</v>
      </c>
      <c r="E2657">
        <v>31</v>
      </c>
      <c r="F2657" s="13">
        <v>346.57</v>
      </c>
      <c r="G2657">
        <v>0</v>
      </c>
      <c r="H2657" t="s">
        <v>19</v>
      </c>
      <c r="I2657" s="13">
        <v>-116.45</v>
      </c>
      <c r="J2657">
        <v>10.97</v>
      </c>
      <c r="K2657">
        <v>6.5</v>
      </c>
      <c r="L2657" t="s">
        <v>106</v>
      </c>
      <c r="M2657" t="s">
        <v>104</v>
      </c>
      <c r="N2657" s="5" t="s">
        <v>105</v>
      </c>
      <c r="O2657" t="s">
        <v>28</v>
      </c>
      <c r="P2657" t="s">
        <v>29</v>
      </c>
      <c r="Q2657" t="s">
        <v>41</v>
      </c>
      <c r="R2657">
        <v>0.64</v>
      </c>
      <c r="S2657" s="1">
        <v>41188</v>
      </c>
      <c r="T2657" t="str">
        <f t="shared" si="83"/>
        <v>06-Oct-2012</v>
      </c>
    </row>
    <row r="2658" spans="1:20" x14ac:dyDescent="0.3">
      <c r="A2658">
        <v>1445</v>
      </c>
      <c r="B2658" s="1">
        <v>40552</v>
      </c>
      <c r="C2658" t="s">
        <v>38</v>
      </c>
      <c r="D2658" t="str">
        <f t="shared" si="82"/>
        <v>09-Jan-2011</v>
      </c>
      <c r="E2658">
        <v>30</v>
      </c>
      <c r="F2658" s="13">
        <v>339.49</v>
      </c>
      <c r="G2658">
        <v>0.08</v>
      </c>
      <c r="H2658" t="s">
        <v>19</v>
      </c>
      <c r="I2658" s="13">
        <v>-74.209999999999994</v>
      </c>
      <c r="J2658">
        <v>11.97</v>
      </c>
      <c r="K2658">
        <v>5.81</v>
      </c>
      <c r="L2658" t="s">
        <v>122</v>
      </c>
      <c r="M2658" t="s">
        <v>104</v>
      </c>
      <c r="N2658" s="5" t="s">
        <v>105</v>
      </c>
      <c r="O2658" t="s">
        <v>28</v>
      </c>
      <c r="P2658" t="s">
        <v>21</v>
      </c>
      <c r="Q2658" t="s">
        <v>50</v>
      </c>
      <c r="R2658">
        <v>0.6</v>
      </c>
      <c r="S2658" s="1">
        <v>40554</v>
      </c>
      <c r="T2658" t="str">
        <f t="shared" si="83"/>
        <v>11-Jan-2011</v>
      </c>
    </row>
    <row r="2659" spans="1:20" x14ac:dyDescent="0.3">
      <c r="A2659">
        <v>23207</v>
      </c>
      <c r="B2659" s="1">
        <v>40473</v>
      </c>
      <c r="C2659" t="s">
        <v>43</v>
      </c>
      <c r="D2659" t="str">
        <f t="shared" si="82"/>
        <v>22-Oct-2010</v>
      </c>
      <c r="E2659">
        <v>11</v>
      </c>
      <c r="F2659" s="13">
        <v>336.91</v>
      </c>
      <c r="G2659">
        <v>0.1</v>
      </c>
      <c r="H2659" t="s">
        <v>19</v>
      </c>
      <c r="I2659" s="13">
        <v>42.5</v>
      </c>
      <c r="J2659">
        <v>30.98</v>
      </c>
      <c r="K2659">
        <v>8.74</v>
      </c>
      <c r="L2659" t="s">
        <v>124</v>
      </c>
      <c r="M2659" t="s">
        <v>104</v>
      </c>
      <c r="N2659" s="5" t="s">
        <v>105</v>
      </c>
      <c r="O2659" t="s">
        <v>28</v>
      </c>
      <c r="P2659" t="s">
        <v>21</v>
      </c>
      <c r="Q2659" t="s">
        <v>37</v>
      </c>
      <c r="R2659">
        <v>0.4</v>
      </c>
      <c r="S2659" s="1">
        <v>40474</v>
      </c>
      <c r="T2659" t="str">
        <f t="shared" si="83"/>
        <v>23-Oct-2010</v>
      </c>
    </row>
    <row r="2660" spans="1:20" x14ac:dyDescent="0.3">
      <c r="A2660">
        <v>39041</v>
      </c>
      <c r="B2660" s="1">
        <v>40842</v>
      </c>
      <c r="C2660" t="s">
        <v>43</v>
      </c>
      <c r="D2660" t="str">
        <f t="shared" si="82"/>
        <v>26-Oct-2011</v>
      </c>
      <c r="E2660">
        <v>23</v>
      </c>
      <c r="F2660" s="13">
        <v>336.86</v>
      </c>
      <c r="G2660">
        <v>0.06</v>
      </c>
      <c r="H2660" t="s">
        <v>19</v>
      </c>
      <c r="I2660" s="13">
        <v>36.32</v>
      </c>
      <c r="J2660">
        <v>14.2</v>
      </c>
      <c r="K2660">
        <v>5.3</v>
      </c>
      <c r="L2660" t="s">
        <v>378</v>
      </c>
      <c r="M2660" t="s">
        <v>104</v>
      </c>
      <c r="N2660" s="5" t="s">
        <v>105</v>
      </c>
      <c r="O2660" t="s">
        <v>28</v>
      </c>
      <c r="P2660" t="s">
        <v>32</v>
      </c>
      <c r="Q2660" t="s">
        <v>33</v>
      </c>
      <c r="R2660">
        <v>0.46</v>
      </c>
      <c r="S2660" s="1">
        <v>40844</v>
      </c>
      <c r="T2660" t="str">
        <f t="shared" si="83"/>
        <v>28-Oct-2011</v>
      </c>
    </row>
    <row r="2661" spans="1:20" x14ac:dyDescent="0.3">
      <c r="A2661">
        <v>59233</v>
      </c>
      <c r="B2661" s="1">
        <v>40410</v>
      </c>
      <c r="C2661" t="s">
        <v>23</v>
      </c>
      <c r="D2661" t="str">
        <f t="shared" si="82"/>
        <v>20-Aug-2010</v>
      </c>
      <c r="E2661">
        <v>3</v>
      </c>
      <c r="F2661" s="13">
        <v>336.84</v>
      </c>
      <c r="G2661">
        <v>0.08</v>
      </c>
      <c r="H2661" t="s">
        <v>24</v>
      </c>
      <c r="I2661" s="13">
        <v>-160.46</v>
      </c>
      <c r="J2661">
        <v>100.98</v>
      </c>
      <c r="K2661">
        <v>35.840000000000003</v>
      </c>
      <c r="L2661" t="s">
        <v>77</v>
      </c>
      <c r="M2661" t="s">
        <v>104</v>
      </c>
      <c r="N2661" s="5" t="s">
        <v>105</v>
      </c>
      <c r="O2661" t="s">
        <v>28</v>
      </c>
      <c r="P2661" t="s">
        <v>32</v>
      </c>
      <c r="Q2661" t="s">
        <v>45</v>
      </c>
      <c r="R2661">
        <v>0.62</v>
      </c>
      <c r="S2661" s="1">
        <v>40412</v>
      </c>
      <c r="T2661" t="str">
        <f t="shared" si="83"/>
        <v>22-Aug-2010</v>
      </c>
    </row>
    <row r="2662" spans="1:20" x14ac:dyDescent="0.3">
      <c r="A2662">
        <v>33732</v>
      </c>
      <c r="B2662" s="1">
        <v>40053</v>
      </c>
      <c r="C2662" t="s">
        <v>31</v>
      </c>
      <c r="D2662" t="str">
        <f t="shared" si="82"/>
        <v>28-Aug-2009</v>
      </c>
      <c r="E2662">
        <v>33</v>
      </c>
      <c r="F2662" s="13">
        <v>332.95</v>
      </c>
      <c r="G2662">
        <v>0.05</v>
      </c>
      <c r="H2662" t="s">
        <v>19</v>
      </c>
      <c r="I2662" s="13">
        <v>-28.16</v>
      </c>
      <c r="J2662">
        <v>9.65</v>
      </c>
      <c r="K2662">
        <v>6.22</v>
      </c>
      <c r="L2662" t="s">
        <v>130</v>
      </c>
      <c r="M2662" t="s">
        <v>104</v>
      </c>
      <c r="N2662" s="5" t="s">
        <v>105</v>
      </c>
      <c r="O2662" t="s">
        <v>28</v>
      </c>
      <c r="P2662" t="s">
        <v>32</v>
      </c>
      <c r="Q2662" t="s">
        <v>33</v>
      </c>
      <c r="R2662">
        <v>0.55000000000000004</v>
      </c>
      <c r="S2662" s="1">
        <v>40054</v>
      </c>
      <c r="T2662" t="str">
        <f t="shared" si="83"/>
        <v>29-Aug-2009</v>
      </c>
    </row>
    <row r="2663" spans="1:20" x14ac:dyDescent="0.3">
      <c r="A2663">
        <v>24132</v>
      </c>
      <c r="B2663" s="1">
        <v>40000</v>
      </c>
      <c r="C2663" t="s">
        <v>18</v>
      </c>
      <c r="D2663" t="str">
        <f t="shared" si="82"/>
        <v>06-Jul-2009</v>
      </c>
      <c r="E2663">
        <v>46</v>
      </c>
      <c r="F2663" s="13">
        <v>331.83</v>
      </c>
      <c r="G2663">
        <v>0.05</v>
      </c>
      <c r="H2663" t="s">
        <v>19</v>
      </c>
      <c r="I2663" s="13">
        <v>-101.25</v>
      </c>
      <c r="J2663">
        <v>7.1</v>
      </c>
      <c r="K2663">
        <v>6.05</v>
      </c>
      <c r="L2663" t="s">
        <v>107</v>
      </c>
      <c r="M2663" t="s">
        <v>104</v>
      </c>
      <c r="N2663" s="5" t="s">
        <v>105</v>
      </c>
      <c r="O2663" t="s">
        <v>28</v>
      </c>
      <c r="P2663" t="s">
        <v>21</v>
      </c>
      <c r="Q2663" t="s">
        <v>26</v>
      </c>
      <c r="R2663">
        <v>0.39</v>
      </c>
      <c r="S2663" s="1">
        <v>40000</v>
      </c>
      <c r="T2663" t="str">
        <f t="shared" si="83"/>
        <v>06-Jul-2009</v>
      </c>
    </row>
    <row r="2664" spans="1:20" x14ac:dyDescent="0.3">
      <c r="A2664">
        <v>38661</v>
      </c>
      <c r="B2664" s="1">
        <v>40951</v>
      </c>
      <c r="C2664" t="s">
        <v>23</v>
      </c>
      <c r="D2664" t="str">
        <f t="shared" si="82"/>
        <v>12-Feb-2012</v>
      </c>
      <c r="E2664">
        <v>48</v>
      </c>
      <c r="F2664" s="13">
        <v>326.10000000000002</v>
      </c>
      <c r="G2664">
        <v>0.04</v>
      </c>
      <c r="H2664" t="s">
        <v>19</v>
      </c>
      <c r="I2664" s="13">
        <v>-118.74</v>
      </c>
      <c r="J2664">
        <v>6.48</v>
      </c>
      <c r="K2664">
        <v>6.6</v>
      </c>
      <c r="L2664" t="s">
        <v>387</v>
      </c>
      <c r="M2664" t="s">
        <v>104</v>
      </c>
      <c r="N2664" s="5" t="s">
        <v>105</v>
      </c>
      <c r="O2664" t="s">
        <v>28</v>
      </c>
      <c r="P2664" t="s">
        <v>21</v>
      </c>
      <c r="Q2664" t="s">
        <v>37</v>
      </c>
      <c r="R2664">
        <v>0.37</v>
      </c>
      <c r="S2664" s="1">
        <v>40952</v>
      </c>
      <c r="T2664" t="str">
        <f t="shared" si="83"/>
        <v>13-Feb-2012</v>
      </c>
    </row>
    <row r="2665" spans="1:20" x14ac:dyDescent="0.3">
      <c r="A2665">
        <v>55777</v>
      </c>
      <c r="B2665" s="1">
        <v>41223</v>
      </c>
      <c r="C2665" t="s">
        <v>31</v>
      </c>
      <c r="D2665" t="str">
        <f t="shared" si="82"/>
        <v>10-Nov-2012</v>
      </c>
      <c r="E2665">
        <v>6</v>
      </c>
      <c r="F2665" s="13">
        <v>323.52999999999997</v>
      </c>
      <c r="G2665">
        <v>0.06</v>
      </c>
      <c r="H2665" t="s">
        <v>19</v>
      </c>
      <c r="I2665" s="13">
        <v>136.32</v>
      </c>
      <c r="J2665">
        <v>51.75</v>
      </c>
      <c r="K2665">
        <v>19.989999999999998</v>
      </c>
      <c r="L2665" t="s">
        <v>80</v>
      </c>
      <c r="M2665" t="s">
        <v>104</v>
      </c>
      <c r="N2665" s="5" t="s">
        <v>105</v>
      </c>
      <c r="O2665" t="s">
        <v>28</v>
      </c>
      <c r="P2665" t="s">
        <v>32</v>
      </c>
      <c r="Q2665" t="s">
        <v>33</v>
      </c>
      <c r="R2665">
        <v>0.55000000000000004</v>
      </c>
      <c r="S2665" s="1">
        <v>41224</v>
      </c>
      <c r="T2665" t="str">
        <f t="shared" si="83"/>
        <v>11-Nov-2012</v>
      </c>
    </row>
    <row r="2666" spans="1:20" x14ac:dyDescent="0.3">
      <c r="A2666">
        <v>31874</v>
      </c>
      <c r="B2666" s="1">
        <v>41167</v>
      </c>
      <c r="C2666" t="s">
        <v>23</v>
      </c>
      <c r="D2666" t="str">
        <f t="shared" si="82"/>
        <v>15-Sep-2012</v>
      </c>
      <c r="E2666">
        <v>29</v>
      </c>
      <c r="F2666" s="13">
        <v>321.95</v>
      </c>
      <c r="G2666">
        <v>0.03</v>
      </c>
      <c r="H2666" t="s">
        <v>35</v>
      </c>
      <c r="I2666" s="13">
        <v>20.76</v>
      </c>
      <c r="J2666">
        <v>10.98</v>
      </c>
      <c r="K2666">
        <v>3.37</v>
      </c>
      <c r="L2666" t="s">
        <v>122</v>
      </c>
      <c r="M2666" t="s">
        <v>104</v>
      </c>
      <c r="N2666" s="5" t="s">
        <v>105</v>
      </c>
      <c r="O2666" t="s">
        <v>28</v>
      </c>
      <c r="P2666" t="s">
        <v>21</v>
      </c>
      <c r="Q2666" t="s">
        <v>67</v>
      </c>
      <c r="R2666">
        <v>0.56999999999999995</v>
      </c>
      <c r="S2666" s="1">
        <v>41167</v>
      </c>
      <c r="T2666" t="str">
        <f t="shared" si="83"/>
        <v>15-Sep-2012</v>
      </c>
    </row>
    <row r="2667" spans="1:20" x14ac:dyDescent="0.3">
      <c r="A2667">
        <v>42342</v>
      </c>
      <c r="B2667" s="1">
        <v>40060</v>
      </c>
      <c r="C2667" t="s">
        <v>31</v>
      </c>
      <c r="D2667" t="str">
        <f t="shared" si="82"/>
        <v>04-Sep-2009</v>
      </c>
      <c r="E2667">
        <v>25</v>
      </c>
      <c r="F2667" s="13">
        <v>318.14</v>
      </c>
      <c r="G2667">
        <v>0.01</v>
      </c>
      <c r="H2667" t="s">
        <v>19</v>
      </c>
      <c r="I2667" s="13">
        <v>49.67</v>
      </c>
      <c r="J2667">
        <v>12.28</v>
      </c>
      <c r="K2667">
        <v>5.09</v>
      </c>
      <c r="L2667" t="s">
        <v>133</v>
      </c>
      <c r="M2667" t="s">
        <v>104</v>
      </c>
      <c r="N2667" s="5" t="s">
        <v>105</v>
      </c>
      <c r="O2667" t="s">
        <v>28</v>
      </c>
      <c r="P2667" t="s">
        <v>21</v>
      </c>
      <c r="Q2667" t="s">
        <v>37</v>
      </c>
      <c r="R2667">
        <v>0.38</v>
      </c>
      <c r="S2667" s="1">
        <v>40061</v>
      </c>
      <c r="T2667" t="str">
        <f t="shared" si="83"/>
        <v>05-Sep-2009</v>
      </c>
    </row>
    <row r="2668" spans="1:20" x14ac:dyDescent="0.3">
      <c r="A2668">
        <v>10306</v>
      </c>
      <c r="B2668" s="1">
        <v>40380</v>
      </c>
      <c r="C2668" t="s">
        <v>18</v>
      </c>
      <c r="D2668" t="str">
        <f t="shared" si="82"/>
        <v>21-Jul-2010</v>
      </c>
      <c r="E2668">
        <v>20</v>
      </c>
      <c r="F2668" s="13">
        <v>310.31</v>
      </c>
      <c r="G2668">
        <v>0.02</v>
      </c>
      <c r="H2668" t="s">
        <v>19</v>
      </c>
      <c r="I2668" s="13">
        <v>51.5</v>
      </c>
      <c r="J2668">
        <v>14.58</v>
      </c>
      <c r="K2668">
        <v>7.4</v>
      </c>
      <c r="L2668" t="s">
        <v>121</v>
      </c>
      <c r="M2668" t="s">
        <v>104</v>
      </c>
      <c r="N2668" s="5" t="s">
        <v>105</v>
      </c>
      <c r="O2668" t="s">
        <v>28</v>
      </c>
      <c r="P2668" t="s">
        <v>32</v>
      </c>
      <c r="Q2668" t="s">
        <v>33</v>
      </c>
      <c r="R2668">
        <v>0.48</v>
      </c>
      <c r="S2668" s="1">
        <v>40380</v>
      </c>
      <c r="T2668" t="str">
        <f t="shared" si="83"/>
        <v>21-Jul-2010</v>
      </c>
    </row>
    <row r="2669" spans="1:20" x14ac:dyDescent="0.3">
      <c r="A2669">
        <v>4642</v>
      </c>
      <c r="B2669" s="1">
        <v>40600</v>
      </c>
      <c r="C2669" t="s">
        <v>43</v>
      </c>
      <c r="D2669" t="str">
        <f t="shared" si="82"/>
        <v>26-Feb-2011</v>
      </c>
      <c r="E2669">
        <v>21</v>
      </c>
      <c r="F2669" s="13">
        <v>309.62</v>
      </c>
      <c r="G2669">
        <v>0</v>
      </c>
      <c r="H2669" t="s">
        <v>35</v>
      </c>
      <c r="I2669" s="13">
        <v>-80.2</v>
      </c>
      <c r="J2669">
        <v>14.03</v>
      </c>
      <c r="K2669">
        <v>9.3699999999999992</v>
      </c>
      <c r="L2669" t="s">
        <v>122</v>
      </c>
      <c r="M2669" t="s">
        <v>104</v>
      </c>
      <c r="N2669" s="5" t="s">
        <v>105</v>
      </c>
      <c r="O2669" t="s">
        <v>28</v>
      </c>
      <c r="P2669" t="s">
        <v>21</v>
      </c>
      <c r="Q2669" t="s">
        <v>22</v>
      </c>
      <c r="R2669">
        <v>0.56000000000000005</v>
      </c>
      <c r="S2669" s="1">
        <v>40600</v>
      </c>
      <c r="T2669" t="str">
        <f t="shared" si="83"/>
        <v>26-Feb-2011</v>
      </c>
    </row>
    <row r="2670" spans="1:20" x14ac:dyDescent="0.3">
      <c r="A2670">
        <v>44261</v>
      </c>
      <c r="B2670" s="1">
        <v>40991</v>
      </c>
      <c r="C2670" t="s">
        <v>23</v>
      </c>
      <c r="D2670" t="str">
        <f t="shared" si="82"/>
        <v>23-Mar-2012</v>
      </c>
      <c r="E2670">
        <v>10</v>
      </c>
      <c r="F2670" s="13">
        <v>306.66300000000001</v>
      </c>
      <c r="G2670">
        <v>7.0000000000000007E-2</v>
      </c>
      <c r="H2670" t="s">
        <v>19</v>
      </c>
      <c r="I2670" s="13">
        <v>-17.41</v>
      </c>
      <c r="J2670">
        <v>35.99</v>
      </c>
      <c r="K2670">
        <v>5.99</v>
      </c>
      <c r="L2670" t="s">
        <v>386</v>
      </c>
      <c r="M2670" t="s">
        <v>104</v>
      </c>
      <c r="N2670" s="5" t="s">
        <v>105</v>
      </c>
      <c r="O2670" t="s">
        <v>28</v>
      </c>
      <c r="P2670" t="s">
        <v>29</v>
      </c>
      <c r="Q2670" t="s">
        <v>30</v>
      </c>
      <c r="R2670">
        <v>0.38</v>
      </c>
      <c r="S2670" s="1">
        <v>40994</v>
      </c>
      <c r="T2670" t="str">
        <f t="shared" si="83"/>
        <v>26-Mar-2012</v>
      </c>
    </row>
    <row r="2671" spans="1:20" x14ac:dyDescent="0.3">
      <c r="A2671">
        <v>44256</v>
      </c>
      <c r="B2671" s="1">
        <v>40866</v>
      </c>
      <c r="C2671" t="s">
        <v>18</v>
      </c>
      <c r="D2671" t="str">
        <f t="shared" si="82"/>
        <v>19-Nov-2011</v>
      </c>
      <c r="E2671">
        <v>39</v>
      </c>
      <c r="F2671" s="13">
        <v>301.36</v>
      </c>
      <c r="G2671">
        <v>0.09</v>
      </c>
      <c r="H2671" t="s">
        <v>19</v>
      </c>
      <c r="I2671" s="13">
        <v>48.45</v>
      </c>
      <c r="J2671">
        <v>8.01</v>
      </c>
      <c r="K2671">
        <v>2.87</v>
      </c>
      <c r="L2671" t="s">
        <v>109</v>
      </c>
      <c r="M2671" t="s">
        <v>104</v>
      </c>
      <c r="N2671" s="5" t="s">
        <v>105</v>
      </c>
      <c r="O2671" t="s">
        <v>28</v>
      </c>
      <c r="P2671" t="s">
        <v>21</v>
      </c>
      <c r="Q2671" t="s">
        <v>37</v>
      </c>
      <c r="R2671">
        <v>0.4</v>
      </c>
      <c r="S2671" s="1">
        <v>40875</v>
      </c>
      <c r="T2671" t="str">
        <f t="shared" si="83"/>
        <v>28-Nov-2011</v>
      </c>
    </row>
    <row r="2672" spans="1:20" x14ac:dyDescent="0.3">
      <c r="A2672">
        <v>39783</v>
      </c>
      <c r="B2672" s="1">
        <v>41172</v>
      </c>
      <c r="C2672" t="s">
        <v>31</v>
      </c>
      <c r="D2672" t="str">
        <f t="shared" si="82"/>
        <v>20-Sep-2012</v>
      </c>
      <c r="E2672">
        <v>31</v>
      </c>
      <c r="F2672" s="13">
        <v>295.97000000000003</v>
      </c>
      <c r="G2672">
        <v>0.02</v>
      </c>
      <c r="H2672" t="s">
        <v>19</v>
      </c>
      <c r="I2672" s="13">
        <v>5.0199999999999996</v>
      </c>
      <c r="J2672">
        <v>8.85</v>
      </c>
      <c r="K2672">
        <v>5.6</v>
      </c>
      <c r="L2672" t="s">
        <v>109</v>
      </c>
      <c r="M2672" t="s">
        <v>104</v>
      </c>
      <c r="N2672" s="5" t="s">
        <v>105</v>
      </c>
      <c r="O2672" t="s">
        <v>28</v>
      </c>
      <c r="P2672" t="s">
        <v>21</v>
      </c>
      <c r="Q2672" t="s">
        <v>26</v>
      </c>
      <c r="R2672">
        <v>0.36</v>
      </c>
      <c r="S2672" s="1">
        <v>41174</v>
      </c>
      <c r="T2672" t="str">
        <f t="shared" si="83"/>
        <v>22-Sep-2012</v>
      </c>
    </row>
    <row r="2673" spans="1:20" x14ac:dyDescent="0.3">
      <c r="A2673">
        <v>24070</v>
      </c>
      <c r="B2673" s="1">
        <v>40617</v>
      </c>
      <c r="C2673" t="s">
        <v>23</v>
      </c>
      <c r="D2673" t="str">
        <f t="shared" si="82"/>
        <v>15-Mar-2011</v>
      </c>
      <c r="E2673">
        <v>48</v>
      </c>
      <c r="F2673" s="13">
        <v>294.26</v>
      </c>
      <c r="G2673">
        <v>0</v>
      </c>
      <c r="H2673" t="s">
        <v>35</v>
      </c>
      <c r="I2673" s="13">
        <v>88.8</v>
      </c>
      <c r="J2673">
        <v>5.58</v>
      </c>
      <c r="K2673">
        <v>0.7</v>
      </c>
      <c r="L2673" t="s">
        <v>112</v>
      </c>
      <c r="M2673" t="s">
        <v>104</v>
      </c>
      <c r="N2673" s="5" t="s">
        <v>105</v>
      </c>
      <c r="O2673" t="s">
        <v>28</v>
      </c>
      <c r="P2673" t="s">
        <v>21</v>
      </c>
      <c r="Q2673" t="s">
        <v>50</v>
      </c>
      <c r="R2673">
        <v>0.6</v>
      </c>
      <c r="S2673" s="1">
        <v>40618</v>
      </c>
      <c r="T2673" t="str">
        <f t="shared" si="83"/>
        <v>16-Mar-2011</v>
      </c>
    </row>
    <row r="2674" spans="1:20" x14ac:dyDescent="0.3">
      <c r="A2674">
        <v>35</v>
      </c>
      <c r="B2674" s="1">
        <v>40838</v>
      </c>
      <c r="C2674" t="s">
        <v>31</v>
      </c>
      <c r="D2674" t="str">
        <f t="shared" si="82"/>
        <v>22-Oct-2011</v>
      </c>
      <c r="E2674">
        <v>30</v>
      </c>
      <c r="F2674" s="13">
        <v>288.56</v>
      </c>
      <c r="G2674">
        <v>0.03</v>
      </c>
      <c r="H2674" t="s">
        <v>19</v>
      </c>
      <c r="I2674" s="13">
        <v>60.72</v>
      </c>
      <c r="J2674">
        <v>9.11</v>
      </c>
      <c r="K2674">
        <v>2.25</v>
      </c>
      <c r="L2674" t="s">
        <v>106</v>
      </c>
      <c r="M2674" t="s">
        <v>104</v>
      </c>
      <c r="N2674" s="5" t="s">
        <v>105</v>
      </c>
      <c r="O2674" t="s">
        <v>28</v>
      </c>
      <c r="P2674" t="s">
        <v>21</v>
      </c>
      <c r="Q2674" t="s">
        <v>50</v>
      </c>
      <c r="R2674">
        <v>0.52</v>
      </c>
      <c r="S2674" s="1">
        <v>40839</v>
      </c>
      <c r="T2674" t="str">
        <f t="shared" si="83"/>
        <v>23-Oct-2011</v>
      </c>
    </row>
    <row r="2675" spans="1:20" x14ac:dyDescent="0.3">
      <c r="A2675">
        <v>53381</v>
      </c>
      <c r="B2675" s="1">
        <v>40447</v>
      </c>
      <c r="C2675" t="s">
        <v>43</v>
      </c>
      <c r="D2675" t="str">
        <f t="shared" si="82"/>
        <v>26-Sep-2010</v>
      </c>
      <c r="E2675">
        <v>26</v>
      </c>
      <c r="F2675" s="13">
        <v>287.43</v>
      </c>
      <c r="G2675">
        <v>0.01</v>
      </c>
      <c r="H2675" t="s">
        <v>19</v>
      </c>
      <c r="I2675" s="13">
        <v>37.9</v>
      </c>
      <c r="J2675">
        <v>10.98</v>
      </c>
      <c r="K2675">
        <v>4.8</v>
      </c>
      <c r="L2675" t="s">
        <v>386</v>
      </c>
      <c r="M2675" t="s">
        <v>104</v>
      </c>
      <c r="N2675" s="5" t="s">
        <v>105</v>
      </c>
      <c r="O2675" t="s">
        <v>28</v>
      </c>
      <c r="P2675" t="s">
        <v>21</v>
      </c>
      <c r="Q2675" t="s">
        <v>42</v>
      </c>
      <c r="R2675">
        <v>0.36</v>
      </c>
      <c r="S2675" s="1">
        <v>40448</v>
      </c>
      <c r="T2675" t="str">
        <f t="shared" si="83"/>
        <v>27-Sep-2010</v>
      </c>
    </row>
    <row r="2676" spans="1:20" x14ac:dyDescent="0.3">
      <c r="A2676">
        <v>14471</v>
      </c>
      <c r="B2676" s="1">
        <v>40689</v>
      </c>
      <c r="C2676" t="s">
        <v>31</v>
      </c>
      <c r="D2676" t="str">
        <f t="shared" si="82"/>
        <v>26-May-2011</v>
      </c>
      <c r="E2676">
        <v>42</v>
      </c>
      <c r="F2676" s="13">
        <v>286.73</v>
      </c>
      <c r="G2676">
        <v>0.05</v>
      </c>
      <c r="H2676" t="s">
        <v>19</v>
      </c>
      <c r="I2676" s="13">
        <v>-141.51</v>
      </c>
      <c r="J2676">
        <v>6.48</v>
      </c>
      <c r="K2676">
        <v>7.49</v>
      </c>
      <c r="L2676" t="s">
        <v>124</v>
      </c>
      <c r="M2676" t="s">
        <v>104</v>
      </c>
      <c r="N2676" s="5" t="s">
        <v>105</v>
      </c>
      <c r="O2676" t="s">
        <v>28</v>
      </c>
      <c r="P2676" t="s">
        <v>21</v>
      </c>
      <c r="Q2676" t="s">
        <v>37</v>
      </c>
      <c r="R2676">
        <v>0.37</v>
      </c>
      <c r="S2676" s="1">
        <v>40691</v>
      </c>
      <c r="T2676" t="str">
        <f t="shared" si="83"/>
        <v>28-May-2011</v>
      </c>
    </row>
    <row r="2677" spans="1:20" x14ac:dyDescent="0.3">
      <c r="A2677">
        <v>51493</v>
      </c>
      <c r="B2677" s="1">
        <v>40730</v>
      </c>
      <c r="C2677" t="s">
        <v>18</v>
      </c>
      <c r="D2677" t="str">
        <f t="shared" si="82"/>
        <v>06-Jul-2011</v>
      </c>
      <c r="E2677">
        <v>31</v>
      </c>
      <c r="F2677" s="13">
        <v>286.26</v>
      </c>
      <c r="G2677">
        <v>0.01</v>
      </c>
      <c r="H2677" t="s">
        <v>19</v>
      </c>
      <c r="I2677" s="13">
        <v>8.34</v>
      </c>
      <c r="J2677">
        <v>8.56</v>
      </c>
      <c r="K2677">
        <v>5.16</v>
      </c>
      <c r="L2677" t="s">
        <v>155</v>
      </c>
      <c r="M2677" t="s">
        <v>104</v>
      </c>
      <c r="N2677" s="5" t="s">
        <v>105</v>
      </c>
      <c r="O2677" t="s">
        <v>28</v>
      </c>
      <c r="P2677" t="s">
        <v>21</v>
      </c>
      <c r="Q2677" t="s">
        <v>37</v>
      </c>
      <c r="R2677">
        <v>0.38</v>
      </c>
      <c r="S2677" s="1">
        <v>40732</v>
      </c>
      <c r="T2677" t="str">
        <f t="shared" si="83"/>
        <v>08-Jul-2011</v>
      </c>
    </row>
    <row r="2678" spans="1:20" x14ac:dyDescent="0.3">
      <c r="A2678">
        <v>41574</v>
      </c>
      <c r="B2678" s="1">
        <v>40441</v>
      </c>
      <c r="C2678" t="s">
        <v>23</v>
      </c>
      <c r="D2678" t="str">
        <f t="shared" si="82"/>
        <v>20-Sep-2010</v>
      </c>
      <c r="E2678">
        <v>23</v>
      </c>
      <c r="F2678" s="13">
        <v>283.82</v>
      </c>
      <c r="G2678">
        <v>0.01</v>
      </c>
      <c r="H2678" t="s">
        <v>19</v>
      </c>
      <c r="I2678" s="13">
        <v>-38.94</v>
      </c>
      <c r="J2678">
        <v>11.97</v>
      </c>
      <c r="K2678">
        <v>5.81</v>
      </c>
      <c r="L2678" t="s">
        <v>246</v>
      </c>
      <c r="M2678" t="s">
        <v>104</v>
      </c>
      <c r="N2678" s="5" t="s">
        <v>105</v>
      </c>
      <c r="O2678" t="s">
        <v>28</v>
      </c>
      <c r="P2678" t="s">
        <v>21</v>
      </c>
      <c r="Q2678" t="s">
        <v>50</v>
      </c>
      <c r="R2678">
        <v>0.6</v>
      </c>
      <c r="S2678" s="1">
        <v>40443</v>
      </c>
      <c r="T2678" t="str">
        <f t="shared" si="83"/>
        <v>22-Sep-2010</v>
      </c>
    </row>
    <row r="2679" spans="1:20" x14ac:dyDescent="0.3">
      <c r="A2679">
        <v>322</v>
      </c>
      <c r="B2679" s="1">
        <v>40986</v>
      </c>
      <c r="C2679" t="s">
        <v>43</v>
      </c>
      <c r="D2679" t="str">
        <f t="shared" si="82"/>
        <v>18-Mar-2012</v>
      </c>
      <c r="E2679">
        <v>46</v>
      </c>
      <c r="F2679" s="13">
        <v>281</v>
      </c>
      <c r="G2679">
        <v>0.1</v>
      </c>
      <c r="H2679" t="s">
        <v>19</v>
      </c>
      <c r="I2679" s="13">
        <v>-291.58999999999997</v>
      </c>
      <c r="J2679">
        <v>6.48</v>
      </c>
      <c r="K2679">
        <v>10.050000000000001</v>
      </c>
      <c r="L2679" t="s">
        <v>120</v>
      </c>
      <c r="M2679" t="s">
        <v>104</v>
      </c>
      <c r="N2679" s="5" t="s">
        <v>105</v>
      </c>
      <c r="O2679" t="s">
        <v>28</v>
      </c>
      <c r="P2679" t="s">
        <v>21</v>
      </c>
      <c r="Q2679" t="s">
        <v>37</v>
      </c>
      <c r="R2679">
        <v>0.37</v>
      </c>
      <c r="S2679" s="1">
        <v>40988</v>
      </c>
      <c r="T2679" t="str">
        <f t="shared" si="83"/>
        <v>20-Mar-2012</v>
      </c>
    </row>
    <row r="2680" spans="1:20" x14ac:dyDescent="0.3">
      <c r="A2680">
        <v>22534</v>
      </c>
      <c r="B2680" s="1">
        <v>40742</v>
      </c>
      <c r="C2680" t="s">
        <v>38</v>
      </c>
      <c r="D2680" t="str">
        <f t="shared" si="82"/>
        <v>18-Jul-2011</v>
      </c>
      <c r="E2680">
        <v>3</v>
      </c>
      <c r="F2680" s="13">
        <v>279.33</v>
      </c>
      <c r="G2680">
        <v>0</v>
      </c>
      <c r="H2680" t="s">
        <v>19</v>
      </c>
      <c r="I2680" s="13">
        <v>-44.18</v>
      </c>
      <c r="J2680">
        <v>83.93</v>
      </c>
      <c r="K2680">
        <v>19.989999999999998</v>
      </c>
      <c r="L2680" t="s">
        <v>115</v>
      </c>
      <c r="M2680" t="s">
        <v>104</v>
      </c>
      <c r="N2680" s="5" t="s">
        <v>105</v>
      </c>
      <c r="O2680" t="s">
        <v>28</v>
      </c>
      <c r="P2680" t="s">
        <v>21</v>
      </c>
      <c r="Q2680" t="s">
        <v>42</v>
      </c>
      <c r="R2680">
        <v>0.38</v>
      </c>
      <c r="S2680" s="1">
        <v>40744</v>
      </c>
      <c r="T2680" t="str">
        <f t="shared" si="83"/>
        <v>20-Jul-2011</v>
      </c>
    </row>
    <row r="2681" spans="1:20" x14ac:dyDescent="0.3">
      <c r="A2681">
        <v>21350</v>
      </c>
      <c r="B2681" s="1">
        <v>40598</v>
      </c>
      <c r="C2681" t="s">
        <v>38</v>
      </c>
      <c r="D2681" t="str">
        <f t="shared" si="82"/>
        <v>24-Feb-2011</v>
      </c>
      <c r="E2681">
        <v>30</v>
      </c>
      <c r="F2681" s="13">
        <v>278.94</v>
      </c>
      <c r="G2681">
        <v>0.01</v>
      </c>
      <c r="H2681" t="s">
        <v>19</v>
      </c>
      <c r="I2681" s="13">
        <v>-143.69999999999999</v>
      </c>
      <c r="J2681">
        <v>9.06</v>
      </c>
      <c r="K2681">
        <v>9.86</v>
      </c>
      <c r="L2681" t="s">
        <v>124</v>
      </c>
      <c r="M2681" t="s">
        <v>104</v>
      </c>
      <c r="N2681" s="5" t="s">
        <v>105</v>
      </c>
      <c r="O2681" t="s">
        <v>28</v>
      </c>
      <c r="P2681" t="s">
        <v>21</v>
      </c>
      <c r="Q2681" t="s">
        <v>37</v>
      </c>
      <c r="R2681">
        <v>0.4</v>
      </c>
      <c r="S2681" s="1">
        <v>40599</v>
      </c>
      <c r="T2681" t="str">
        <f t="shared" si="83"/>
        <v>25-Feb-2011</v>
      </c>
    </row>
    <row r="2682" spans="1:20" x14ac:dyDescent="0.3">
      <c r="A2682">
        <v>2438</v>
      </c>
      <c r="B2682" s="1">
        <v>40373</v>
      </c>
      <c r="C2682" t="s">
        <v>23</v>
      </c>
      <c r="D2682" t="str">
        <f t="shared" si="82"/>
        <v>14-Jul-2010</v>
      </c>
      <c r="E2682">
        <v>20</v>
      </c>
      <c r="F2682" s="13">
        <v>278.68</v>
      </c>
      <c r="G2682">
        <v>0.06</v>
      </c>
      <c r="H2682" t="s">
        <v>19</v>
      </c>
      <c r="I2682" s="13">
        <v>8.9</v>
      </c>
      <c r="J2682">
        <v>14.48</v>
      </c>
      <c r="K2682">
        <v>6.46</v>
      </c>
      <c r="L2682" t="s">
        <v>391</v>
      </c>
      <c r="M2682" t="s">
        <v>104</v>
      </c>
      <c r="N2682" s="5" t="s">
        <v>105</v>
      </c>
      <c r="O2682" t="s">
        <v>28</v>
      </c>
      <c r="P2682" t="s">
        <v>21</v>
      </c>
      <c r="Q2682" t="s">
        <v>26</v>
      </c>
      <c r="R2682">
        <v>0.38</v>
      </c>
      <c r="S2682" s="1">
        <v>40376</v>
      </c>
      <c r="T2682" t="str">
        <f t="shared" si="83"/>
        <v>17-Jul-2010</v>
      </c>
    </row>
    <row r="2683" spans="1:20" x14ac:dyDescent="0.3">
      <c r="A2683">
        <v>57760</v>
      </c>
      <c r="B2683" s="1">
        <v>40736</v>
      </c>
      <c r="C2683" t="s">
        <v>31</v>
      </c>
      <c r="D2683" t="str">
        <f t="shared" si="82"/>
        <v>12-Jul-2011</v>
      </c>
      <c r="E2683">
        <v>38</v>
      </c>
      <c r="F2683" s="13">
        <v>275.11</v>
      </c>
      <c r="G2683">
        <v>0.06</v>
      </c>
      <c r="H2683" t="s">
        <v>19</v>
      </c>
      <c r="I2683" s="13">
        <v>17.149999999999999</v>
      </c>
      <c r="J2683">
        <v>7.59</v>
      </c>
      <c r="K2683">
        <v>4</v>
      </c>
      <c r="L2683" t="s">
        <v>390</v>
      </c>
      <c r="M2683" t="s">
        <v>104</v>
      </c>
      <c r="N2683" s="5" t="s">
        <v>105</v>
      </c>
      <c r="O2683" t="s">
        <v>28</v>
      </c>
      <c r="P2683" t="s">
        <v>32</v>
      </c>
      <c r="Q2683" t="s">
        <v>33</v>
      </c>
      <c r="R2683">
        <v>0.42</v>
      </c>
      <c r="S2683" s="1">
        <v>40738</v>
      </c>
      <c r="T2683" t="str">
        <f t="shared" si="83"/>
        <v>14-Jul-2011</v>
      </c>
    </row>
    <row r="2684" spans="1:20" x14ac:dyDescent="0.3">
      <c r="A2684">
        <v>4261</v>
      </c>
      <c r="B2684" s="1">
        <v>41184</v>
      </c>
      <c r="C2684" t="s">
        <v>43</v>
      </c>
      <c r="D2684" t="str">
        <f t="shared" si="82"/>
        <v>02-Oct-2012</v>
      </c>
      <c r="E2684">
        <v>48</v>
      </c>
      <c r="F2684" s="13">
        <v>274.38</v>
      </c>
      <c r="G2684">
        <v>0.04</v>
      </c>
      <c r="H2684" t="s">
        <v>19</v>
      </c>
      <c r="I2684" s="13">
        <v>-94.82</v>
      </c>
      <c r="J2684">
        <v>5.78</v>
      </c>
      <c r="K2684">
        <v>5.37</v>
      </c>
      <c r="L2684" t="s">
        <v>121</v>
      </c>
      <c r="M2684" t="s">
        <v>104</v>
      </c>
      <c r="N2684" s="5" t="s">
        <v>105</v>
      </c>
      <c r="O2684" t="s">
        <v>28</v>
      </c>
      <c r="P2684" t="s">
        <v>21</v>
      </c>
      <c r="Q2684" t="s">
        <v>37</v>
      </c>
      <c r="R2684">
        <v>0.36</v>
      </c>
      <c r="S2684" s="1">
        <v>41186</v>
      </c>
      <c r="T2684" t="str">
        <f t="shared" si="83"/>
        <v>04-Oct-2012</v>
      </c>
    </row>
    <row r="2685" spans="1:20" x14ac:dyDescent="0.3">
      <c r="A2685">
        <v>19044</v>
      </c>
      <c r="B2685" s="1">
        <v>41010</v>
      </c>
      <c r="C2685" t="s">
        <v>18</v>
      </c>
      <c r="D2685" t="str">
        <f t="shared" si="82"/>
        <v>11-Apr-2012</v>
      </c>
      <c r="E2685">
        <v>29</v>
      </c>
      <c r="F2685" s="13">
        <v>271.33</v>
      </c>
      <c r="G2685">
        <v>7.0000000000000007E-2</v>
      </c>
      <c r="H2685" t="s">
        <v>19</v>
      </c>
      <c r="I2685" s="13">
        <v>-191.09</v>
      </c>
      <c r="J2685">
        <v>9.7100000000000009</v>
      </c>
      <c r="K2685">
        <v>9.4499999999999993</v>
      </c>
      <c r="L2685" t="s">
        <v>125</v>
      </c>
      <c r="M2685" t="s">
        <v>104</v>
      </c>
      <c r="N2685" s="5" t="s">
        <v>105</v>
      </c>
      <c r="O2685" t="s">
        <v>28</v>
      </c>
      <c r="P2685" t="s">
        <v>21</v>
      </c>
      <c r="Q2685" t="s">
        <v>22</v>
      </c>
      <c r="R2685">
        <v>0.6</v>
      </c>
      <c r="S2685" s="1">
        <v>41017</v>
      </c>
      <c r="T2685" t="str">
        <f t="shared" si="83"/>
        <v>18-Apr-2012</v>
      </c>
    </row>
    <row r="2686" spans="1:20" x14ac:dyDescent="0.3">
      <c r="A2686">
        <v>20389</v>
      </c>
      <c r="B2686" s="1">
        <v>40036</v>
      </c>
      <c r="C2686" t="s">
        <v>23</v>
      </c>
      <c r="D2686" t="str">
        <f t="shared" si="82"/>
        <v>11-Aug-2009</v>
      </c>
      <c r="E2686">
        <v>24</v>
      </c>
      <c r="F2686" s="13">
        <v>270.39</v>
      </c>
      <c r="G2686">
        <v>0.01</v>
      </c>
      <c r="H2686" t="s">
        <v>19</v>
      </c>
      <c r="I2686" s="13">
        <v>-30.42</v>
      </c>
      <c r="J2686">
        <v>10.52</v>
      </c>
      <c r="K2686">
        <v>7.94</v>
      </c>
      <c r="L2686" t="s">
        <v>123</v>
      </c>
      <c r="M2686" t="s">
        <v>104</v>
      </c>
      <c r="N2686" s="5" t="s">
        <v>105</v>
      </c>
      <c r="O2686" t="s">
        <v>28</v>
      </c>
      <c r="P2686" t="s">
        <v>32</v>
      </c>
      <c r="Q2686" t="s">
        <v>33</v>
      </c>
      <c r="R2686">
        <v>0.52</v>
      </c>
      <c r="S2686" s="1">
        <v>40038</v>
      </c>
      <c r="T2686" t="str">
        <f t="shared" si="83"/>
        <v>13-Aug-2009</v>
      </c>
    </row>
    <row r="2687" spans="1:20" x14ac:dyDescent="0.3">
      <c r="A2687">
        <v>45539</v>
      </c>
      <c r="B2687" s="1">
        <v>40027</v>
      </c>
      <c r="C2687" t="s">
        <v>31</v>
      </c>
      <c r="D2687" t="str">
        <f t="shared" si="82"/>
        <v>02-Aug-2009</v>
      </c>
      <c r="E2687">
        <v>15</v>
      </c>
      <c r="F2687" s="13">
        <v>269.2</v>
      </c>
      <c r="G2687">
        <v>0.02</v>
      </c>
      <c r="H2687" t="s">
        <v>35</v>
      </c>
      <c r="I2687" s="13">
        <v>69.61</v>
      </c>
      <c r="J2687">
        <v>16.48</v>
      </c>
      <c r="K2687">
        <v>1.99</v>
      </c>
      <c r="L2687" t="s">
        <v>267</v>
      </c>
      <c r="M2687" t="s">
        <v>104</v>
      </c>
      <c r="N2687" s="5" t="s">
        <v>105</v>
      </c>
      <c r="O2687" t="s">
        <v>28</v>
      </c>
      <c r="P2687" t="s">
        <v>29</v>
      </c>
      <c r="Q2687" t="s">
        <v>41</v>
      </c>
      <c r="R2687">
        <v>0.42</v>
      </c>
      <c r="S2687" s="1">
        <v>40029</v>
      </c>
      <c r="T2687" t="str">
        <f t="shared" si="83"/>
        <v>04-Aug-2009</v>
      </c>
    </row>
    <row r="2688" spans="1:20" x14ac:dyDescent="0.3">
      <c r="A2688">
        <v>33570</v>
      </c>
      <c r="B2688" s="1">
        <v>41259</v>
      </c>
      <c r="C2688" t="s">
        <v>31</v>
      </c>
      <c r="D2688" t="str">
        <f t="shared" si="82"/>
        <v>16-Dec-2012</v>
      </c>
      <c r="E2688">
        <v>46</v>
      </c>
      <c r="F2688" s="13">
        <v>265.88</v>
      </c>
      <c r="G2688">
        <v>0.05</v>
      </c>
      <c r="H2688" t="s">
        <v>19</v>
      </c>
      <c r="I2688" s="13">
        <v>-90.9</v>
      </c>
      <c r="J2688">
        <v>5.74</v>
      </c>
      <c r="K2688">
        <v>5.01</v>
      </c>
      <c r="L2688" t="s">
        <v>146</v>
      </c>
      <c r="M2688" t="s">
        <v>104</v>
      </c>
      <c r="N2688" s="5" t="s">
        <v>105</v>
      </c>
      <c r="O2688" t="s">
        <v>28</v>
      </c>
      <c r="P2688" t="s">
        <v>21</v>
      </c>
      <c r="Q2688" t="s">
        <v>26</v>
      </c>
      <c r="R2688">
        <v>0.39</v>
      </c>
      <c r="S2688" s="1">
        <v>41261</v>
      </c>
      <c r="T2688" t="str">
        <f t="shared" si="83"/>
        <v>18-Dec-2012</v>
      </c>
    </row>
    <row r="2689" spans="1:20" x14ac:dyDescent="0.3">
      <c r="A2689">
        <v>50403</v>
      </c>
      <c r="B2689" s="1">
        <v>41041</v>
      </c>
      <c r="C2689" t="s">
        <v>31</v>
      </c>
      <c r="D2689" t="str">
        <f t="shared" si="82"/>
        <v>12-May-2012</v>
      </c>
      <c r="E2689">
        <v>38</v>
      </c>
      <c r="F2689" s="13">
        <v>264.92</v>
      </c>
      <c r="G2689">
        <v>0.05</v>
      </c>
      <c r="H2689" t="s">
        <v>19</v>
      </c>
      <c r="I2689" s="13">
        <v>-97.06</v>
      </c>
      <c r="J2689">
        <v>7.1</v>
      </c>
      <c r="K2689">
        <v>6.05</v>
      </c>
      <c r="L2689" t="s">
        <v>334</v>
      </c>
      <c r="M2689" t="s">
        <v>104</v>
      </c>
      <c r="N2689" s="5" t="s">
        <v>105</v>
      </c>
      <c r="O2689" t="s">
        <v>28</v>
      </c>
      <c r="P2689" t="s">
        <v>21</v>
      </c>
      <c r="Q2689" t="s">
        <v>26</v>
      </c>
      <c r="R2689">
        <v>0.39</v>
      </c>
      <c r="S2689" s="1">
        <v>41043</v>
      </c>
      <c r="T2689" t="str">
        <f t="shared" si="83"/>
        <v>14-May-2012</v>
      </c>
    </row>
    <row r="2690" spans="1:20" x14ac:dyDescent="0.3">
      <c r="A2690">
        <v>36805</v>
      </c>
      <c r="B2690" s="1">
        <v>40526</v>
      </c>
      <c r="C2690" t="s">
        <v>38</v>
      </c>
      <c r="D2690" t="str">
        <f t="shared" ref="D2690:D2753" si="84">TEXT(B2690, "dd-mmm-yyyy" )</f>
        <v>14-Dec-2010</v>
      </c>
      <c r="E2690">
        <v>7</v>
      </c>
      <c r="F2690" s="13">
        <v>263.8</v>
      </c>
      <c r="G2690">
        <v>0</v>
      </c>
      <c r="H2690" t="s">
        <v>19</v>
      </c>
      <c r="I2690" s="13">
        <v>165.33</v>
      </c>
      <c r="J2690">
        <v>34.229999999999997</v>
      </c>
      <c r="K2690">
        <v>5.0199999999999996</v>
      </c>
      <c r="L2690" t="s">
        <v>122</v>
      </c>
      <c r="M2690" t="s">
        <v>104</v>
      </c>
      <c r="N2690" s="5" t="s">
        <v>105</v>
      </c>
      <c r="O2690" t="s">
        <v>28</v>
      </c>
      <c r="P2690" t="s">
        <v>32</v>
      </c>
      <c r="Q2690" t="s">
        <v>33</v>
      </c>
      <c r="R2690">
        <v>0.55000000000000004</v>
      </c>
      <c r="S2690" s="1">
        <v>40528</v>
      </c>
      <c r="T2690" t="str">
        <f t="shared" ref="T2690:T2753" si="85">TEXT(S2690, "dd-mmm-yyyy")</f>
        <v>16-Dec-2010</v>
      </c>
    </row>
    <row r="2691" spans="1:20" x14ac:dyDescent="0.3">
      <c r="A2691">
        <v>59781</v>
      </c>
      <c r="B2691" s="1">
        <v>41255</v>
      </c>
      <c r="C2691" t="s">
        <v>31</v>
      </c>
      <c r="D2691" t="str">
        <f t="shared" si="84"/>
        <v>12-Dec-2012</v>
      </c>
      <c r="E2691">
        <v>43</v>
      </c>
      <c r="F2691" s="13">
        <v>262.13</v>
      </c>
      <c r="G2691">
        <v>0</v>
      </c>
      <c r="H2691" t="s">
        <v>35</v>
      </c>
      <c r="I2691" s="13">
        <v>-60.91</v>
      </c>
      <c r="J2691">
        <v>5.58</v>
      </c>
      <c r="K2691">
        <v>5.3</v>
      </c>
      <c r="L2691" t="s">
        <v>252</v>
      </c>
      <c r="M2691" t="s">
        <v>104</v>
      </c>
      <c r="N2691" s="5" t="s">
        <v>105</v>
      </c>
      <c r="O2691" t="s">
        <v>28</v>
      </c>
      <c r="P2691" t="s">
        <v>21</v>
      </c>
      <c r="Q2691" t="s">
        <v>42</v>
      </c>
      <c r="R2691">
        <v>0.35</v>
      </c>
      <c r="S2691" s="1">
        <v>41256</v>
      </c>
      <c r="T2691" t="str">
        <f t="shared" si="85"/>
        <v>13-Dec-2012</v>
      </c>
    </row>
    <row r="2692" spans="1:20" x14ac:dyDescent="0.3">
      <c r="A2692">
        <v>54119</v>
      </c>
      <c r="B2692" s="1">
        <v>40320</v>
      </c>
      <c r="C2692" t="s">
        <v>38</v>
      </c>
      <c r="D2692" t="str">
        <f t="shared" si="84"/>
        <v>22-May-2010</v>
      </c>
      <c r="E2692">
        <v>45</v>
      </c>
      <c r="F2692" s="13">
        <v>261</v>
      </c>
      <c r="G2692">
        <v>0.04</v>
      </c>
      <c r="H2692" t="s">
        <v>35</v>
      </c>
      <c r="I2692" s="13">
        <v>-43.45</v>
      </c>
      <c r="J2692">
        <v>5.81</v>
      </c>
      <c r="K2692">
        <v>3.37</v>
      </c>
      <c r="L2692" t="s">
        <v>36</v>
      </c>
      <c r="M2692" t="s">
        <v>104</v>
      </c>
      <c r="N2692" s="5" t="s">
        <v>105</v>
      </c>
      <c r="O2692" t="s">
        <v>28</v>
      </c>
      <c r="P2692" t="s">
        <v>21</v>
      </c>
      <c r="Q2692" t="s">
        <v>39</v>
      </c>
      <c r="R2692">
        <v>0.54</v>
      </c>
      <c r="S2692" s="1">
        <v>40321</v>
      </c>
      <c r="T2692" t="str">
        <f t="shared" si="85"/>
        <v>23-May-2010</v>
      </c>
    </row>
    <row r="2693" spans="1:20" x14ac:dyDescent="0.3">
      <c r="A2693">
        <v>17831</v>
      </c>
      <c r="B2693" s="1">
        <v>41207</v>
      </c>
      <c r="C2693" t="s">
        <v>43</v>
      </c>
      <c r="D2693" t="str">
        <f t="shared" si="84"/>
        <v>25-Oct-2012</v>
      </c>
      <c r="E2693">
        <v>38</v>
      </c>
      <c r="F2693" s="13">
        <v>260.41000000000003</v>
      </c>
      <c r="G2693">
        <v>0</v>
      </c>
      <c r="H2693" t="s">
        <v>35</v>
      </c>
      <c r="I2693" s="13">
        <v>-45.75</v>
      </c>
      <c r="J2693">
        <v>5.98</v>
      </c>
      <c r="K2693">
        <v>5.35</v>
      </c>
      <c r="L2693" t="s">
        <v>127</v>
      </c>
      <c r="M2693" t="s">
        <v>104</v>
      </c>
      <c r="N2693" s="5" t="s">
        <v>105</v>
      </c>
      <c r="O2693" t="s">
        <v>28</v>
      </c>
      <c r="P2693" t="s">
        <v>21</v>
      </c>
      <c r="Q2693" t="s">
        <v>37</v>
      </c>
      <c r="R2693">
        <v>0.4</v>
      </c>
      <c r="S2693" s="1">
        <v>41210</v>
      </c>
      <c r="T2693" t="str">
        <f t="shared" si="85"/>
        <v>28-Oct-2012</v>
      </c>
    </row>
    <row r="2694" spans="1:20" x14ac:dyDescent="0.3">
      <c r="A2694">
        <v>4195</v>
      </c>
      <c r="B2694" s="1">
        <v>40326</v>
      </c>
      <c r="C2694" t="s">
        <v>31</v>
      </c>
      <c r="D2694" t="str">
        <f t="shared" si="84"/>
        <v>28-May-2010</v>
      </c>
      <c r="E2694">
        <v>30</v>
      </c>
      <c r="F2694" s="13">
        <v>255.74</v>
      </c>
      <c r="G2694">
        <v>7.0000000000000007E-2</v>
      </c>
      <c r="H2694" t="s">
        <v>19</v>
      </c>
      <c r="I2694" s="13">
        <v>37.090000000000003</v>
      </c>
      <c r="J2694">
        <v>8.5</v>
      </c>
      <c r="K2694">
        <v>1.99</v>
      </c>
      <c r="L2694" t="s">
        <v>392</v>
      </c>
      <c r="M2694" t="s">
        <v>104</v>
      </c>
      <c r="N2694" s="5" t="s">
        <v>105</v>
      </c>
      <c r="O2694" t="s">
        <v>28</v>
      </c>
      <c r="P2694" t="s">
        <v>29</v>
      </c>
      <c r="Q2694" t="s">
        <v>41</v>
      </c>
      <c r="R2694">
        <v>0.49</v>
      </c>
      <c r="S2694" s="1">
        <v>40328</v>
      </c>
      <c r="T2694" t="str">
        <f t="shared" si="85"/>
        <v>30-May-2010</v>
      </c>
    </row>
    <row r="2695" spans="1:20" x14ac:dyDescent="0.3">
      <c r="A2695">
        <v>39655</v>
      </c>
      <c r="B2695" s="1">
        <v>40991</v>
      </c>
      <c r="C2695" t="s">
        <v>23</v>
      </c>
      <c r="D2695" t="str">
        <f t="shared" si="84"/>
        <v>23-Mar-2012</v>
      </c>
      <c r="E2695">
        <v>35</v>
      </c>
      <c r="F2695" s="13">
        <v>253.15</v>
      </c>
      <c r="G2695">
        <v>0.03</v>
      </c>
      <c r="H2695" t="s">
        <v>19</v>
      </c>
      <c r="I2695" s="13">
        <v>-72.430000000000007</v>
      </c>
      <c r="J2695">
        <v>7.28</v>
      </c>
      <c r="K2695">
        <v>3.52</v>
      </c>
      <c r="L2695" t="s">
        <v>80</v>
      </c>
      <c r="M2695" t="s">
        <v>104</v>
      </c>
      <c r="N2695" s="5" t="s">
        <v>105</v>
      </c>
      <c r="O2695" t="s">
        <v>28</v>
      </c>
      <c r="P2695" t="s">
        <v>29</v>
      </c>
      <c r="Q2695" t="s">
        <v>41</v>
      </c>
      <c r="R2695">
        <v>0.68</v>
      </c>
      <c r="S2695" s="1">
        <v>40991</v>
      </c>
      <c r="T2695" t="str">
        <f t="shared" si="85"/>
        <v>23-Mar-2012</v>
      </c>
    </row>
    <row r="2696" spans="1:20" x14ac:dyDescent="0.3">
      <c r="A2696">
        <v>11782</v>
      </c>
      <c r="B2696" s="1">
        <v>41118</v>
      </c>
      <c r="C2696" t="s">
        <v>18</v>
      </c>
      <c r="D2696" t="str">
        <f t="shared" si="84"/>
        <v>28-Jul-2012</v>
      </c>
      <c r="E2696">
        <v>46</v>
      </c>
      <c r="F2696" s="13">
        <v>247.21</v>
      </c>
      <c r="G2696">
        <v>0.02</v>
      </c>
      <c r="H2696" t="s">
        <v>19</v>
      </c>
      <c r="I2696" s="13">
        <v>-63.72</v>
      </c>
      <c r="J2696">
        <v>4.9800000000000004</v>
      </c>
      <c r="K2696">
        <v>4.75</v>
      </c>
      <c r="L2696" t="s">
        <v>110</v>
      </c>
      <c r="M2696" t="s">
        <v>104</v>
      </c>
      <c r="N2696" s="5" t="s">
        <v>105</v>
      </c>
      <c r="O2696" t="s">
        <v>28</v>
      </c>
      <c r="P2696" t="s">
        <v>21</v>
      </c>
      <c r="Q2696" t="s">
        <v>37</v>
      </c>
      <c r="R2696">
        <v>0.36</v>
      </c>
      <c r="S2696" s="1">
        <v>41123</v>
      </c>
      <c r="T2696" t="str">
        <f t="shared" si="85"/>
        <v>02-Aug-2012</v>
      </c>
    </row>
    <row r="2697" spans="1:20" x14ac:dyDescent="0.3">
      <c r="A2697">
        <v>10470</v>
      </c>
      <c r="B2697" s="1">
        <v>41033</v>
      </c>
      <c r="C2697" t="s">
        <v>43</v>
      </c>
      <c r="D2697" t="str">
        <f t="shared" si="84"/>
        <v>04-May-2012</v>
      </c>
      <c r="E2697">
        <v>35</v>
      </c>
      <c r="F2697" s="13">
        <v>246.98</v>
      </c>
      <c r="G2697">
        <v>0.1</v>
      </c>
      <c r="H2697" t="s">
        <v>19</v>
      </c>
      <c r="I2697" s="13">
        <v>-94.78</v>
      </c>
      <c r="J2697">
        <v>7.38</v>
      </c>
      <c r="K2697">
        <v>5.21</v>
      </c>
      <c r="L2697" t="s">
        <v>126</v>
      </c>
      <c r="M2697" t="s">
        <v>104</v>
      </c>
      <c r="N2697" s="5" t="s">
        <v>105</v>
      </c>
      <c r="O2697" t="s">
        <v>28</v>
      </c>
      <c r="P2697" t="s">
        <v>32</v>
      </c>
      <c r="Q2697" t="s">
        <v>33</v>
      </c>
      <c r="R2697">
        <v>0.56000000000000005</v>
      </c>
      <c r="S2697" s="1">
        <v>41038</v>
      </c>
      <c r="T2697" t="str">
        <f t="shared" si="85"/>
        <v>09-May-2012</v>
      </c>
    </row>
    <row r="2698" spans="1:20" x14ac:dyDescent="0.3">
      <c r="A2698">
        <v>56130</v>
      </c>
      <c r="B2698" s="1">
        <v>40876</v>
      </c>
      <c r="C2698" t="s">
        <v>38</v>
      </c>
      <c r="D2698" t="str">
        <f t="shared" si="84"/>
        <v>29-Nov-2011</v>
      </c>
      <c r="E2698">
        <v>13</v>
      </c>
      <c r="F2698" s="13">
        <v>246.06</v>
      </c>
      <c r="G2698">
        <v>0.08</v>
      </c>
      <c r="H2698" t="s">
        <v>19</v>
      </c>
      <c r="I2698" s="13">
        <v>52.33</v>
      </c>
      <c r="J2698">
        <v>18.7</v>
      </c>
      <c r="K2698">
        <v>8.99</v>
      </c>
      <c r="L2698" t="s">
        <v>384</v>
      </c>
      <c r="M2698" t="s">
        <v>104</v>
      </c>
      <c r="N2698" s="5" t="s">
        <v>105</v>
      </c>
      <c r="O2698" t="s">
        <v>28</v>
      </c>
      <c r="P2698" t="s">
        <v>32</v>
      </c>
      <c r="Q2698" t="s">
        <v>33</v>
      </c>
      <c r="R2698">
        <v>0.47</v>
      </c>
      <c r="S2698" s="1">
        <v>40878</v>
      </c>
      <c r="T2698" t="str">
        <f t="shared" si="85"/>
        <v>01-Dec-2011</v>
      </c>
    </row>
    <row r="2699" spans="1:20" x14ac:dyDescent="0.3">
      <c r="A2699">
        <v>28898</v>
      </c>
      <c r="B2699" s="1">
        <v>40691</v>
      </c>
      <c r="C2699" t="s">
        <v>18</v>
      </c>
      <c r="D2699" t="str">
        <f t="shared" si="84"/>
        <v>28-May-2011</v>
      </c>
      <c r="E2699">
        <v>44</v>
      </c>
      <c r="F2699" s="13">
        <v>246</v>
      </c>
      <c r="G2699">
        <v>0.1</v>
      </c>
      <c r="H2699" t="s">
        <v>19</v>
      </c>
      <c r="I2699" s="13">
        <v>-207.36</v>
      </c>
      <c r="J2699">
        <v>5.78</v>
      </c>
      <c r="K2699">
        <v>7.96</v>
      </c>
      <c r="L2699" t="s">
        <v>129</v>
      </c>
      <c r="M2699" t="s">
        <v>104</v>
      </c>
      <c r="N2699" s="5" t="s">
        <v>105</v>
      </c>
      <c r="O2699" t="s">
        <v>28</v>
      </c>
      <c r="P2699" t="s">
        <v>21</v>
      </c>
      <c r="Q2699" t="s">
        <v>37</v>
      </c>
      <c r="R2699">
        <v>0.36</v>
      </c>
      <c r="S2699" s="1">
        <v>40691</v>
      </c>
      <c r="T2699" t="str">
        <f t="shared" si="85"/>
        <v>28-May-2011</v>
      </c>
    </row>
    <row r="2700" spans="1:20" x14ac:dyDescent="0.3">
      <c r="A2700">
        <v>44450</v>
      </c>
      <c r="B2700" s="1">
        <v>40460</v>
      </c>
      <c r="C2700" t="s">
        <v>43</v>
      </c>
      <c r="D2700" t="str">
        <f t="shared" si="84"/>
        <v>09-Oct-2010</v>
      </c>
      <c r="E2700">
        <v>14</v>
      </c>
      <c r="F2700" s="13">
        <v>243.23</v>
      </c>
      <c r="G2700">
        <v>7.0000000000000007E-2</v>
      </c>
      <c r="H2700" t="s">
        <v>19</v>
      </c>
      <c r="I2700" s="13">
        <v>35.33</v>
      </c>
      <c r="J2700">
        <v>17.48</v>
      </c>
      <c r="K2700">
        <v>1.99</v>
      </c>
      <c r="L2700" t="s">
        <v>142</v>
      </c>
      <c r="M2700" t="s">
        <v>104</v>
      </c>
      <c r="N2700" s="5" t="s">
        <v>105</v>
      </c>
      <c r="O2700" t="s">
        <v>28</v>
      </c>
      <c r="P2700" t="s">
        <v>29</v>
      </c>
      <c r="Q2700" t="s">
        <v>41</v>
      </c>
      <c r="R2700">
        <v>0.45</v>
      </c>
      <c r="S2700" s="1">
        <v>40461</v>
      </c>
      <c r="T2700" t="str">
        <f t="shared" si="85"/>
        <v>10-Oct-2010</v>
      </c>
    </row>
    <row r="2701" spans="1:20" x14ac:dyDescent="0.3">
      <c r="A2701">
        <v>17831</v>
      </c>
      <c r="B2701" s="1">
        <v>41207</v>
      </c>
      <c r="C2701" t="s">
        <v>43</v>
      </c>
      <c r="D2701" t="str">
        <f t="shared" si="84"/>
        <v>25-Oct-2012</v>
      </c>
      <c r="E2701">
        <v>34</v>
      </c>
      <c r="F2701" s="13">
        <v>239.3</v>
      </c>
      <c r="G2701">
        <v>0.06</v>
      </c>
      <c r="H2701" t="s">
        <v>19</v>
      </c>
      <c r="I2701" s="13">
        <v>41.31</v>
      </c>
      <c r="J2701">
        <v>6.98</v>
      </c>
      <c r="K2701">
        <v>2.83</v>
      </c>
      <c r="L2701" t="s">
        <v>127</v>
      </c>
      <c r="M2701" t="s">
        <v>104</v>
      </c>
      <c r="N2701" s="5" t="s">
        <v>105</v>
      </c>
      <c r="O2701" t="s">
        <v>28</v>
      </c>
      <c r="P2701" t="s">
        <v>32</v>
      </c>
      <c r="Q2701" t="s">
        <v>33</v>
      </c>
      <c r="R2701">
        <v>0.37</v>
      </c>
      <c r="S2701" s="1">
        <v>41208</v>
      </c>
      <c r="T2701" t="str">
        <f t="shared" si="85"/>
        <v>26-Oct-2012</v>
      </c>
    </row>
    <row r="2702" spans="1:20" x14ac:dyDescent="0.3">
      <c r="A2702">
        <v>38565</v>
      </c>
      <c r="B2702" s="1">
        <v>39897</v>
      </c>
      <c r="C2702" t="s">
        <v>43</v>
      </c>
      <c r="D2702" t="str">
        <f t="shared" si="84"/>
        <v>25-Mar-2009</v>
      </c>
      <c r="E2702">
        <v>20</v>
      </c>
      <c r="F2702" s="13">
        <v>234.09</v>
      </c>
      <c r="G2702">
        <v>0.01</v>
      </c>
      <c r="H2702" t="s">
        <v>35</v>
      </c>
      <c r="I2702" s="13">
        <v>-11.69</v>
      </c>
      <c r="J2702">
        <v>10.64</v>
      </c>
      <c r="K2702">
        <v>5.16</v>
      </c>
      <c r="L2702" t="s">
        <v>107</v>
      </c>
      <c r="M2702" t="s">
        <v>104</v>
      </c>
      <c r="N2702" s="5" t="s">
        <v>105</v>
      </c>
      <c r="O2702" t="s">
        <v>28</v>
      </c>
      <c r="P2702" t="s">
        <v>32</v>
      </c>
      <c r="Q2702" t="s">
        <v>33</v>
      </c>
      <c r="R2702">
        <v>0.56999999999999995</v>
      </c>
      <c r="S2702" s="1">
        <v>39899</v>
      </c>
      <c r="T2702" t="str">
        <f t="shared" si="85"/>
        <v>27-Mar-2009</v>
      </c>
    </row>
    <row r="2703" spans="1:20" x14ac:dyDescent="0.3">
      <c r="A2703">
        <v>53216</v>
      </c>
      <c r="B2703" s="1">
        <v>41247</v>
      </c>
      <c r="C2703" t="s">
        <v>23</v>
      </c>
      <c r="D2703" t="str">
        <f t="shared" si="84"/>
        <v>04-Dec-2012</v>
      </c>
      <c r="E2703">
        <v>36</v>
      </c>
      <c r="F2703" s="13">
        <v>228.01</v>
      </c>
      <c r="G2703">
        <v>0.06</v>
      </c>
      <c r="H2703" t="s">
        <v>19</v>
      </c>
      <c r="I2703" s="13">
        <v>-185.54</v>
      </c>
      <c r="J2703">
        <v>6.48</v>
      </c>
      <c r="K2703">
        <v>8.73</v>
      </c>
      <c r="L2703" t="s">
        <v>80</v>
      </c>
      <c r="M2703" t="s">
        <v>104</v>
      </c>
      <c r="N2703" s="5" t="s">
        <v>105</v>
      </c>
      <c r="O2703" t="s">
        <v>28</v>
      </c>
      <c r="P2703" t="s">
        <v>21</v>
      </c>
      <c r="Q2703" t="s">
        <v>37</v>
      </c>
      <c r="R2703">
        <v>0.37</v>
      </c>
      <c r="S2703" s="1">
        <v>41250</v>
      </c>
      <c r="T2703" t="str">
        <f t="shared" si="85"/>
        <v>07-Dec-2012</v>
      </c>
    </row>
    <row r="2704" spans="1:20" x14ac:dyDescent="0.3">
      <c r="A2704">
        <v>18471</v>
      </c>
      <c r="B2704" s="1">
        <v>39863</v>
      </c>
      <c r="C2704" t="s">
        <v>31</v>
      </c>
      <c r="D2704" t="str">
        <f t="shared" si="84"/>
        <v>19-Feb-2009</v>
      </c>
      <c r="E2704">
        <v>37</v>
      </c>
      <c r="F2704" s="13">
        <v>226.65</v>
      </c>
      <c r="G2704">
        <v>0</v>
      </c>
      <c r="H2704" t="s">
        <v>19</v>
      </c>
      <c r="I2704" s="13">
        <v>46.41</v>
      </c>
      <c r="J2704">
        <v>5.98</v>
      </c>
      <c r="K2704">
        <v>0.96</v>
      </c>
      <c r="L2704" t="s">
        <v>107</v>
      </c>
      <c r="M2704" t="s">
        <v>104</v>
      </c>
      <c r="N2704" s="5" t="s">
        <v>105</v>
      </c>
      <c r="O2704" t="s">
        <v>28</v>
      </c>
      <c r="P2704" t="s">
        <v>21</v>
      </c>
      <c r="Q2704" t="s">
        <v>50</v>
      </c>
      <c r="R2704">
        <v>0.6</v>
      </c>
      <c r="S2704" s="1">
        <v>39864</v>
      </c>
      <c r="T2704" t="str">
        <f t="shared" si="85"/>
        <v>20-Feb-2009</v>
      </c>
    </row>
    <row r="2705" spans="1:20" x14ac:dyDescent="0.3">
      <c r="A2705">
        <v>40608</v>
      </c>
      <c r="B2705" s="1">
        <v>41140</v>
      </c>
      <c r="C2705" t="s">
        <v>31</v>
      </c>
      <c r="D2705" t="str">
        <f t="shared" si="84"/>
        <v>19-Aug-2012</v>
      </c>
      <c r="E2705">
        <v>39</v>
      </c>
      <c r="F2705" s="13">
        <v>223.79</v>
      </c>
      <c r="G2705">
        <v>0.01</v>
      </c>
      <c r="H2705" t="s">
        <v>19</v>
      </c>
      <c r="I2705" s="13">
        <v>-89.88</v>
      </c>
      <c r="J2705">
        <v>5.28</v>
      </c>
      <c r="K2705">
        <v>5.66</v>
      </c>
      <c r="L2705" t="s">
        <v>133</v>
      </c>
      <c r="M2705" t="s">
        <v>104</v>
      </c>
      <c r="N2705" s="5" t="s">
        <v>105</v>
      </c>
      <c r="O2705" t="s">
        <v>28</v>
      </c>
      <c r="P2705" t="s">
        <v>21</v>
      </c>
      <c r="Q2705" t="s">
        <v>37</v>
      </c>
      <c r="R2705">
        <v>0.4</v>
      </c>
      <c r="S2705" s="1">
        <v>41141</v>
      </c>
      <c r="T2705" t="str">
        <f t="shared" si="85"/>
        <v>20-Aug-2012</v>
      </c>
    </row>
    <row r="2706" spans="1:20" x14ac:dyDescent="0.3">
      <c r="A2706">
        <v>59750</v>
      </c>
      <c r="B2706" s="1">
        <v>40368</v>
      </c>
      <c r="C2706" t="s">
        <v>18</v>
      </c>
      <c r="D2706" t="str">
        <f t="shared" si="84"/>
        <v>09-Jul-2010</v>
      </c>
      <c r="E2706">
        <v>34</v>
      </c>
      <c r="F2706" s="13">
        <v>223.59</v>
      </c>
      <c r="G2706">
        <v>0.04</v>
      </c>
      <c r="H2706" t="s">
        <v>19</v>
      </c>
      <c r="I2706" s="13">
        <v>-66.05</v>
      </c>
      <c r="J2706">
        <v>6.48</v>
      </c>
      <c r="K2706">
        <v>5.74</v>
      </c>
      <c r="L2706" t="s">
        <v>99</v>
      </c>
      <c r="M2706" t="s">
        <v>104</v>
      </c>
      <c r="N2706" s="5" t="s">
        <v>105</v>
      </c>
      <c r="O2706" t="s">
        <v>28</v>
      </c>
      <c r="P2706" t="s">
        <v>21</v>
      </c>
      <c r="Q2706" t="s">
        <v>37</v>
      </c>
      <c r="R2706">
        <v>0.37</v>
      </c>
      <c r="S2706" s="1">
        <v>40372</v>
      </c>
      <c r="T2706" t="str">
        <f t="shared" si="85"/>
        <v>13-Jul-2010</v>
      </c>
    </row>
    <row r="2707" spans="1:20" x14ac:dyDescent="0.3">
      <c r="A2707">
        <v>40485</v>
      </c>
      <c r="B2707" s="1">
        <v>40174</v>
      </c>
      <c r="C2707" t="s">
        <v>31</v>
      </c>
      <c r="D2707" t="str">
        <f t="shared" si="84"/>
        <v>27-Dec-2009</v>
      </c>
      <c r="E2707">
        <v>36</v>
      </c>
      <c r="F2707" s="13">
        <v>222.25</v>
      </c>
      <c r="G2707">
        <v>0.05</v>
      </c>
      <c r="H2707" t="s">
        <v>19</v>
      </c>
      <c r="I2707" s="13">
        <v>-63.77</v>
      </c>
      <c r="J2707">
        <v>5.98</v>
      </c>
      <c r="K2707">
        <v>5.46</v>
      </c>
      <c r="L2707" t="s">
        <v>384</v>
      </c>
      <c r="M2707" t="s">
        <v>104</v>
      </c>
      <c r="N2707" s="5" t="s">
        <v>105</v>
      </c>
      <c r="O2707" t="s">
        <v>28</v>
      </c>
      <c r="P2707" t="s">
        <v>21</v>
      </c>
      <c r="Q2707" t="s">
        <v>37</v>
      </c>
      <c r="R2707">
        <v>0.36</v>
      </c>
      <c r="S2707" s="1">
        <v>40174</v>
      </c>
      <c r="T2707" t="str">
        <f t="shared" si="85"/>
        <v>27-Dec-2009</v>
      </c>
    </row>
    <row r="2708" spans="1:20" x14ac:dyDescent="0.3">
      <c r="A2708">
        <v>29185</v>
      </c>
      <c r="B2708" s="1">
        <v>40198</v>
      </c>
      <c r="C2708" t="s">
        <v>23</v>
      </c>
      <c r="D2708" t="str">
        <f t="shared" si="84"/>
        <v>20-Jan-2010</v>
      </c>
      <c r="E2708">
        <v>5</v>
      </c>
      <c r="F2708" s="13">
        <v>217.85</v>
      </c>
      <c r="G2708">
        <v>0.02</v>
      </c>
      <c r="H2708" t="s">
        <v>35</v>
      </c>
      <c r="I2708" s="13">
        <v>-25.31</v>
      </c>
      <c r="J2708">
        <v>40.99</v>
      </c>
      <c r="K2708">
        <v>17.48</v>
      </c>
      <c r="L2708" t="s">
        <v>125</v>
      </c>
      <c r="M2708" t="s">
        <v>104</v>
      </c>
      <c r="N2708" s="5" t="s">
        <v>105</v>
      </c>
      <c r="O2708" t="s">
        <v>28</v>
      </c>
      <c r="P2708" t="s">
        <v>21</v>
      </c>
      <c r="Q2708" t="s">
        <v>37</v>
      </c>
      <c r="R2708">
        <v>0.36</v>
      </c>
      <c r="S2708" s="1">
        <v>40200</v>
      </c>
      <c r="T2708" t="str">
        <f t="shared" si="85"/>
        <v>22-Jan-2010</v>
      </c>
    </row>
    <row r="2709" spans="1:20" x14ac:dyDescent="0.3">
      <c r="A2709">
        <v>53189</v>
      </c>
      <c r="B2709" s="1">
        <v>40778</v>
      </c>
      <c r="C2709" t="s">
        <v>43</v>
      </c>
      <c r="D2709" t="str">
        <f t="shared" si="84"/>
        <v>23-Aug-2011</v>
      </c>
      <c r="E2709">
        <v>29</v>
      </c>
      <c r="F2709" s="13">
        <v>214.19</v>
      </c>
      <c r="G2709">
        <v>0</v>
      </c>
      <c r="H2709" t="s">
        <v>35</v>
      </c>
      <c r="I2709" s="13">
        <v>-40.56</v>
      </c>
      <c r="J2709">
        <v>6.48</v>
      </c>
      <c r="K2709">
        <v>5.94</v>
      </c>
      <c r="L2709" t="s">
        <v>387</v>
      </c>
      <c r="M2709" t="s">
        <v>104</v>
      </c>
      <c r="N2709" s="5" t="s">
        <v>105</v>
      </c>
      <c r="O2709" t="s">
        <v>28</v>
      </c>
      <c r="P2709" t="s">
        <v>21</v>
      </c>
      <c r="Q2709" t="s">
        <v>37</v>
      </c>
      <c r="R2709">
        <v>0.37</v>
      </c>
      <c r="S2709" s="1">
        <v>40778</v>
      </c>
      <c r="T2709" t="str">
        <f t="shared" si="85"/>
        <v>23-Aug-2011</v>
      </c>
    </row>
    <row r="2710" spans="1:20" x14ac:dyDescent="0.3">
      <c r="A2710">
        <v>39527</v>
      </c>
      <c r="B2710" s="1">
        <v>40650</v>
      </c>
      <c r="C2710" t="s">
        <v>18</v>
      </c>
      <c r="D2710" t="str">
        <f t="shared" si="84"/>
        <v>17-Apr-2011</v>
      </c>
      <c r="E2710">
        <v>29</v>
      </c>
      <c r="F2710" s="13">
        <v>213.35</v>
      </c>
      <c r="G2710">
        <v>0.01</v>
      </c>
      <c r="H2710" t="s">
        <v>19</v>
      </c>
      <c r="I2710" s="13">
        <v>63.78</v>
      </c>
      <c r="J2710">
        <v>6.88</v>
      </c>
      <c r="K2710">
        <v>2</v>
      </c>
      <c r="L2710" t="s">
        <v>151</v>
      </c>
      <c r="M2710" t="s">
        <v>104</v>
      </c>
      <c r="N2710" s="5" t="s">
        <v>105</v>
      </c>
      <c r="O2710" t="s">
        <v>28</v>
      </c>
      <c r="P2710" t="s">
        <v>21</v>
      </c>
      <c r="Q2710" t="s">
        <v>37</v>
      </c>
      <c r="R2710">
        <v>0.39</v>
      </c>
      <c r="S2710" s="1">
        <v>40659</v>
      </c>
      <c r="T2710" t="str">
        <f t="shared" si="85"/>
        <v>26-Apr-2011</v>
      </c>
    </row>
    <row r="2711" spans="1:20" x14ac:dyDescent="0.3">
      <c r="A2711">
        <v>41831</v>
      </c>
      <c r="B2711" s="1">
        <v>41111</v>
      </c>
      <c r="C2711" t="s">
        <v>31</v>
      </c>
      <c r="D2711" t="str">
        <f t="shared" si="84"/>
        <v>21-Jul-2012</v>
      </c>
      <c r="E2711">
        <v>38</v>
      </c>
      <c r="F2711" s="13">
        <v>209.61</v>
      </c>
      <c r="G2711">
        <v>0.05</v>
      </c>
      <c r="H2711" t="s">
        <v>19</v>
      </c>
      <c r="I2711" s="13">
        <v>-96.29</v>
      </c>
      <c r="J2711">
        <v>5.28</v>
      </c>
      <c r="K2711">
        <v>5.66</v>
      </c>
      <c r="L2711" t="s">
        <v>223</v>
      </c>
      <c r="M2711" t="s">
        <v>104</v>
      </c>
      <c r="N2711" s="5" t="s">
        <v>105</v>
      </c>
      <c r="O2711" t="s">
        <v>28</v>
      </c>
      <c r="P2711" t="s">
        <v>21</v>
      </c>
      <c r="Q2711" t="s">
        <v>37</v>
      </c>
      <c r="R2711">
        <v>0.4</v>
      </c>
      <c r="S2711" s="1">
        <v>41112</v>
      </c>
      <c r="T2711" t="str">
        <f t="shared" si="85"/>
        <v>22-Jul-2012</v>
      </c>
    </row>
    <row r="2712" spans="1:20" x14ac:dyDescent="0.3">
      <c r="A2712">
        <v>2595</v>
      </c>
      <c r="B2712" s="1">
        <v>40890</v>
      </c>
      <c r="C2712" t="s">
        <v>31</v>
      </c>
      <c r="D2712" t="str">
        <f t="shared" si="84"/>
        <v>13-Dec-2011</v>
      </c>
      <c r="E2712">
        <v>29</v>
      </c>
      <c r="F2712" s="13">
        <v>208.47</v>
      </c>
      <c r="G2712">
        <v>0.01</v>
      </c>
      <c r="H2712" t="s">
        <v>35</v>
      </c>
      <c r="I2712" s="13">
        <v>-125.6</v>
      </c>
      <c r="J2712">
        <v>6.48</v>
      </c>
      <c r="K2712">
        <v>8.74</v>
      </c>
      <c r="L2712" t="s">
        <v>392</v>
      </c>
      <c r="M2712" t="s">
        <v>104</v>
      </c>
      <c r="N2712" s="5" t="s">
        <v>105</v>
      </c>
      <c r="O2712" t="s">
        <v>28</v>
      </c>
      <c r="P2712" t="s">
        <v>21</v>
      </c>
      <c r="Q2712" t="s">
        <v>37</v>
      </c>
      <c r="R2712">
        <v>0.36</v>
      </c>
      <c r="S2712" s="1">
        <v>40892</v>
      </c>
      <c r="T2712" t="str">
        <f t="shared" si="85"/>
        <v>15-Dec-2011</v>
      </c>
    </row>
    <row r="2713" spans="1:20" x14ac:dyDescent="0.3">
      <c r="A2713">
        <v>28225</v>
      </c>
      <c r="B2713" s="1">
        <v>39835</v>
      </c>
      <c r="C2713" t="s">
        <v>43</v>
      </c>
      <c r="D2713" t="str">
        <f t="shared" si="84"/>
        <v>22-Jan-2009</v>
      </c>
      <c r="E2713">
        <v>9</v>
      </c>
      <c r="F2713" s="13">
        <v>206.04</v>
      </c>
      <c r="G2713">
        <v>0</v>
      </c>
      <c r="H2713" t="s">
        <v>19</v>
      </c>
      <c r="I2713" s="13">
        <v>-49.81</v>
      </c>
      <c r="J2713">
        <v>20.28</v>
      </c>
      <c r="K2713">
        <v>14.39</v>
      </c>
      <c r="L2713" t="s">
        <v>126</v>
      </c>
      <c r="M2713" t="s">
        <v>104</v>
      </c>
      <c r="N2713" s="5" t="s">
        <v>105</v>
      </c>
      <c r="O2713" t="s">
        <v>28</v>
      </c>
      <c r="P2713" t="s">
        <v>32</v>
      </c>
      <c r="Q2713" t="s">
        <v>33</v>
      </c>
      <c r="R2713">
        <v>0.47</v>
      </c>
      <c r="S2713" s="1">
        <v>39835</v>
      </c>
      <c r="T2713" t="str">
        <f t="shared" si="85"/>
        <v>22-Jan-2009</v>
      </c>
    </row>
    <row r="2714" spans="1:20" x14ac:dyDescent="0.3">
      <c r="A2714">
        <v>46151</v>
      </c>
      <c r="B2714" s="1">
        <v>40125</v>
      </c>
      <c r="C2714" t="s">
        <v>43</v>
      </c>
      <c r="D2714" t="str">
        <f t="shared" si="84"/>
        <v>08-Nov-2009</v>
      </c>
      <c r="E2714">
        <v>23</v>
      </c>
      <c r="F2714" s="13">
        <v>203.91</v>
      </c>
      <c r="G2714">
        <v>0.02</v>
      </c>
      <c r="H2714" t="s">
        <v>19</v>
      </c>
      <c r="I2714" s="13">
        <v>-35.44</v>
      </c>
      <c r="J2714">
        <v>8.6</v>
      </c>
      <c r="K2714">
        <v>6.19</v>
      </c>
      <c r="L2714" t="s">
        <v>244</v>
      </c>
      <c r="M2714" t="s">
        <v>104</v>
      </c>
      <c r="N2714" s="5" t="s">
        <v>105</v>
      </c>
      <c r="O2714" t="s">
        <v>28</v>
      </c>
      <c r="P2714" t="s">
        <v>21</v>
      </c>
      <c r="Q2714" t="s">
        <v>26</v>
      </c>
      <c r="R2714">
        <v>0.38</v>
      </c>
      <c r="S2714" s="1">
        <v>40127</v>
      </c>
      <c r="T2714" t="str">
        <f t="shared" si="85"/>
        <v>10-Nov-2009</v>
      </c>
    </row>
    <row r="2715" spans="1:20" x14ac:dyDescent="0.3">
      <c r="A2715">
        <v>20389</v>
      </c>
      <c r="B2715" s="1">
        <v>40036</v>
      </c>
      <c r="C2715" t="s">
        <v>23</v>
      </c>
      <c r="D2715" t="str">
        <f t="shared" si="84"/>
        <v>11-Aug-2009</v>
      </c>
      <c r="E2715">
        <v>30</v>
      </c>
      <c r="F2715" s="13">
        <v>201.35</v>
      </c>
      <c r="G2715">
        <v>0.02</v>
      </c>
      <c r="H2715" t="s">
        <v>35</v>
      </c>
      <c r="I2715" s="13">
        <v>-107.37</v>
      </c>
      <c r="J2715">
        <v>5.98</v>
      </c>
      <c r="K2715">
        <v>7.5</v>
      </c>
      <c r="L2715" t="s">
        <v>123</v>
      </c>
      <c r="M2715" t="s">
        <v>104</v>
      </c>
      <c r="N2715" s="5" t="s">
        <v>105</v>
      </c>
      <c r="O2715" t="s">
        <v>28</v>
      </c>
      <c r="P2715" t="s">
        <v>21</v>
      </c>
      <c r="Q2715" t="s">
        <v>37</v>
      </c>
      <c r="R2715">
        <v>0.4</v>
      </c>
      <c r="S2715" s="1">
        <v>40038</v>
      </c>
      <c r="T2715" t="str">
        <f t="shared" si="85"/>
        <v>13-Aug-2009</v>
      </c>
    </row>
    <row r="2716" spans="1:20" x14ac:dyDescent="0.3">
      <c r="A2716">
        <v>36901</v>
      </c>
      <c r="B2716" s="1">
        <v>41165</v>
      </c>
      <c r="C2716" t="s">
        <v>43</v>
      </c>
      <c r="D2716" t="str">
        <f t="shared" si="84"/>
        <v>13-Sep-2012</v>
      </c>
      <c r="E2716">
        <v>30</v>
      </c>
      <c r="F2716" s="13">
        <v>201.09</v>
      </c>
      <c r="G2716">
        <v>0.08</v>
      </c>
      <c r="H2716" t="s">
        <v>19</v>
      </c>
      <c r="I2716" s="13">
        <v>-56.22</v>
      </c>
      <c r="J2716">
        <v>6.68</v>
      </c>
      <c r="K2716">
        <v>5.66</v>
      </c>
      <c r="L2716" t="s">
        <v>149</v>
      </c>
      <c r="M2716" t="s">
        <v>104</v>
      </c>
      <c r="N2716" s="5" t="s">
        <v>105</v>
      </c>
      <c r="O2716" t="s">
        <v>28</v>
      </c>
      <c r="P2716" t="s">
        <v>21</v>
      </c>
      <c r="Q2716" t="s">
        <v>37</v>
      </c>
      <c r="R2716">
        <v>0.37</v>
      </c>
      <c r="S2716" s="1">
        <v>41166</v>
      </c>
      <c r="T2716" t="str">
        <f t="shared" si="85"/>
        <v>14-Sep-2012</v>
      </c>
    </row>
    <row r="2717" spans="1:20" x14ac:dyDescent="0.3">
      <c r="A2717">
        <v>43814</v>
      </c>
      <c r="B2717" s="1">
        <v>40552</v>
      </c>
      <c r="C2717" t="s">
        <v>38</v>
      </c>
      <c r="D2717" t="str">
        <f t="shared" si="84"/>
        <v>09-Jan-2011</v>
      </c>
      <c r="E2717">
        <v>47</v>
      </c>
      <c r="F2717" s="13">
        <v>199.48</v>
      </c>
      <c r="G2717">
        <v>0.03</v>
      </c>
      <c r="H2717" t="s">
        <v>19</v>
      </c>
      <c r="I2717" s="13">
        <v>13.8</v>
      </c>
      <c r="J2717">
        <v>4.2</v>
      </c>
      <c r="K2717">
        <v>2.2599999999999998</v>
      </c>
      <c r="L2717" t="s">
        <v>267</v>
      </c>
      <c r="M2717" t="s">
        <v>104</v>
      </c>
      <c r="N2717" s="5" t="s">
        <v>105</v>
      </c>
      <c r="O2717" t="s">
        <v>28</v>
      </c>
      <c r="P2717" t="s">
        <v>21</v>
      </c>
      <c r="Q2717" t="s">
        <v>37</v>
      </c>
      <c r="R2717">
        <v>0.36</v>
      </c>
      <c r="S2717" s="1">
        <v>40553</v>
      </c>
      <c r="T2717" t="str">
        <f t="shared" si="85"/>
        <v>10-Jan-2011</v>
      </c>
    </row>
    <row r="2718" spans="1:20" x14ac:dyDescent="0.3">
      <c r="A2718">
        <v>54307</v>
      </c>
      <c r="B2718" s="1">
        <v>40916</v>
      </c>
      <c r="C2718" t="s">
        <v>23</v>
      </c>
      <c r="D2718" t="str">
        <f t="shared" si="84"/>
        <v>08-Jan-2012</v>
      </c>
      <c r="E2718">
        <v>41</v>
      </c>
      <c r="F2718" s="13">
        <v>198.29</v>
      </c>
      <c r="G2718">
        <v>0.08</v>
      </c>
      <c r="H2718" t="s">
        <v>19</v>
      </c>
      <c r="I2718" s="13">
        <v>-134.41</v>
      </c>
      <c r="J2718">
        <v>4.91</v>
      </c>
      <c r="K2718">
        <v>5.68</v>
      </c>
      <c r="L2718" t="s">
        <v>393</v>
      </c>
      <c r="M2718" t="s">
        <v>104</v>
      </c>
      <c r="N2718" s="5" t="s">
        <v>105</v>
      </c>
      <c r="O2718" t="s">
        <v>28</v>
      </c>
      <c r="P2718" t="s">
        <v>21</v>
      </c>
      <c r="Q2718" t="s">
        <v>26</v>
      </c>
      <c r="R2718">
        <v>0.36</v>
      </c>
      <c r="S2718" s="1">
        <v>40917</v>
      </c>
      <c r="T2718" t="str">
        <f t="shared" si="85"/>
        <v>09-Jan-2012</v>
      </c>
    </row>
    <row r="2719" spans="1:20" x14ac:dyDescent="0.3">
      <c r="A2719">
        <v>43814</v>
      </c>
      <c r="B2719" s="1">
        <v>40552</v>
      </c>
      <c r="C2719" t="s">
        <v>38</v>
      </c>
      <c r="D2719" t="str">
        <f t="shared" si="84"/>
        <v>09-Jan-2011</v>
      </c>
      <c r="E2719">
        <v>40</v>
      </c>
      <c r="F2719" s="13">
        <v>197.1</v>
      </c>
      <c r="G2719">
        <v>0.09</v>
      </c>
      <c r="H2719" t="s">
        <v>19</v>
      </c>
      <c r="I2719" s="13">
        <v>-12.88</v>
      </c>
      <c r="J2719">
        <v>5.28</v>
      </c>
      <c r="K2719">
        <v>2.99</v>
      </c>
      <c r="L2719" t="s">
        <v>267</v>
      </c>
      <c r="M2719" t="s">
        <v>104</v>
      </c>
      <c r="N2719" s="5" t="s">
        <v>105</v>
      </c>
      <c r="O2719" t="s">
        <v>28</v>
      </c>
      <c r="P2719" t="s">
        <v>21</v>
      </c>
      <c r="Q2719" t="s">
        <v>26</v>
      </c>
      <c r="R2719">
        <v>0.37</v>
      </c>
      <c r="S2719" s="1">
        <v>40553</v>
      </c>
      <c r="T2719" t="str">
        <f t="shared" si="85"/>
        <v>10-Jan-2011</v>
      </c>
    </row>
    <row r="2720" spans="1:20" x14ac:dyDescent="0.3">
      <c r="A2720">
        <v>29985</v>
      </c>
      <c r="B2720" s="1">
        <v>41101</v>
      </c>
      <c r="C2720" t="s">
        <v>43</v>
      </c>
      <c r="D2720" t="str">
        <f t="shared" si="84"/>
        <v>11-Jul-2012</v>
      </c>
      <c r="E2720">
        <v>22</v>
      </c>
      <c r="F2720" s="13">
        <v>196.75</v>
      </c>
      <c r="G2720">
        <v>0.03</v>
      </c>
      <c r="H2720" t="s">
        <v>35</v>
      </c>
      <c r="I2720" s="13">
        <v>0.13</v>
      </c>
      <c r="J2720">
        <v>7.96</v>
      </c>
      <c r="K2720">
        <v>4.95</v>
      </c>
      <c r="L2720" t="s">
        <v>126</v>
      </c>
      <c r="M2720" t="s">
        <v>104</v>
      </c>
      <c r="N2720" s="5" t="s">
        <v>105</v>
      </c>
      <c r="O2720" t="s">
        <v>28</v>
      </c>
      <c r="P2720" t="s">
        <v>32</v>
      </c>
      <c r="Q2720" t="s">
        <v>33</v>
      </c>
      <c r="R2720">
        <v>0.41</v>
      </c>
      <c r="S2720" s="1">
        <v>41102</v>
      </c>
      <c r="T2720" t="str">
        <f t="shared" si="85"/>
        <v>12-Jul-2012</v>
      </c>
    </row>
    <row r="2721" spans="1:20" x14ac:dyDescent="0.3">
      <c r="A2721">
        <v>4261</v>
      </c>
      <c r="B2721" s="1">
        <v>41184</v>
      </c>
      <c r="C2721" t="s">
        <v>43</v>
      </c>
      <c r="D2721" t="str">
        <f t="shared" si="84"/>
        <v>02-Oct-2012</v>
      </c>
      <c r="E2721">
        <v>33</v>
      </c>
      <c r="F2721" s="13">
        <v>195.98</v>
      </c>
      <c r="G2721">
        <v>0.08</v>
      </c>
      <c r="H2721" t="s">
        <v>19</v>
      </c>
      <c r="I2721" s="13">
        <v>-71.47</v>
      </c>
      <c r="J2721">
        <v>5.98</v>
      </c>
      <c r="K2721">
        <v>5.35</v>
      </c>
      <c r="L2721" t="s">
        <v>121</v>
      </c>
      <c r="M2721" t="s">
        <v>104</v>
      </c>
      <c r="N2721" s="5" t="s">
        <v>105</v>
      </c>
      <c r="O2721" t="s">
        <v>28</v>
      </c>
      <c r="P2721" t="s">
        <v>21</v>
      </c>
      <c r="Q2721" t="s">
        <v>37</v>
      </c>
      <c r="R2721">
        <v>0.4</v>
      </c>
      <c r="S2721" s="1">
        <v>41186</v>
      </c>
      <c r="T2721" t="str">
        <f t="shared" si="85"/>
        <v>04-Oct-2012</v>
      </c>
    </row>
    <row r="2722" spans="1:20" x14ac:dyDescent="0.3">
      <c r="A2722">
        <v>20960</v>
      </c>
      <c r="B2722" s="1">
        <v>40865</v>
      </c>
      <c r="C2722" t="s">
        <v>18</v>
      </c>
      <c r="D2722" t="str">
        <f t="shared" si="84"/>
        <v>18-Nov-2011</v>
      </c>
      <c r="E2722">
        <v>19</v>
      </c>
      <c r="F2722" s="13">
        <v>195.96</v>
      </c>
      <c r="G2722">
        <v>0.1</v>
      </c>
      <c r="H2722" t="s">
        <v>19</v>
      </c>
      <c r="I2722" s="13">
        <v>-104.82</v>
      </c>
      <c r="J2722">
        <v>10.97</v>
      </c>
      <c r="K2722">
        <v>6.5</v>
      </c>
      <c r="L2722" t="s">
        <v>120</v>
      </c>
      <c r="M2722" t="s">
        <v>104</v>
      </c>
      <c r="N2722" s="5" t="s">
        <v>105</v>
      </c>
      <c r="O2722" t="s">
        <v>28</v>
      </c>
      <c r="P2722" t="s">
        <v>29</v>
      </c>
      <c r="Q2722" t="s">
        <v>41</v>
      </c>
      <c r="R2722">
        <v>0.64</v>
      </c>
      <c r="S2722" s="1">
        <v>40870</v>
      </c>
      <c r="T2722" t="str">
        <f t="shared" si="85"/>
        <v>23-Nov-2011</v>
      </c>
    </row>
    <row r="2723" spans="1:20" x14ac:dyDescent="0.3">
      <c r="A2723">
        <v>21024</v>
      </c>
      <c r="B2723" s="1">
        <v>40540</v>
      </c>
      <c r="C2723" t="s">
        <v>38</v>
      </c>
      <c r="D2723" t="str">
        <f t="shared" si="84"/>
        <v>28-Dec-2010</v>
      </c>
      <c r="E2723">
        <v>34</v>
      </c>
      <c r="F2723" s="13">
        <v>195.49</v>
      </c>
      <c r="G2723">
        <v>0.05</v>
      </c>
      <c r="H2723" t="s">
        <v>19</v>
      </c>
      <c r="I2723" s="13">
        <v>33.799999999999997</v>
      </c>
      <c r="J2723">
        <v>5.84</v>
      </c>
      <c r="K2723">
        <v>1.2</v>
      </c>
      <c r="L2723" t="s">
        <v>117</v>
      </c>
      <c r="M2723" t="s">
        <v>104</v>
      </c>
      <c r="N2723" s="5" t="s">
        <v>105</v>
      </c>
      <c r="O2723" t="s">
        <v>28</v>
      </c>
      <c r="P2723" t="s">
        <v>21</v>
      </c>
      <c r="Q2723" t="s">
        <v>50</v>
      </c>
      <c r="R2723">
        <v>0.55000000000000004</v>
      </c>
      <c r="S2723" s="1">
        <v>40542</v>
      </c>
      <c r="T2723" t="str">
        <f t="shared" si="85"/>
        <v>30-Dec-2010</v>
      </c>
    </row>
    <row r="2724" spans="1:20" x14ac:dyDescent="0.3">
      <c r="A2724">
        <v>10144</v>
      </c>
      <c r="B2724" s="1">
        <v>40545</v>
      </c>
      <c r="C2724" t="s">
        <v>43</v>
      </c>
      <c r="D2724" t="str">
        <f t="shared" si="84"/>
        <v>02-Jan-2011</v>
      </c>
      <c r="E2724">
        <v>1</v>
      </c>
      <c r="F2724" s="13">
        <v>192.49</v>
      </c>
      <c r="G2724">
        <v>0.02</v>
      </c>
      <c r="H2724" t="s">
        <v>24</v>
      </c>
      <c r="I2724" s="13">
        <v>-98.3</v>
      </c>
      <c r="J2724">
        <v>160.97999999999999</v>
      </c>
      <c r="K2724">
        <v>30</v>
      </c>
      <c r="L2724" t="s">
        <v>112</v>
      </c>
      <c r="M2724" t="s">
        <v>104</v>
      </c>
      <c r="N2724" s="5" t="s">
        <v>105</v>
      </c>
      <c r="O2724" t="s">
        <v>28</v>
      </c>
      <c r="P2724" t="s">
        <v>32</v>
      </c>
      <c r="Q2724" t="s">
        <v>56</v>
      </c>
      <c r="R2724">
        <v>0.62</v>
      </c>
      <c r="S2724" s="1">
        <v>40547</v>
      </c>
      <c r="T2724" t="str">
        <f t="shared" si="85"/>
        <v>04-Jan-2011</v>
      </c>
    </row>
    <row r="2725" spans="1:20" x14ac:dyDescent="0.3">
      <c r="A2725">
        <v>51648</v>
      </c>
      <c r="B2725" s="1">
        <v>40909</v>
      </c>
      <c r="C2725" t="s">
        <v>18</v>
      </c>
      <c r="D2725" t="str">
        <f t="shared" si="84"/>
        <v>01-Jan-2012</v>
      </c>
      <c r="E2725">
        <v>50</v>
      </c>
      <c r="F2725" s="13">
        <v>187.88</v>
      </c>
      <c r="G2725">
        <v>0.08</v>
      </c>
      <c r="H2725" t="s">
        <v>19</v>
      </c>
      <c r="I2725" s="13">
        <v>-38.229999999999997</v>
      </c>
      <c r="J2725">
        <v>3.98</v>
      </c>
      <c r="K2725">
        <v>2.97</v>
      </c>
      <c r="L2725" t="s">
        <v>80</v>
      </c>
      <c r="M2725" t="s">
        <v>104</v>
      </c>
      <c r="N2725" s="5" t="s">
        <v>105</v>
      </c>
      <c r="O2725" t="s">
        <v>28</v>
      </c>
      <c r="P2725" t="s">
        <v>21</v>
      </c>
      <c r="Q2725" t="s">
        <v>37</v>
      </c>
      <c r="R2725">
        <v>0.35</v>
      </c>
      <c r="S2725" s="1">
        <v>40914</v>
      </c>
      <c r="T2725" t="str">
        <f t="shared" si="85"/>
        <v>06-Jan-2012</v>
      </c>
    </row>
    <row r="2726" spans="1:20" x14ac:dyDescent="0.3">
      <c r="A2726">
        <v>41888</v>
      </c>
      <c r="B2726" s="1">
        <v>39872</v>
      </c>
      <c r="C2726" t="s">
        <v>18</v>
      </c>
      <c r="D2726" t="str">
        <f t="shared" si="84"/>
        <v>28-Feb-2009</v>
      </c>
      <c r="E2726">
        <v>23</v>
      </c>
      <c r="F2726" s="13">
        <v>187.8</v>
      </c>
      <c r="G2726">
        <v>0.08</v>
      </c>
      <c r="H2726" t="s">
        <v>35</v>
      </c>
      <c r="I2726" s="13">
        <v>-41.83</v>
      </c>
      <c r="J2726">
        <v>8.32</v>
      </c>
      <c r="K2726">
        <v>2.38</v>
      </c>
      <c r="L2726" t="s">
        <v>382</v>
      </c>
      <c r="M2726" t="s">
        <v>104</v>
      </c>
      <c r="N2726" s="5" t="s">
        <v>105</v>
      </c>
      <c r="O2726" t="s">
        <v>28</v>
      </c>
      <c r="P2726" t="s">
        <v>29</v>
      </c>
      <c r="Q2726" t="s">
        <v>41</v>
      </c>
      <c r="R2726">
        <v>0.74</v>
      </c>
      <c r="S2726" s="1">
        <v>39876</v>
      </c>
      <c r="T2726" t="str">
        <f t="shared" si="85"/>
        <v>04-Mar-2009</v>
      </c>
    </row>
    <row r="2727" spans="1:20" x14ac:dyDescent="0.3">
      <c r="A2727">
        <v>33600</v>
      </c>
      <c r="B2727" s="1">
        <v>40457</v>
      </c>
      <c r="C2727" t="s">
        <v>18</v>
      </c>
      <c r="D2727" t="str">
        <f t="shared" si="84"/>
        <v>06-Oct-2010</v>
      </c>
      <c r="E2727">
        <v>42</v>
      </c>
      <c r="F2727" s="13">
        <v>187.28</v>
      </c>
      <c r="G2727">
        <v>0.06</v>
      </c>
      <c r="H2727" t="s">
        <v>19</v>
      </c>
      <c r="I2727" s="13">
        <v>-94.36</v>
      </c>
      <c r="J2727">
        <v>4.28</v>
      </c>
      <c r="K2727">
        <v>4.79</v>
      </c>
      <c r="L2727" t="s">
        <v>112</v>
      </c>
      <c r="M2727" t="s">
        <v>104</v>
      </c>
      <c r="N2727" s="5" t="s">
        <v>105</v>
      </c>
      <c r="O2727" t="s">
        <v>28</v>
      </c>
      <c r="P2727" t="s">
        <v>21</v>
      </c>
      <c r="Q2727" t="s">
        <v>37</v>
      </c>
      <c r="R2727">
        <v>0.4</v>
      </c>
      <c r="S2727" s="1">
        <v>40459</v>
      </c>
      <c r="T2727" t="str">
        <f t="shared" si="85"/>
        <v>08-Oct-2010</v>
      </c>
    </row>
    <row r="2728" spans="1:20" x14ac:dyDescent="0.3">
      <c r="A2728">
        <v>13158</v>
      </c>
      <c r="B2728" s="1">
        <v>41233</v>
      </c>
      <c r="C2728" t="s">
        <v>43</v>
      </c>
      <c r="D2728" t="str">
        <f t="shared" si="84"/>
        <v>20-Nov-2012</v>
      </c>
      <c r="E2728">
        <v>26</v>
      </c>
      <c r="F2728" s="13">
        <v>187.16</v>
      </c>
      <c r="G2728">
        <v>0.01</v>
      </c>
      <c r="H2728" t="s">
        <v>19</v>
      </c>
      <c r="I2728" s="13">
        <v>29.33</v>
      </c>
      <c r="J2728">
        <v>6.75</v>
      </c>
      <c r="K2728">
        <v>2.99</v>
      </c>
      <c r="L2728" t="s">
        <v>115</v>
      </c>
      <c r="M2728" t="s">
        <v>104</v>
      </c>
      <c r="N2728" s="5" t="s">
        <v>105</v>
      </c>
      <c r="O2728" t="s">
        <v>28</v>
      </c>
      <c r="P2728" t="s">
        <v>21</v>
      </c>
      <c r="Q2728" t="s">
        <v>26</v>
      </c>
      <c r="R2728">
        <v>0.35</v>
      </c>
      <c r="S2728" s="1">
        <v>41235</v>
      </c>
      <c r="T2728" t="str">
        <f t="shared" si="85"/>
        <v>22-Nov-2012</v>
      </c>
    </row>
    <row r="2729" spans="1:20" x14ac:dyDescent="0.3">
      <c r="A2729">
        <v>18471</v>
      </c>
      <c r="B2729" s="1">
        <v>39863</v>
      </c>
      <c r="C2729" t="s">
        <v>31</v>
      </c>
      <c r="D2729" t="str">
        <f t="shared" si="84"/>
        <v>19-Feb-2009</v>
      </c>
      <c r="E2729">
        <v>29</v>
      </c>
      <c r="F2729" s="13">
        <v>185.61</v>
      </c>
      <c r="G2729">
        <v>0.02</v>
      </c>
      <c r="H2729" t="s">
        <v>19</v>
      </c>
      <c r="I2729" s="13">
        <v>-47.12</v>
      </c>
      <c r="J2729">
        <v>5.98</v>
      </c>
      <c r="K2729">
        <v>5.46</v>
      </c>
      <c r="L2729" t="s">
        <v>107</v>
      </c>
      <c r="M2729" t="s">
        <v>104</v>
      </c>
      <c r="N2729" s="5" t="s">
        <v>105</v>
      </c>
      <c r="O2729" t="s">
        <v>28</v>
      </c>
      <c r="P2729" t="s">
        <v>21</v>
      </c>
      <c r="Q2729" t="s">
        <v>37</v>
      </c>
      <c r="R2729">
        <v>0.36</v>
      </c>
      <c r="S2729" s="1">
        <v>39864</v>
      </c>
      <c r="T2729" t="str">
        <f t="shared" si="85"/>
        <v>20-Feb-2009</v>
      </c>
    </row>
    <row r="2730" spans="1:20" x14ac:dyDescent="0.3">
      <c r="A2730">
        <v>11332</v>
      </c>
      <c r="B2730" s="1">
        <v>40133</v>
      </c>
      <c r="C2730" t="s">
        <v>18</v>
      </c>
      <c r="D2730" t="str">
        <f t="shared" si="84"/>
        <v>16-Nov-2009</v>
      </c>
      <c r="E2730">
        <v>6</v>
      </c>
      <c r="F2730" s="13">
        <v>184.33099999999999</v>
      </c>
      <c r="G2730">
        <v>7.0000000000000007E-2</v>
      </c>
      <c r="H2730" t="s">
        <v>19</v>
      </c>
      <c r="I2730" s="13">
        <v>-89.2</v>
      </c>
      <c r="J2730">
        <v>35.99</v>
      </c>
      <c r="K2730">
        <v>5.99</v>
      </c>
      <c r="L2730" t="s">
        <v>123</v>
      </c>
      <c r="M2730" t="s">
        <v>104</v>
      </c>
      <c r="N2730" s="5" t="s">
        <v>105</v>
      </c>
      <c r="O2730" t="s">
        <v>28</v>
      </c>
      <c r="P2730" t="s">
        <v>29</v>
      </c>
      <c r="Q2730" t="s">
        <v>30</v>
      </c>
      <c r="R2730">
        <v>0.38</v>
      </c>
      <c r="S2730" s="1">
        <v>40137</v>
      </c>
      <c r="T2730" t="str">
        <f t="shared" si="85"/>
        <v>20-Nov-2009</v>
      </c>
    </row>
    <row r="2731" spans="1:20" x14ac:dyDescent="0.3">
      <c r="A2731">
        <v>53572</v>
      </c>
      <c r="B2731" s="1">
        <v>40305</v>
      </c>
      <c r="C2731" t="s">
        <v>38</v>
      </c>
      <c r="D2731" t="str">
        <f t="shared" si="84"/>
        <v>07-May-2010</v>
      </c>
      <c r="E2731">
        <v>17</v>
      </c>
      <c r="F2731" s="13">
        <v>184.09</v>
      </c>
      <c r="G2731">
        <v>7.0000000000000007E-2</v>
      </c>
      <c r="H2731" t="s">
        <v>19</v>
      </c>
      <c r="I2731" s="13">
        <v>4.79</v>
      </c>
      <c r="J2731">
        <v>11.09</v>
      </c>
      <c r="K2731">
        <v>5.25</v>
      </c>
      <c r="L2731" t="s">
        <v>110</v>
      </c>
      <c r="M2731" t="s">
        <v>104</v>
      </c>
      <c r="N2731" s="5" t="s">
        <v>105</v>
      </c>
      <c r="O2731" t="s">
        <v>28</v>
      </c>
      <c r="P2731" t="s">
        <v>21</v>
      </c>
      <c r="Q2731" t="s">
        <v>42</v>
      </c>
      <c r="R2731">
        <v>0.36</v>
      </c>
      <c r="S2731" s="1">
        <v>40306</v>
      </c>
      <c r="T2731" t="str">
        <f t="shared" si="85"/>
        <v>08-May-2010</v>
      </c>
    </row>
    <row r="2732" spans="1:20" x14ac:dyDescent="0.3">
      <c r="A2732">
        <v>40164</v>
      </c>
      <c r="B2732" s="1">
        <v>40278</v>
      </c>
      <c r="C2732" t="s">
        <v>31</v>
      </c>
      <c r="D2732" t="str">
        <f t="shared" si="84"/>
        <v>10-Apr-2010</v>
      </c>
      <c r="E2732">
        <v>8</v>
      </c>
      <c r="F2732" s="13">
        <v>184.07</v>
      </c>
      <c r="G2732">
        <v>0.04</v>
      </c>
      <c r="H2732" t="s">
        <v>19</v>
      </c>
      <c r="I2732" s="13">
        <v>75.63</v>
      </c>
      <c r="J2732">
        <v>22.98</v>
      </c>
      <c r="K2732">
        <v>7.58</v>
      </c>
      <c r="L2732" t="s">
        <v>132</v>
      </c>
      <c r="M2732" t="s">
        <v>104</v>
      </c>
      <c r="N2732" s="5" t="s">
        <v>105</v>
      </c>
      <c r="O2732" t="s">
        <v>28</v>
      </c>
      <c r="P2732" t="s">
        <v>32</v>
      </c>
      <c r="Q2732" t="s">
        <v>33</v>
      </c>
      <c r="R2732">
        <v>0.51</v>
      </c>
      <c r="S2732" s="1">
        <v>40280</v>
      </c>
      <c r="T2732" t="str">
        <f t="shared" si="85"/>
        <v>12-Apr-2010</v>
      </c>
    </row>
    <row r="2733" spans="1:20" x14ac:dyDescent="0.3">
      <c r="A2733">
        <v>7427</v>
      </c>
      <c r="B2733" s="1">
        <v>41258</v>
      </c>
      <c r="C2733" t="s">
        <v>31</v>
      </c>
      <c r="D2733" t="str">
        <f t="shared" si="84"/>
        <v>15-Dec-2012</v>
      </c>
      <c r="E2733">
        <v>9</v>
      </c>
      <c r="F2733" s="13">
        <v>182.26</v>
      </c>
      <c r="G2733">
        <v>0.01</v>
      </c>
      <c r="H2733" t="s">
        <v>19</v>
      </c>
      <c r="I2733" s="13">
        <v>60.61</v>
      </c>
      <c r="J2733">
        <v>18.940000000000001</v>
      </c>
      <c r="K2733">
        <v>1.49</v>
      </c>
      <c r="L2733" t="s">
        <v>127</v>
      </c>
      <c r="M2733" t="s">
        <v>104</v>
      </c>
      <c r="N2733" s="5" t="s">
        <v>105</v>
      </c>
      <c r="O2733" t="s">
        <v>28</v>
      </c>
      <c r="P2733" t="s">
        <v>21</v>
      </c>
      <c r="Q2733" t="s">
        <v>26</v>
      </c>
      <c r="R2733">
        <v>0.35</v>
      </c>
      <c r="S2733" s="1">
        <v>41259</v>
      </c>
      <c r="T2733" t="str">
        <f t="shared" si="85"/>
        <v>16-Dec-2012</v>
      </c>
    </row>
    <row r="2734" spans="1:20" x14ac:dyDescent="0.3">
      <c r="A2734">
        <v>30149</v>
      </c>
      <c r="B2734" s="1">
        <v>40524</v>
      </c>
      <c r="C2734" t="s">
        <v>38</v>
      </c>
      <c r="D2734" t="str">
        <f t="shared" si="84"/>
        <v>12-Dec-2010</v>
      </c>
      <c r="E2734">
        <v>5</v>
      </c>
      <c r="F2734" s="13">
        <v>173.62</v>
      </c>
      <c r="G2734">
        <v>0.09</v>
      </c>
      <c r="H2734" t="s">
        <v>24</v>
      </c>
      <c r="I2734" s="13">
        <v>-88.64</v>
      </c>
      <c r="J2734">
        <v>33.94</v>
      </c>
      <c r="K2734">
        <v>19.190000000000001</v>
      </c>
      <c r="L2734" t="s">
        <v>129</v>
      </c>
      <c r="M2734" t="s">
        <v>104</v>
      </c>
      <c r="N2734" s="5" t="s">
        <v>105</v>
      </c>
      <c r="O2734" t="s">
        <v>28</v>
      </c>
      <c r="P2734" t="s">
        <v>32</v>
      </c>
      <c r="Q2734" t="s">
        <v>56</v>
      </c>
      <c r="R2734">
        <v>0.57999999999999996</v>
      </c>
      <c r="S2734" s="1">
        <v>40526</v>
      </c>
      <c r="T2734" t="str">
        <f t="shared" si="85"/>
        <v>14-Dec-2010</v>
      </c>
    </row>
    <row r="2735" spans="1:20" x14ac:dyDescent="0.3">
      <c r="A2735">
        <v>59781</v>
      </c>
      <c r="B2735" s="1">
        <v>41255</v>
      </c>
      <c r="C2735" t="s">
        <v>31</v>
      </c>
      <c r="D2735" t="str">
        <f t="shared" si="84"/>
        <v>12-Dec-2012</v>
      </c>
      <c r="E2735">
        <v>24</v>
      </c>
      <c r="F2735" s="13">
        <v>173.12</v>
      </c>
      <c r="G2735">
        <v>0.1</v>
      </c>
      <c r="H2735" t="s">
        <v>19</v>
      </c>
      <c r="I2735" s="13">
        <v>-166.41</v>
      </c>
      <c r="J2735">
        <v>7.28</v>
      </c>
      <c r="K2735">
        <v>11.15</v>
      </c>
      <c r="L2735" t="s">
        <v>252</v>
      </c>
      <c r="M2735" t="s">
        <v>104</v>
      </c>
      <c r="N2735" s="5" t="s">
        <v>105</v>
      </c>
      <c r="O2735" t="s">
        <v>28</v>
      </c>
      <c r="P2735" t="s">
        <v>21</v>
      </c>
      <c r="Q2735" t="s">
        <v>37</v>
      </c>
      <c r="R2735">
        <v>0.37</v>
      </c>
      <c r="S2735" s="1">
        <v>41256</v>
      </c>
      <c r="T2735" t="str">
        <f t="shared" si="85"/>
        <v>13-Dec-2012</v>
      </c>
    </row>
    <row r="2736" spans="1:20" x14ac:dyDescent="0.3">
      <c r="A2736">
        <v>47879</v>
      </c>
      <c r="B2736" s="1">
        <v>40919</v>
      </c>
      <c r="C2736" t="s">
        <v>43</v>
      </c>
      <c r="D2736" t="str">
        <f t="shared" si="84"/>
        <v>11-Jan-2012</v>
      </c>
      <c r="E2736">
        <v>19</v>
      </c>
      <c r="F2736" s="13">
        <v>172.54</v>
      </c>
      <c r="G2736">
        <v>0.08</v>
      </c>
      <c r="H2736" t="s">
        <v>19</v>
      </c>
      <c r="I2736" s="13">
        <v>44.23</v>
      </c>
      <c r="J2736">
        <v>9.11</v>
      </c>
      <c r="K2736">
        <v>2.15</v>
      </c>
      <c r="L2736" t="s">
        <v>380</v>
      </c>
      <c r="M2736" t="s">
        <v>104</v>
      </c>
      <c r="N2736" s="5" t="s">
        <v>105</v>
      </c>
      <c r="O2736" t="s">
        <v>28</v>
      </c>
      <c r="P2736" t="s">
        <v>21</v>
      </c>
      <c r="Q2736" t="s">
        <v>37</v>
      </c>
      <c r="R2736">
        <v>0.4</v>
      </c>
      <c r="S2736" s="1">
        <v>40920</v>
      </c>
      <c r="T2736" t="str">
        <f t="shared" si="85"/>
        <v>12-Jan-2012</v>
      </c>
    </row>
    <row r="2737" spans="1:20" x14ac:dyDescent="0.3">
      <c r="A2737">
        <v>37315</v>
      </c>
      <c r="B2737" s="1">
        <v>41065</v>
      </c>
      <c r="C2737" t="s">
        <v>18</v>
      </c>
      <c r="D2737" t="str">
        <f t="shared" si="84"/>
        <v>05-Jun-2012</v>
      </c>
      <c r="E2737">
        <v>43</v>
      </c>
      <c r="F2737" s="13">
        <v>170.81</v>
      </c>
      <c r="G2737">
        <v>0.1</v>
      </c>
      <c r="H2737" t="s">
        <v>19</v>
      </c>
      <c r="I2737" s="13">
        <v>-133.68</v>
      </c>
      <c r="J2737">
        <v>4.28</v>
      </c>
      <c r="K2737">
        <v>5.17</v>
      </c>
      <c r="L2737" t="s">
        <v>111</v>
      </c>
      <c r="M2737" t="s">
        <v>104</v>
      </c>
      <c r="N2737" s="5" t="s">
        <v>105</v>
      </c>
      <c r="O2737" t="s">
        <v>28</v>
      </c>
      <c r="P2737" t="s">
        <v>21</v>
      </c>
      <c r="Q2737" t="s">
        <v>37</v>
      </c>
      <c r="R2737">
        <v>0.4</v>
      </c>
      <c r="S2737" s="1">
        <v>41072</v>
      </c>
      <c r="T2737" t="str">
        <f t="shared" si="85"/>
        <v>12-Jun-2012</v>
      </c>
    </row>
    <row r="2738" spans="1:20" x14ac:dyDescent="0.3">
      <c r="A2738">
        <v>24070</v>
      </c>
      <c r="B2738" s="1">
        <v>40617</v>
      </c>
      <c r="C2738" t="s">
        <v>23</v>
      </c>
      <c r="D2738" t="str">
        <f t="shared" si="84"/>
        <v>15-Mar-2011</v>
      </c>
      <c r="E2738">
        <v>36</v>
      </c>
      <c r="F2738" s="13">
        <v>170.42</v>
      </c>
      <c r="G2738">
        <v>0.1</v>
      </c>
      <c r="H2738" t="s">
        <v>19</v>
      </c>
      <c r="I2738" s="13">
        <v>-98.31</v>
      </c>
      <c r="J2738">
        <v>4.91</v>
      </c>
      <c r="K2738">
        <v>4.97</v>
      </c>
      <c r="L2738" t="s">
        <v>112</v>
      </c>
      <c r="M2738" t="s">
        <v>104</v>
      </c>
      <c r="N2738" s="5" t="s">
        <v>105</v>
      </c>
      <c r="O2738" t="s">
        <v>28</v>
      </c>
      <c r="P2738" t="s">
        <v>21</v>
      </c>
      <c r="Q2738" t="s">
        <v>26</v>
      </c>
      <c r="R2738">
        <v>0.38</v>
      </c>
      <c r="S2738" s="1">
        <v>40618</v>
      </c>
      <c r="T2738" t="str">
        <f t="shared" si="85"/>
        <v>16-Mar-2011</v>
      </c>
    </row>
    <row r="2739" spans="1:20" x14ac:dyDescent="0.3">
      <c r="A2739">
        <v>38661</v>
      </c>
      <c r="B2739" s="1">
        <v>40951</v>
      </c>
      <c r="C2739" t="s">
        <v>23</v>
      </c>
      <c r="D2739" t="str">
        <f t="shared" si="84"/>
        <v>12-Feb-2012</v>
      </c>
      <c r="E2739">
        <v>6</v>
      </c>
      <c r="F2739" s="13">
        <v>170.374</v>
      </c>
      <c r="G2739">
        <v>0.09</v>
      </c>
      <c r="H2739" t="s">
        <v>19</v>
      </c>
      <c r="I2739" s="13">
        <v>-67.13</v>
      </c>
      <c r="J2739">
        <v>35.99</v>
      </c>
      <c r="K2739">
        <v>0.99</v>
      </c>
      <c r="L2739" t="s">
        <v>387</v>
      </c>
      <c r="M2739" t="s">
        <v>104</v>
      </c>
      <c r="N2739" s="5" t="s">
        <v>105</v>
      </c>
      <c r="O2739" t="s">
        <v>28</v>
      </c>
      <c r="P2739" t="s">
        <v>29</v>
      </c>
      <c r="Q2739" t="s">
        <v>30</v>
      </c>
      <c r="R2739">
        <v>0.35</v>
      </c>
      <c r="S2739" s="1">
        <v>40954</v>
      </c>
      <c r="T2739" t="str">
        <f t="shared" si="85"/>
        <v>15-Feb-2012</v>
      </c>
    </row>
    <row r="2740" spans="1:20" x14ac:dyDescent="0.3">
      <c r="A2740">
        <v>21856</v>
      </c>
      <c r="B2740" s="1">
        <v>41004</v>
      </c>
      <c r="C2740" t="s">
        <v>31</v>
      </c>
      <c r="D2740" t="str">
        <f t="shared" si="84"/>
        <v>05-Apr-2012</v>
      </c>
      <c r="E2740">
        <v>47</v>
      </c>
      <c r="F2740" s="13">
        <v>168.55</v>
      </c>
      <c r="G2740">
        <v>0.05</v>
      </c>
      <c r="H2740" t="s">
        <v>19</v>
      </c>
      <c r="I2740" s="13">
        <v>71.77</v>
      </c>
      <c r="J2740">
        <v>3.69</v>
      </c>
      <c r="K2740">
        <v>0.5</v>
      </c>
      <c r="L2740" t="s">
        <v>112</v>
      </c>
      <c r="M2740" t="s">
        <v>104</v>
      </c>
      <c r="N2740" s="5" t="s">
        <v>105</v>
      </c>
      <c r="O2740" t="s">
        <v>28</v>
      </c>
      <c r="P2740" t="s">
        <v>21</v>
      </c>
      <c r="Q2740" t="s">
        <v>48</v>
      </c>
      <c r="R2740">
        <v>0.38</v>
      </c>
      <c r="S2740" s="1">
        <v>41006</v>
      </c>
      <c r="T2740" t="str">
        <f t="shared" si="85"/>
        <v>07-Apr-2012</v>
      </c>
    </row>
    <row r="2741" spans="1:20" x14ac:dyDescent="0.3">
      <c r="A2741">
        <v>57248</v>
      </c>
      <c r="B2741" s="1">
        <v>40101</v>
      </c>
      <c r="C2741" t="s">
        <v>43</v>
      </c>
      <c r="D2741" t="str">
        <f t="shared" si="84"/>
        <v>15-Oct-2009</v>
      </c>
      <c r="E2741">
        <v>34</v>
      </c>
      <c r="F2741" s="13">
        <v>167.5</v>
      </c>
      <c r="G2741">
        <v>0.04</v>
      </c>
      <c r="H2741" t="s">
        <v>19</v>
      </c>
      <c r="I2741" s="13">
        <v>-84.42</v>
      </c>
      <c r="J2741">
        <v>4.9800000000000004</v>
      </c>
      <c r="K2741">
        <v>4.95</v>
      </c>
      <c r="L2741" t="s">
        <v>230</v>
      </c>
      <c r="M2741" t="s">
        <v>104</v>
      </c>
      <c r="N2741" s="5" t="s">
        <v>105</v>
      </c>
      <c r="O2741" t="s">
        <v>28</v>
      </c>
      <c r="P2741" t="s">
        <v>21</v>
      </c>
      <c r="Q2741" t="s">
        <v>26</v>
      </c>
      <c r="R2741">
        <v>0.37</v>
      </c>
      <c r="S2741" s="1">
        <v>40103</v>
      </c>
      <c r="T2741" t="str">
        <f t="shared" si="85"/>
        <v>17-Oct-2009</v>
      </c>
    </row>
    <row r="2742" spans="1:20" x14ac:dyDescent="0.3">
      <c r="A2742">
        <v>41824</v>
      </c>
      <c r="B2742" s="1">
        <v>40363</v>
      </c>
      <c r="C2742" t="s">
        <v>31</v>
      </c>
      <c r="D2742" t="str">
        <f t="shared" si="84"/>
        <v>04-Jul-2010</v>
      </c>
      <c r="E2742">
        <v>8</v>
      </c>
      <c r="F2742" s="13">
        <v>157.51</v>
      </c>
      <c r="G2742">
        <v>0.01</v>
      </c>
      <c r="H2742" t="s">
        <v>19</v>
      </c>
      <c r="I2742" s="13">
        <v>46.48</v>
      </c>
      <c r="J2742">
        <v>18.940000000000001</v>
      </c>
      <c r="K2742">
        <v>1.49</v>
      </c>
      <c r="L2742" t="s">
        <v>392</v>
      </c>
      <c r="M2742" t="s">
        <v>104</v>
      </c>
      <c r="N2742" s="5" t="s">
        <v>105</v>
      </c>
      <c r="O2742" t="s">
        <v>28</v>
      </c>
      <c r="P2742" t="s">
        <v>21</v>
      </c>
      <c r="Q2742" t="s">
        <v>26</v>
      </c>
      <c r="R2742">
        <v>0.35</v>
      </c>
      <c r="S2742" s="1">
        <v>40364</v>
      </c>
      <c r="T2742" t="str">
        <f t="shared" si="85"/>
        <v>05-Jul-2010</v>
      </c>
    </row>
    <row r="2743" spans="1:20" x14ac:dyDescent="0.3">
      <c r="A2743">
        <v>41413</v>
      </c>
      <c r="B2743" s="1">
        <v>40863</v>
      </c>
      <c r="C2743" t="s">
        <v>18</v>
      </c>
      <c r="D2743" t="str">
        <f t="shared" si="84"/>
        <v>16-Nov-2011</v>
      </c>
      <c r="E2743">
        <v>23</v>
      </c>
      <c r="F2743" s="13">
        <v>156.5</v>
      </c>
      <c r="G2743">
        <v>0.01</v>
      </c>
      <c r="H2743" t="s">
        <v>19</v>
      </c>
      <c r="I2743" s="13">
        <v>-49.6</v>
      </c>
      <c r="J2743">
        <v>6.48</v>
      </c>
      <c r="K2743">
        <v>6</v>
      </c>
      <c r="L2743" t="s">
        <v>392</v>
      </c>
      <c r="M2743" t="s">
        <v>104</v>
      </c>
      <c r="N2743" s="5" t="s">
        <v>105</v>
      </c>
      <c r="O2743" t="s">
        <v>28</v>
      </c>
      <c r="P2743" t="s">
        <v>21</v>
      </c>
      <c r="Q2743" t="s">
        <v>37</v>
      </c>
      <c r="R2743">
        <v>0.37</v>
      </c>
      <c r="S2743" s="1">
        <v>40867</v>
      </c>
      <c r="T2743" t="str">
        <f t="shared" si="85"/>
        <v>20-Nov-2011</v>
      </c>
    </row>
    <row r="2744" spans="1:20" x14ac:dyDescent="0.3">
      <c r="A2744">
        <v>18247</v>
      </c>
      <c r="B2744" s="1">
        <v>40122</v>
      </c>
      <c r="C2744" t="s">
        <v>31</v>
      </c>
      <c r="D2744" t="str">
        <f t="shared" si="84"/>
        <v>05-Nov-2009</v>
      </c>
      <c r="E2744">
        <v>20</v>
      </c>
      <c r="F2744" s="13">
        <v>155.80000000000001</v>
      </c>
      <c r="G2744">
        <v>0</v>
      </c>
      <c r="H2744" t="s">
        <v>19</v>
      </c>
      <c r="I2744" s="13">
        <v>27.22</v>
      </c>
      <c r="J2744">
        <v>7.59</v>
      </c>
      <c r="K2744">
        <v>4</v>
      </c>
      <c r="L2744" t="s">
        <v>108</v>
      </c>
      <c r="M2744" t="s">
        <v>104</v>
      </c>
      <c r="N2744" s="5" t="s">
        <v>105</v>
      </c>
      <c r="O2744" t="s">
        <v>28</v>
      </c>
      <c r="P2744" t="s">
        <v>32</v>
      </c>
      <c r="Q2744" t="s">
        <v>33</v>
      </c>
      <c r="R2744">
        <v>0.42</v>
      </c>
      <c r="S2744" s="1">
        <v>40123</v>
      </c>
      <c r="T2744" t="str">
        <f t="shared" si="85"/>
        <v>06-Nov-2009</v>
      </c>
    </row>
    <row r="2745" spans="1:20" x14ac:dyDescent="0.3">
      <c r="A2745">
        <v>35011</v>
      </c>
      <c r="B2745" s="1">
        <v>41253</v>
      </c>
      <c r="C2745" t="s">
        <v>31</v>
      </c>
      <c r="D2745" t="str">
        <f t="shared" si="84"/>
        <v>10-Dec-2012</v>
      </c>
      <c r="E2745">
        <v>14</v>
      </c>
      <c r="F2745" s="13">
        <v>154.44999999999999</v>
      </c>
      <c r="G2745">
        <v>0.09</v>
      </c>
      <c r="H2745" t="s">
        <v>19</v>
      </c>
      <c r="I2745" s="13">
        <v>-2.31</v>
      </c>
      <c r="J2745">
        <v>10.98</v>
      </c>
      <c r="K2745">
        <v>3.37</v>
      </c>
      <c r="L2745" t="s">
        <v>111</v>
      </c>
      <c r="M2745" t="s">
        <v>104</v>
      </c>
      <c r="N2745" s="5" t="s">
        <v>105</v>
      </c>
      <c r="O2745" t="s">
        <v>28</v>
      </c>
      <c r="P2745" t="s">
        <v>21</v>
      </c>
      <c r="Q2745" t="s">
        <v>67</v>
      </c>
      <c r="R2745">
        <v>0.56999999999999995</v>
      </c>
      <c r="S2745" s="1">
        <v>41255</v>
      </c>
      <c r="T2745" t="str">
        <f t="shared" si="85"/>
        <v>12-Dec-2012</v>
      </c>
    </row>
    <row r="2746" spans="1:20" x14ac:dyDescent="0.3">
      <c r="A2746">
        <v>24576</v>
      </c>
      <c r="B2746" s="1">
        <v>41254</v>
      </c>
      <c r="C2746" t="s">
        <v>31</v>
      </c>
      <c r="D2746" t="str">
        <f t="shared" si="84"/>
        <v>11-Dec-2012</v>
      </c>
      <c r="E2746">
        <v>10</v>
      </c>
      <c r="F2746" s="13">
        <v>152.84</v>
      </c>
      <c r="G2746">
        <v>0.05</v>
      </c>
      <c r="H2746" t="s">
        <v>19</v>
      </c>
      <c r="I2746" s="13">
        <v>38.020000000000003</v>
      </c>
      <c r="J2746">
        <v>14.58</v>
      </c>
      <c r="K2746">
        <v>7.4</v>
      </c>
      <c r="L2746" t="s">
        <v>111</v>
      </c>
      <c r="M2746" t="s">
        <v>104</v>
      </c>
      <c r="N2746" s="5" t="s">
        <v>105</v>
      </c>
      <c r="O2746" t="s">
        <v>28</v>
      </c>
      <c r="P2746" t="s">
        <v>32</v>
      </c>
      <c r="Q2746" t="s">
        <v>33</v>
      </c>
      <c r="R2746">
        <v>0.48</v>
      </c>
      <c r="S2746" s="1">
        <v>41256</v>
      </c>
      <c r="T2746" t="str">
        <f t="shared" si="85"/>
        <v>13-Dec-2012</v>
      </c>
    </row>
    <row r="2747" spans="1:20" x14ac:dyDescent="0.3">
      <c r="A2747">
        <v>35968</v>
      </c>
      <c r="B2747" s="1">
        <v>40971</v>
      </c>
      <c r="C2747" t="s">
        <v>31</v>
      </c>
      <c r="D2747" t="str">
        <f t="shared" si="84"/>
        <v>03-Mar-2012</v>
      </c>
      <c r="E2747">
        <v>21</v>
      </c>
      <c r="F2747" s="13">
        <v>141.19999999999999</v>
      </c>
      <c r="G2747">
        <v>0.05</v>
      </c>
      <c r="H2747" t="s">
        <v>19</v>
      </c>
      <c r="I2747" s="13">
        <v>-74.44</v>
      </c>
      <c r="J2747">
        <v>6.23</v>
      </c>
      <c r="K2747">
        <v>6.97</v>
      </c>
      <c r="L2747" t="s">
        <v>66</v>
      </c>
      <c r="M2747" t="s">
        <v>104</v>
      </c>
      <c r="N2747" s="5" t="s">
        <v>105</v>
      </c>
      <c r="O2747" t="s">
        <v>28</v>
      </c>
      <c r="P2747" t="s">
        <v>21</v>
      </c>
      <c r="Q2747" t="s">
        <v>26</v>
      </c>
      <c r="R2747">
        <v>0.36</v>
      </c>
      <c r="S2747" s="1">
        <v>40973</v>
      </c>
      <c r="T2747" t="str">
        <f t="shared" si="85"/>
        <v>05-Mar-2012</v>
      </c>
    </row>
    <row r="2748" spans="1:20" x14ac:dyDescent="0.3">
      <c r="A2748">
        <v>34980</v>
      </c>
      <c r="B2748" s="1">
        <v>40392</v>
      </c>
      <c r="C2748" t="s">
        <v>31</v>
      </c>
      <c r="D2748" t="str">
        <f t="shared" si="84"/>
        <v>02-Aug-2010</v>
      </c>
      <c r="E2748">
        <v>7</v>
      </c>
      <c r="F2748" s="13">
        <v>140.77000000000001</v>
      </c>
      <c r="G2748">
        <v>0.01</v>
      </c>
      <c r="H2748" t="s">
        <v>19</v>
      </c>
      <c r="I2748" s="13">
        <v>100.77</v>
      </c>
      <c r="J2748">
        <v>18.649999999999999</v>
      </c>
      <c r="K2748">
        <v>3.77</v>
      </c>
      <c r="L2748" t="s">
        <v>382</v>
      </c>
      <c r="M2748" t="s">
        <v>104</v>
      </c>
      <c r="N2748" s="5" t="s">
        <v>105</v>
      </c>
      <c r="O2748" t="s">
        <v>28</v>
      </c>
      <c r="P2748" t="s">
        <v>32</v>
      </c>
      <c r="Q2748" t="s">
        <v>33</v>
      </c>
      <c r="R2748">
        <v>0.39</v>
      </c>
      <c r="S2748" s="1">
        <v>40394</v>
      </c>
      <c r="T2748" t="str">
        <f t="shared" si="85"/>
        <v>04-Aug-2010</v>
      </c>
    </row>
    <row r="2749" spans="1:20" x14ac:dyDescent="0.3">
      <c r="A2749">
        <v>52580</v>
      </c>
      <c r="B2749" s="1">
        <v>41149</v>
      </c>
      <c r="C2749" t="s">
        <v>23</v>
      </c>
      <c r="D2749" t="str">
        <f t="shared" si="84"/>
        <v>28-Aug-2012</v>
      </c>
      <c r="E2749">
        <v>23</v>
      </c>
      <c r="F2749" s="13">
        <v>139.66</v>
      </c>
      <c r="G2749">
        <v>0.02</v>
      </c>
      <c r="H2749" t="s">
        <v>19</v>
      </c>
      <c r="I2749" s="13">
        <v>46.69</v>
      </c>
      <c r="J2749">
        <v>5.68</v>
      </c>
      <c r="K2749">
        <v>1.39</v>
      </c>
      <c r="L2749" t="s">
        <v>334</v>
      </c>
      <c r="M2749" t="s">
        <v>104</v>
      </c>
      <c r="N2749" s="5" t="s">
        <v>105</v>
      </c>
      <c r="O2749" t="s">
        <v>28</v>
      </c>
      <c r="P2749" t="s">
        <v>21</v>
      </c>
      <c r="Q2749" t="s">
        <v>42</v>
      </c>
      <c r="R2749">
        <v>0.38</v>
      </c>
      <c r="S2749" s="1">
        <v>41151</v>
      </c>
      <c r="T2749" t="str">
        <f t="shared" si="85"/>
        <v>30-Aug-2012</v>
      </c>
    </row>
    <row r="2750" spans="1:20" x14ac:dyDescent="0.3">
      <c r="A2750">
        <v>27396</v>
      </c>
      <c r="B2750" s="1">
        <v>40520</v>
      </c>
      <c r="C2750" t="s">
        <v>43</v>
      </c>
      <c r="D2750" t="str">
        <f t="shared" si="84"/>
        <v>08-Dec-2010</v>
      </c>
      <c r="E2750">
        <v>14</v>
      </c>
      <c r="F2750" s="13">
        <v>138.31</v>
      </c>
      <c r="G2750">
        <v>7.0000000000000007E-2</v>
      </c>
      <c r="H2750" t="s">
        <v>19</v>
      </c>
      <c r="I2750" s="13">
        <v>-31.16</v>
      </c>
      <c r="J2750">
        <v>9.77</v>
      </c>
      <c r="K2750">
        <v>6.02</v>
      </c>
      <c r="L2750" t="s">
        <v>142</v>
      </c>
      <c r="M2750" t="s">
        <v>104</v>
      </c>
      <c r="N2750" s="5" t="s">
        <v>105</v>
      </c>
      <c r="O2750" t="s">
        <v>28</v>
      </c>
      <c r="P2750" t="s">
        <v>32</v>
      </c>
      <c r="Q2750" t="s">
        <v>33</v>
      </c>
      <c r="R2750">
        <v>0.48</v>
      </c>
      <c r="S2750" s="1">
        <v>40522</v>
      </c>
      <c r="T2750" t="str">
        <f t="shared" si="85"/>
        <v>10-Dec-2010</v>
      </c>
    </row>
    <row r="2751" spans="1:20" x14ac:dyDescent="0.3">
      <c r="A2751">
        <v>40801</v>
      </c>
      <c r="B2751" s="1">
        <v>41091</v>
      </c>
      <c r="C2751" t="s">
        <v>31</v>
      </c>
      <c r="D2751" t="str">
        <f t="shared" si="84"/>
        <v>01-Jul-2012</v>
      </c>
      <c r="E2751">
        <v>20</v>
      </c>
      <c r="F2751" s="13">
        <v>129.16</v>
      </c>
      <c r="G2751">
        <v>7.0000000000000007E-2</v>
      </c>
      <c r="H2751" t="s">
        <v>19</v>
      </c>
      <c r="I2751" s="13">
        <v>-56.15</v>
      </c>
      <c r="J2751">
        <v>6.48</v>
      </c>
      <c r="K2751">
        <v>6.22</v>
      </c>
      <c r="L2751" t="s">
        <v>128</v>
      </c>
      <c r="M2751" t="s">
        <v>104</v>
      </c>
      <c r="N2751" s="5" t="s">
        <v>105</v>
      </c>
      <c r="O2751" t="s">
        <v>28</v>
      </c>
      <c r="P2751" t="s">
        <v>21</v>
      </c>
      <c r="Q2751" t="s">
        <v>37</v>
      </c>
      <c r="R2751">
        <v>0.37</v>
      </c>
      <c r="S2751" s="1">
        <v>41091</v>
      </c>
      <c r="T2751" t="str">
        <f t="shared" si="85"/>
        <v>01-Jul-2012</v>
      </c>
    </row>
    <row r="2752" spans="1:20" x14ac:dyDescent="0.3">
      <c r="A2752">
        <v>11392</v>
      </c>
      <c r="B2752" s="1">
        <v>40061</v>
      </c>
      <c r="C2752" t="s">
        <v>18</v>
      </c>
      <c r="D2752" t="str">
        <f t="shared" si="84"/>
        <v>05-Sep-2009</v>
      </c>
      <c r="E2752">
        <v>28</v>
      </c>
      <c r="F2752" s="13">
        <v>128.69</v>
      </c>
      <c r="G2752">
        <v>0.04</v>
      </c>
      <c r="H2752" t="s">
        <v>19</v>
      </c>
      <c r="I2752" s="13">
        <v>28.29</v>
      </c>
      <c r="J2752">
        <v>4.55</v>
      </c>
      <c r="K2752">
        <v>1.49</v>
      </c>
      <c r="L2752" t="s">
        <v>128</v>
      </c>
      <c r="M2752" t="s">
        <v>104</v>
      </c>
      <c r="N2752" s="5" t="s">
        <v>105</v>
      </c>
      <c r="O2752" t="s">
        <v>28</v>
      </c>
      <c r="P2752" t="s">
        <v>21</v>
      </c>
      <c r="Q2752" t="s">
        <v>26</v>
      </c>
      <c r="R2752">
        <v>0.35</v>
      </c>
      <c r="S2752" s="1">
        <v>40063</v>
      </c>
      <c r="T2752" t="str">
        <f t="shared" si="85"/>
        <v>07-Sep-2009</v>
      </c>
    </row>
    <row r="2753" spans="1:20" x14ac:dyDescent="0.3">
      <c r="A2753">
        <v>54119</v>
      </c>
      <c r="B2753" s="1">
        <v>40320</v>
      </c>
      <c r="C2753" t="s">
        <v>38</v>
      </c>
      <c r="D2753" t="str">
        <f t="shared" si="84"/>
        <v>22-May-2010</v>
      </c>
      <c r="E2753">
        <v>4</v>
      </c>
      <c r="F2753" s="13">
        <v>127.56</v>
      </c>
      <c r="G2753">
        <v>0.05</v>
      </c>
      <c r="H2753" t="s">
        <v>19</v>
      </c>
      <c r="I2753" s="13">
        <v>-41.75</v>
      </c>
      <c r="J2753">
        <v>29.74</v>
      </c>
      <c r="K2753">
        <v>6.64</v>
      </c>
      <c r="L2753" t="s">
        <v>36</v>
      </c>
      <c r="M2753" t="s">
        <v>104</v>
      </c>
      <c r="N2753" s="5" t="s">
        <v>105</v>
      </c>
      <c r="O2753" t="s">
        <v>28</v>
      </c>
      <c r="P2753" t="s">
        <v>21</v>
      </c>
      <c r="Q2753" t="s">
        <v>22</v>
      </c>
      <c r="R2753">
        <v>0.7</v>
      </c>
      <c r="S2753" s="1">
        <v>40323</v>
      </c>
      <c r="T2753" t="str">
        <f t="shared" si="85"/>
        <v>25-May-2010</v>
      </c>
    </row>
    <row r="2754" spans="1:20" x14ac:dyDescent="0.3">
      <c r="A2754">
        <v>44836</v>
      </c>
      <c r="B2754" s="1">
        <v>40067</v>
      </c>
      <c r="C2754" t="s">
        <v>38</v>
      </c>
      <c r="D2754" t="str">
        <f t="shared" ref="D2754:D2817" si="86">TEXT(B2754, "dd-mmm-yyyy" )</f>
        <v>11-Sep-2009</v>
      </c>
      <c r="E2754">
        <v>21</v>
      </c>
      <c r="F2754" s="13">
        <v>125.79</v>
      </c>
      <c r="G2754">
        <v>0.02</v>
      </c>
      <c r="H2754" t="s">
        <v>19</v>
      </c>
      <c r="I2754" s="13">
        <v>28.53</v>
      </c>
      <c r="J2754">
        <v>5.98</v>
      </c>
      <c r="K2754">
        <v>1.49</v>
      </c>
      <c r="L2754" t="s">
        <v>380</v>
      </c>
      <c r="M2754" t="s">
        <v>104</v>
      </c>
      <c r="N2754" s="5" t="s">
        <v>105</v>
      </c>
      <c r="O2754" t="s">
        <v>28</v>
      </c>
      <c r="P2754" t="s">
        <v>21</v>
      </c>
      <c r="Q2754" t="s">
        <v>26</v>
      </c>
      <c r="R2754">
        <v>0.39</v>
      </c>
      <c r="S2754" s="1">
        <v>40068</v>
      </c>
      <c r="T2754" t="str">
        <f t="shared" ref="T2754:T2817" si="87">TEXT(S2754, "dd-mmm-yyyy")</f>
        <v>12-Sep-2009</v>
      </c>
    </row>
    <row r="2755" spans="1:20" x14ac:dyDescent="0.3">
      <c r="A2755">
        <v>36803</v>
      </c>
      <c r="B2755" s="1">
        <v>41125</v>
      </c>
      <c r="C2755" t="s">
        <v>31</v>
      </c>
      <c r="D2755" t="str">
        <f t="shared" si="86"/>
        <v>04-Aug-2012</v>
      </c>
      <c r="E2755">
        <v>42</v>
      </c>
      <c r="F2755" s="13">
        <v>121.65</v>
      </c>
      <c r="G2755">
        <v>0.05</v>
      </c>
      <c r="H2755" t="s">
        <v>19</v>
      </c>
      <c r="I2755" s="13">
        <v>30.76</v>
      </c>
      <c r="J2755">
        <v>2.88</v>
      </c>
      <c r="K2755">
        <v>0.99</v>
      </c>
      <c r="L2755" t="s">
        <v>124</v>
      </c>
      <c r="M2755" t="s">
        <v>104</v>
      </c>
      <c r="N2755" s="5" t="s">
        <v>105</v>
      </c>
      <c r="O2755" t="s">
        <v>28</v>
      </c>
      <c r="P2755" t="s">
        <v>21</v>
      </c>
      <c r="Q2755" t="s">
        <v>48</v>
      </c>
      <c r="R2755">
        <v>0.36</v>
      </c>
      <c r="S2755" s="1">
        <v>41127</v>
      </c>
      <c r="T2755" t="str">
        <f t="shared" si="87"/>
        <v>06-Aug-2012</v>
      </c>
    </row>
    <row r="2756" spans="1:20" x14ac:dyDescent="0.3">
      <c r="A2756">
        <v>4067</v>
      </c>
      <c r="B2756" s="1">
        <v>41188</v>
      </c>
      <c r="C2756" t="s">
        <v>23</v>
      </c>
      <c r="D2756" t="str">
        <f t="shared" si="86"/>
        <v>06-Oct-2012</v>
      </c>
      <c r="E2756">
        <v>16</v>
      </c>
      <c r="F2756" s="13">
        <v>118.38</v>
      </c>
      <c r="G2756">
        <v>0.04</v>
      </c>
      <c r="H2756" t="s">
        <v>19</v>
      </c>
      <c r="I2756" s="13">
        <v>-42.46</v>
      </c>
      <c r="J2756">
        <v>7.1</v>
      </c>
      <c r="K2756">
        <v>6.05</v>
      </c>
      <c r="L2756" t="s">
        <v>122</v>
      </c>
      <c r="M2756" t="s">
        <v>104</v>
      </c>
      <c r="N2756" s="5" t="s">
        <v>105</v>
      </c>
      <c r="O2756" t="s">
        <v>28</v>
      </c>
      <c r="P2756" t="s">
        <v>21</v>
      </c>
      <c r="Q2756" t="s">
        <v>26</v>
      </c>
      <c r="R2756">
        <v>0.39</v>
      </c>
      <c r="S2756" s="1">
        <v>41190</v>
      </c>
      <c r="T2756" t="str">
        <f t="shared" si="87"/>
        <v>08-Oct-2012</v>
      </c>
    </row>
    <row r="2757" spans="1:20" x14ac:dyDescent="0.3">
      <c r="A2757">
        <v>11074</v>
      </c>
      <c r="B2757" s="1">
        <v>40703</v>
      </c>
      <c r="C2757" t="s">
        <v>23</v>
      </c>
      <c r="D2757" t="str">
        <f t="shared" si="86"/>
        <v>09-Jun-2011</v>
      </c>
      <c r="E2757">
        <v>21</v>
      </c>
      <c r="F2757" s="13">
        <v>114.53</v>
      </c>
      <c r="G2757">
        <v>7.0000000000000007E-2</v>
      </c>
      <c r="H2757" t="s">
        <v>19</v>
      </c>
      <c r="I2757" s="13">
        <v>-39.229999999999997</v>
      </c>
      <c r="J2757">
        <v>5.68</v>
      </c>
      <c r="K2757">
        <v>3.6</v>
      </c>
      <c r="L2757" t="s">
        <v>265</v>
      </c>
      <c r="M2757" t="s">
        <v>104</v>
      </c>
      <c r="N2757" s="5" t="s">
        <v>105</v>
      </c>
      <c r="O2757" t="s">
        <v>28</v>
      </c>
      <c r="P2757" t="s">
        <v>21</v>
      </c>
      <c r="Q2757" t="s">
        <v>67</v>
      </c>
      <c r="R2757">
        <v>0.56000000000000005</v>
      </c>
      <c r="S2757" s="1">
        <v>40705</v>
      </c>
      <c r="T2757" t="str">
        <f t="shared" si="87"/>
        <v>11-Jun-2011</v>
      </c>
    </row>
    <row r="2758" spans="1:20" x14ac:dyDescent="0.3">
      <c r="A2758">
        <v>44256</v>
      </c>
      <c r="B2758" s="1">
        <v>40866</v>
      </c>
      <c r="C2758" t="s">
        <v>18</v>
      </c>
      <c r="D2758" t="str">
        <f t="shared" si="86"/>
        <v>19-Nov-2011</v>
      </c>
      <c r="E2758">
        <v>17</v>
      </c>
      <c r="F2758" s="13">
        <v>114.28</v>
      </c>
      <c r="G2758">
        <v>0.08</v>
      </c>
      <c r="H2758" t="s">
        <v>19</v>
      </c>
      <c r="I2758" s="13">
        <v>-38.72</v>
      </c>
      <c r="J2758">
        <v>6.48</v>
      </c>
      <c r="K2758">
        <v>5.84</v>
      </c>
      <c r="L2758" t="s">
        <v>109</v>
      </c>
      <c r="M2758" t="s">
        <v>104</v>
      </c>
      <c r="N2758" s="5" t="s">
        <v>105</v>
      </c>
      <c r="O2758" t="s">
        <v>28</v>
      </c>
      <c r="P2758" t="s">
        <v>21</v>
      </c>
      <c r="Q2758" t="s">
        <v>37</v>
      </c>
      <c r="R2758">
        <v>0.37</v>
      </c>
      <c r="S2758" s="1">
        <v>40871</v>
      </c>
      <c r="T2758" t="str">
        <f t="shared" si="87"/>
        <v>24-Nov-2011</v>
      </c>
    </row>
    <row r="2759" spans="1:20" x14ac:dyDescent="0.3">
      <c r="A2759">
        <v>14276</v>
      </c>
      <c r="B2759" s="1">
        <v>39982</v>
      </c>
      <c r="C2759" t="s">
        <v>38</v>
      </c>
      <c r="D2759" t="str">
        <f t="shared" si="86"/>
        <v>18-Jun-2009</v>
      </c>
      <c r="E2759">
        <v>11</v>
      </c>
      <c r="F2759" s="13">
        <v>110.79</v>
      </c>
      <c r="G2759">
        <v>0.1</v>
      </c>
      <c r="H2759" t="s">
        <v>19</v>
      </c>
      <c r="I2759" s="13">
        <v>-11.13</v>
      </c>
      <c r="J2759">
        <v>10.48</v>
      </c>
      <c r="K2759">
        <v>2.89</v>
      </c>
      <c r="L2759" t="s">
        <v>121</v>
      </c>
      <c r="M2759" t="s">
        <v>104</v>
      </c>
      <c r="N2759" s="5" t="s">
        <v>105</v>
      </c>
      <c r="O2759" t="s">
        <v>28</v>
      </c>
      <c r="P2759" t="s">
        <v>21</v>
      </c>
      <c r="Q2759" t="s">
        <v>50</v>
      </c>
      <c r="R2759">
        <v>0.6</v>
      </c>
      <c r="S2759" s="1">
        <v>39983</v>
      </c>
      <c r="T2759" t="str">
        <f t="shared" si="87"/>
        <v>19-Jun-2009</v>
      </c>
    </row>
    <row r="2760" spans="1:20" x14ac:dyDescent="0.3">
      <c r="A2760">
        <v>25635</v>
      </c>
      <c r="B2760" s="1">
        <v>41058</v>
      </c>
      <c r="C2760" t="s">
        <v>43</v>
      </c>
      <c r="D2760" t="str">
        <f t="shared" si="86"/>
        <v>29-May-2012</v>
      </c>
      <c r="E2760">
        <v>22</v>
      </c>
      <c r="F2760" s="13">
        <v>110.42</v>
      </c>
      <c r="G2760">
        <v>0.09</v>
      </c>
      <c r="H2760" t="s">
        <v>19</v>
      </c>
      <c r="I2760" s="13">
        <v>-36.6</v>
      </c>
      <c r="J2760">
        <v>5.08</v>
      </c>
      <c r="K2760">
        <v>3.63</v>
      </c>
      <c r="L2760" t="s">
        <v>109</v>
      </c>
      <c r="M2760" t="s">
        <v>104</v>
      </c>
      <c r="N2760" s="5" t="s">
        <v>105</v>
      </c>
      <c r="O2760" t="s">
        <v>28</v>
      </c>
      <c r="P2760" t="s">
        <v>32</v>
      </c>
      <c r="Q2760" t="s">
        <v>33</v>
      </c>
      <c r="R2760">
        <v>0.51</v>
      </c>
      <c r="S2760" s="1">
        <v>41059</v>
      </c>
      <c r="T2760" t="str">
        <f t="shared" si="87"/>
        <v>30-May-2012</v>
      </c>
    </row>
    <row r="2761" spans="1:20" x14ac:dyDescent="0.3">
      <c r="A2761">
        <v>20448</v>
      </c>
      <c r="B2761" s="1">
        <v>40757</v>
      </c>
      <c r="C2761" t="s">
        <v>43</v>
      </c>
      <c r="D2761" t="str">
        <f t="shared" si="86"/>
        <v>02-Aug-2011</v>
      </c>
      <c r="E2761">
        <v>23</v>
      </c>
      <c r="F2761" s="13">
        <v>104.82</v>
      </c>
      <c r="G2761">
        <v>0.02</v>
      </c>
      <c r="H2761" t="s">
        <v>35</v>
      </c>
      <c r="I2761" s="13">
        <v>6.84</v>
      </c>
      <c r="J2761">
        <v>3.69</v>
      </c>
      <c r="K2761">
        <v>2.5</v>
      </c>
      <c r="L2761" t="s">
        <v>111</v>
      </c>
      <c r="M2761" t="s">
        <v>104</v>
      </c>
      <c r="N2761" s="5" t="s">
        <v>105</v>
      </c>
      <c r="O2761" t="s">
        <v>28</v>
      </c>
      <c r="P2761" t="s">
        <v>21</v>
      </c>
      <c r="Q2761" t="s">
        <v>42</v>
      </c>
      <c r="R2761">
        <v>0.39</v>
      </c>
      <c r="S2761" s="1">
        <v>40758</v>
      </c>
      <c r="T2761" t="str">
        <f t="shared" si="87"/>
        <v>03-Aug-2011</v>
      </c>
    </row>
    <row r="2762" spans="1:20" x14ac:dyDescent="0.3">
      <c r="A2762">
        <v>36803</v>
      </c>
      <c r="B2762" s="1">
        <v>41125</v>
      </c>
      <c r="C2762" t="s">
        <v>31</v>
      </c>
      <c r="D2762" t="str">
        <f t="shared" si="86"/>
        <v>04-Aug-2012</v>
      </c>
      <c r="E2762">
        <v>2</v>
      </c>
      <c r="F2762" s="13">
        <v>103.105</v>
      </c>
      <c r="G2762">
        <v>0.09</v>
      </c>
      <c r="H2762" t="s">
        <v>19</v>
      </c>
      <c r="I2762" s="13">
        <v>-316.32</v>
      </c>
      <c r="J2762">
        <v>65.989999999999995</v>
      </c>
      <c r="K2762">
        <v>2.5</v>
      </c>
      <c r="L2762" t="s">
        <v>124</v>
      </c>
      <c r="M2762" t="s">
        <v>104</v>
      </c>
      <c r="N2762" s="5" t="s">
        <v>105</v>
      </c>
      <c r="O2762" t="s">
        <v>28</v>
      </c>
      <c r="P2762" t="s">
        <v>29</v>
      </c>
      <c r="Q2762" t="s">
        <v>30</v>
      </c>
      <c r="R2762">
        <v>0.56000000000000005</v>
      </c>
      <c r="S2762" s="1">
        <v>41127</v>
      </c>
      <c r="T2762" t="str">
        <f t="shared" si="87"/>
        <v>06-Aug-2012</v>
      </c>
    </row>
    <row r="2763" spans="1:20" x14ac:dyDescent="0.3">
      <c r="A2763">
        <v>47750</v>
      </c>
      <c r="B2763" s="1">
        <v>40344</v>
      </c>
      <c r="C2763" t="s">
        <v>18</v>
      </c>
      <c r="D2763" t="str">
        <f t="shared" si="86"/>
        <v>15-Jun-2010</v>
      </c>
      <c r="E2763">
        <v>37</v>
      </c>
      <c r="F2763" s="13">
        <v>102.46</v>
      </c>
      <c r="G2763">
        <v>0.08</v>
      </c>
      <c r="H2763" t="s">
        <v>19</v>
      </c>
      <c r="I2763" s="13">
        <v>36.64</v>
      </c>
      <c r="J2763">
        <v>2.88</v>
      </c>
      <c r="K2763">
        <v>0.5</v>
      </c>
      <c r="L2763" t="s">
        <v>109</v>
      </c>
      <c r="M2763" t="s">
        <v>104</v>
      </c>
      <c r="N2763" s="5" t="s">
        <v>105</v>
      </c>
      <c r="O2763" t="s">
        <v>28</v>
      </c>
      <c r="P2763" t="s">
        <v>21</v>
      </c>
      <c r="Q2763" t="s">
        <v>48</v>
      </c>
      <c r="R2763">
        <v>0.39</v>
      </c>
      <c r="S2763" s="1">
        <v>40349</v>
      </c>
      <c r="T2763" t="str">
        <f t="shared" si="87"/>
        <v>20-Jun-2010</v>
      </c>
    </row>
    <row r="2764" spans="1:20" x14ac:dyDescent="0.3">
      <c r="A2764">
        <v>57760</v>
      </c>
      <c r="B2764" s="1">
        <v>40736</v>
      </c>
      <c r="C2764" t="s">
        <v>31</v>
      </c>
      <c r="D2764" t="str">
        <f t="shared" si="86"/>
        <v>12-Jul-2011</v>
      </c>
      <c r="E2764">
        <v>34</v>
      </c>
      <c r="F2764" s="13">
        <v>102.34</v>
      </c>
      <c r="G2764">
        <v>0.01</v>
      </c>
      <c r="H2764" t="s">
        <v>19</v>
      </c>
      <c r="I2764" s="13">
        <v>-30.39</v>
      </c>
      <c r="J2764">
        <v>2.98</v>
      </c>
      <c r="K2764">
        <v>2.0299999999999998</v>
      </c>
      <c r="L2764" t="s">
        <v>390</v>
      </c>
      <c r="M2764" t="s">
        <v>104</v>
      </c>
      <c r="N2764" s="5" t="s">
        <v>105</v>
      </c>
      <c r="O2764" t="s">
        <v>28</v>
      </c>
      <c r="P2764" t="s">
        <v>21</v>
      </c>
      <c r="Q2764" t="s">
        <v>50</v>
      </c>
      <c r="R2764">
        <v>0.56999999999999995</v>
      </c>
      <c r="S2764" s="1">
        <v>40738</v>
      </c>
      <c r="T2764" t="str">
        <f t="shared" si="87"/>
        <v>14-Jul-2011</v>
      </c>
    </row>
    <row r="2765" spans="1:20" x14ac:dyDescent="0.3">
      <c r="A2765">
        <v>16768</v>
      </c>
      <c r="B2765" s="1">
        <v>40019</v>
      </c>
      <c r="C2765" t="s">
        <v>23</v>
      </c>
      <c r="D2765" t="str">
        <f t="shared" si="86"/>
        <v>25-Jul-2009</v>
      </c>
      <c r="E2765">
        <v>9</v>
      </c>
      <c r="F2765" s="13">
        <v>101.47</v>
      </c>
      <c r="G2765">
        <v>0.03</v>
      </c>
      <c r="H2765" t="s">
        <v>19</v>
      </c>
      <c r="I2765" s="13">
        <v>-18.64</v>
      </c>
      <c r="J2765">
        <v>10.89</v>
      </c>
      <c r="K2765">
        <v>4.5</v>
      </c>
      <c r="L2765" t="s">
        <v>391</v>
      </c>
      <c r="M2765" t="s">
        <v>104</v>
      </c>
      <c r="N2765" s="5" t="s">
        <v>105</v>
      </c>
      <c r="O2765" t="s">
        <v>28</v>
      </c>
      <c r="P2765" t="s">
        <v>21</v>
      </c>
      <c r="Q2765" t="s">
        <v>25</v>
      </c>
      <c r="R2765">
        <v>0.59</v>
      </c>
      <c r="S2765" s="1">
        <v>40020</v>
      </c>
      <c r="T2765" t="str">
        <f t="shared" si="87"/>
        <v>26-Jul-2009</v>
      </c>
    </row>
    <row r="2766" spans="1:20" x14ac:dyDescent="0.3">
      <c r="A2766">
        <v>10692</v>
      </c>
      <c r="B2766" s="1">
        <v>40020</v>
      </c>
      <c r="C2766" t="s">
        <v>18</v>
      </c>
      <c r="D2766" t="str">
        <f t="shared" si="86"/>
        <v>26-Jul-2009</v>
      </c>
      <c r="E2766">
        <v>26</v>
      </c>
      <c r="F2766" s="13">
        <v>100.41</v>
      </c>
      <c r="G2766">
        <v>0.04</v>
      </c>
      <c r="H2766" t="s">
        <v>19</v>
      </c>
      <c r="I2766" s="13">
        <v>-69.91</v>
      </c>
      <c r="J2766">
        <v>3.57</v>
      </c>
      <c r="K2766">
        <v>4.17</v>
      </c>
      <c r="L2766" t="s">
        <v>108</v>
      </c>
      <c r="M2766" t="s">
        <v>104</v>
      </c>
      <c r="N2766" s="5" t="s">
        <v>105</v>
      </c>
      <c r="O2766" t="s">
        <v>28</v>
      </c>
      <c r="P2766" t="s">
        <v>21</v>
      </c>
      <c r="Q2766" t="s">
        <v>50</v>
      </c>
      <c r="R2766">
        <v>0.59</v>
      </c>
      <c r="S2766" s="1">
        <v>40022</v>
      </c>
      <c r="T2766" t="str">
        <f t="shared" si="87"/>
        <v>28-Jul-2009</v>
      </c>
    </row>
    <row r="2767" spans="1:20" x14ac:dyDescent="0.3">
      <c r="A2767">
        <v>47201</v>
      </c>
      <c r="B2767" s="1">
        <v>40175</v>
      </c>
      <c r="C2767" t="s">
        <v>43</v>
      </c>
      <c r="D2767" t="str">
        <f t="shared" si="86"/>
        <v>28-Dec-2009</v>
      </c>
      <c r="E2767">
        <v>18</v>
      </c>
      <c r="F2767" s="13">
        <v>99.55</v>
      </c>
      <c r="G2767">
        <v>0.03</v>
      </c>
      <c r="H2767" t="s">
        <v>35</v>
      </c>
      <c r="I2767" s="13">
        <v>-60.9</v>
      </c>
      <c r="J2767">
        <v>4.9800000000000004</v>
      </c>
      <c r="K2767">
        <v>4.62</v>
      </c>
      <c r="L2767" t="s">
        <v>385</v>
      </c>
      <c r="M2767" t="s">
        <v>104</v>
      </c>
      <c r="N2767" s="5" t="s">
        <v>105</v>
      </c>
      <c r="O2767" t="s">
        <v>28</v>
      </c>
      <c r="P2767" t="s">
        <v>29</v>
      </c>
      <c r="Q2767" t="s">
        <v>41</v>
      </c>
      <c r="R2767">
        <v>0.64</v>
      </c>
      <c r="S2767" s="1">
        <v>40176</v>
      </c>
      <c r="T2767" t="str">
        <f t="shared" si="87"/>
        <v>29-Dec-2009</v>
      </c>
    </row>
    <row r="2768" spans="1:20" x14ac:dyDescent="0.3">
      <c r="A2768">
        <v>57511</v>
      </c>
      <c r="B2768" s="1">
        <v>40092</v>
      </c>
      <c r="C2768" t="s">
        <v>43</v>
      </c>
      <c r="D2768" t="str">
        <f t="shared" si="86"/>
        <v>06-Oct-2009</v>
      </c>
      <c r="E2768">
        <v>32</v>
      </c>
      <c r="F2768" s="13">
        <v>98.46</v>
      </c>
      <c r="G2768">
        <v>0.01</v>
      </c>
      <c r="H2768" t="s">
        <v>19</v>
      </c>
      <c r="I2768" s="13">
        <v>41.54</v>
      </c>
      <c r="J2768">
        <v>2.89</v>
      </c>
      <c r="K2768">
        <v>0.5</v>
      </c>
      <c r="L2768" t="s">
        <v>387</v>
      </c>
      <c r="M2768" t="s">
        <v>104</v>
      </c>
      <c r="N2768" s="5" t="s">
        <v>105</v>
      </c>
      <c r="O2768" t="s">
        <v>28</v>
      </c>
      <c r="P2768" t="s">
        <v>21</v>
      </c>
      <c r="Q2768" t="s">
        <v>48</v>
      </c>
      <c r="R2768">
        <v>0.38</v>
      </c>
      <c r="S2768" s="1">
        <v>40093</v>
      </c>
      <c r="T2768" t="str">
        <f t="shared" si="87"/>
        <v>07-Oct-2009</v>
      </c>
    </row>
    <row r="2769" spans="1:20" x14ac:dyDescent="0.3">
      <c r="A2769">
        <v>19972</v>
      </c>
      <c r="B2769" s="1">
        <v>41076</v>
      </c>
      <c r="C2769" t="s">
        <v>43</v>
      </c>
      <c r="D2769" t="str">
        <f t="shared" si="86"/>
        <v>16-Jun-2012</v>
      </c>
      <c r="E2769">
        <v>6</v>
      </c>
      <c r="F2769" s="13">
        <v>97.86</v>
      </c>
      <c r="G2769">
        <v>0.04</v>
      </c>
      <c r="H2769" t="s">
        <v>19</v>
      </c>
      <c r="I2769" s="13">
        <v>-21.09</v>
      </c>
      <c r="J2769">
        <v>14.98</v>
      </c>
      <c r="K2769">
        <v>8.99</v>
      </c>
      <c r="L2769" t="s">
        <v>123</v>
      </c>
      <c r="M2769" t="s">
        <v>104</v>
      </c>
      <c r="N2769" s="5" t="s">
        <v>105</v>
      </c>
      <c r="O2769" t="s">
        <v>28</v>
      </c>
      <c r="P2769" t="s">
        <v>32</v>
      </c>
      <c r="Q2769" t="s">
        <v>33</v>
      </c>
      <c r="R2769">
        <v>0.39</v>
      </c>
      <c r="S2769" s="1">
        <v>41078</v>
      </c>
      <c r="T2769" t="str">
        <f t="shared" si="87"/>
        <v>18-Jun-2012</v>
      </c>
    </row>
    <row r="2770" spans="1:20" x14ac:dyDescent="0.3">
      <c r="A2770">
        <v>41824</v>
      </c>
      <c r="B2770" s="1">
        <v>40363</v>
      </c>
      <c r="C2770" t="s">
        <v>31</v>
      </c>
      <c r="D2770" t="str">
        <f t="shared" si="86"/>
        <v>04-Jul-2010</v>
      </c>
      <c r="E2770">
        <v>33</v>
      </c>
      <c r="F2770" s="13">
        <v>97.78</v>
      </c>
      <c r="G2770">
        <v>0.09</v>
      </c>
      <c r="H2770" t="s">
        <v>19</v>
      </c>
      <c r="I2770" s="13">
        <v>-31.22</v>
      </c>
      <c r="J2770">
        <v>2.98</v>
      </c>
      <c r="K2770">
        <v>2.0299999999999998</v>
      </c>
      <c r="L2770" t="s">
        <v>392</v>
      </c>
      <c r="M2770" t="s">
        <v>104</v>
      </c>
      <c r="N2770" s="5" t="s">
        <v>105</v>
      </c>
      <c r="O2770" t="s">
        <v>28</v>
      </c>
      <c r="P2770" t="s">
        <v>21</v>
      </c>
      <c r="Q2770" t="s">
        <v>50</v>
      </c>
      <c r="R2770">
        <v>0.56999999999999995</v>
      </c>
      <c r="S2770" s="1">
        <v>40365</v>
      </c>
      <c r="T2770" t="str">
        <f t="shared" si="87"/>
        <v>06-Jul-2010</v>
      </c>
    </row>
    <row r="2771" spans="1:20" x14ac:dyDescent="0.3">
      <c r="A2771">
        <v>39783</v>
      </c>
      <c r="B2771" s="1">
        <v>41172</v>
      </c>
      <c r="C2771" t="s">
        <v>31</v>
      </c>
      <c r="D2771" t="str">
        <f t="shared" si="86"/>
        <v>20-Sep-2012</v>
      </c>
      <c r="E2771">
        <v>29</v>
      </c>
      <c r="F2771" s="13">
        <v>94.5</v>
      </c>
      <c r="G2771">
        <v>0.02</v>
      </c>
      <c r="H2771" t="s">
        <v>19</v>
      </c>
      <c r="I2771" s="13">
        <v>39.9</v>
      </c>
      <c r="J2771">
        <v>3.15</v>
      </c>
      <c r="K2771">
        <v>0.5</v>
      </c>
      <c r="L2771" t="s">
        <v>109</v>
      </c>
      <c r="M2771" t="s">
        <v>104</v>
      </c>
      <c r="N2771" s="5" t="s">
        <v>105</v>
      </c>
      <c r="O2771" t="s">
        <v>28</v>
      </c>
      <c r="P2771" t="s">
        <v>21</v>
      </c>
      <c r="Q2771" t="s">
        <v>48</v>
      </c>
      <c r="R2771">
        <v>0.37</v>
      </c>
      <c r="S2771" s="1">
        <v>41173</v>
      </c>
      <c r="T2771" t="str">
        <f t="shared" si="87"/>
        <v>21-Sep-2012</v>
      </c>
    </row>
    <row r="2772" spans="1:20" x14ac:dyDescent="0.3">
      <c r="A2772">
        <v>41440</v>
      </c>
      <c r="B2772" s="1">
        <v>40078</v>
      </c>
      <c r="C2772" t="s">
        <v>23</v>
      </c>
      <c r="D2772" t="str">
        <f t="shared" si="86"/>
        <v>22-Sep-2009</v>
      </c>
      <c r="E2772">
        <v>20</v>
      </c>
      <c r="F2772" s="13">
        <v>92.94</v>
      </c>
      <c r="G2772">
        <v>0.09</v>
      </c>
      <c r="H2772" t="s">
        <v>19</v>
      </c>
      <c r="I2772" s="13">
        <v>37.770000000000003</v>
      </c>
      <c r="J2772">
        <v>4.91</v>
      </c>
      <c r="K2772">
        <v>0.5</v>
      </c>
      <c r="L2772" t="s">
        <v>310</v>
      </c>
      <c r="M2772" t="s">
        <v>104</v>
      </c>
      <c r="N2772" s="5" t="s">
        <v>105</v>
      </c>
      <c r="O2772" t="s">
        <v>28</v>
      </c>
      <c r="P2772" t="s">
        <v>21</v>
      </c>
      <c r="Q2772" t="s">
        <v>48</v>
      </c>
      <c r="R2772">
        <v>0.36</v>
      </c>
      <c r="S2772" s="1">
        <v>40079</v>
      </c>
      <c r="T2772" t="str">
        <f t="shared" si="87"/>
        <v>23-Sep-2009</v>
      </c>
    </row>
    <row r="2773" spans="1:20" x14ac:dyDescent="0.3">
      <c r="A2773">
        <v>38336</v>
      </c>
      <c r="B2773" s="1">
        <v>41187</v>
      </c>
      <c r="C2773" t="s">
        <v>43</v>
      </c>
      <c r="D2773" t="str">
        <f t="shared" si="86"/>
        <v>05-Oct-2012</v>
      </c>
      <c r="E2773">
        <v>14</v>
      </c>
      <c r="F2773" s="13">
        <v>91.75</v>
      </c>
      <c r="G2773">
        <v>7.0000000000000007E-2</v>
      </c>
      <c r="H2773" t="s">
        <v>19</v>
      </c>
      <c r="I2773" s="13">
        <v>2.82</v>
      </c>
      <c r="J2773">
        <v>6.75</v>
      </c>
      <c r="K2773">
        <v>2.99</v>
      </c>
      <c r="L2773" t="s">
        <v>106</v>
      </c>
      <c r="M2773" t="s">
        <v>104</v>
      </c>
      <c r="N2773" s="5" t="s">
        <v>105</v>
      </c>
      <c r="O2773" t="s">
        <v>28</v>
      </c>
      <c r="P2773" t="s">
        <v>21</v>
      </c>
      <c r="Q2773" t="s">
        <v>26</v>
      </c>
      <c r="R2773">
        <v>0.35</v>
      </c>
      <c r="S2773" s="1">
        <v>41188</v>
      </c>
      <c r="T2773" t="str">
        <f t="shared" si="87"/>
        <v>06-Oct-2012</v>
      </c>
    </row>
    <row r="2774" spans="1:20" x14ac:dyDescent="0.3">
      <c r="A2774">
        <v>26374</v>
      </c>
      <c r="B2774" s="1">
        <v>40122</v>
      </c>
      <c r="C2774" t="s">
        <v>31</v>
      </c>
      <c r="D2774" t="str">
        <f t="shared" si="86"/>
        <v>05-Nov-2009</v>
      </c>
      <c r="E2774">
        <v>5</v>
      </c>
      <c r="F2774" s="13">
        <v>90.941500000000005</v>
      </c>
      <c r="G2774">
        <v>0.05</v>
      </c>
      <c r="H2774" t="s">
        <v>19</v>
      </c>
      <c r="I2774" s="13">
        <v>-109.42</v>
      </c>
      <c r="J2774">
        <v>20.99</v>
      </c>
      <c r="K2774">
        <v>3.3</v>
      </c>
      <c r="L2774" t="s">
        <v>392</v>
      </c>
      <c r="M2774" t="s">
        <v>104</v>
      </c>
      <c r="N2774" s="5" t="s">
        <v>105</v>
      </c>
      <c r="O2774" t="s">
        <v>28</v>
      </c>
      <c r="P2774" t="s">
        <v>29</v>
      </c>
      <c r="Q2774" t="s">
        <v>30</v>
      </c>
      <c r="R2774">
        <v>0.81</v>
      </c>
      <c r="S2774" s="1">
        <v>40123</v>
      </c>
      <c r="T2774" t="str">
        <f t="shared" si="87"/>
        <v>06-Nov-2009</v>
      </c>
    </row>
    <row r="2775" spans="1:20" x14ac:dyDescent="0.3">
      <c r="A2775">
        <v>45539</v>
      </c>
      <c r="B2775" s="1">
        <v>40027</v>
      </c>
      <c r="C2775" t="s">
        <v>31</v>
      </c>
      <c r="D2775" t="str">
        <f t="shared" si="86"/>
        <v>02-Aug-2009</v>
      </c>
      <c r="E2775">
        <v>27</v>
      </c>
      <c r="F2775" s="13">
        <v>87.33</v>
      </c>
      <c r="G2775">
        <v>0.08</v>
      </c>
      <c r="H2775" t="s">
        <v>19</v>
      </c>
      <c r="I2775" s="13">
        <v>13.82</v>
      </c>
      <c r="J2775">
        <v>3.38</v>
      </c>
      <c r="K2775">
        <v>0.85</v>
      </c>
      <c r="L2775" t="s">
        <v>267</v>
      </c>
      <c r="M2775" t="s">
        <v>104</v>
      </c>
      <c r="N2775" s="5" t="s">
        <v>105</v>
      </c>
      <c r="O2775" t="s">
        <v>28</v>
      </c>
      <c r="P2775" t="s">
        <v>21</v>
      </c>
      <c r="Q2775" t="s">
        <v>50</v>
      </c>
      <c r="R2775">
        <v>0.48</v>
      </c>
      <c r="S2775" s="1">
        <v>40029</v>
      </c>
      <c r="T2775" t="str">
        <f t="shared" si="87"/>
        <v>04-Aug-2009</v>
      </c>
    </row>
    <row r="2776" spans="1:20" x14ac:dyDescent="0.3">
      <c r="A2776">
        <v>39783</v>
      </c>
      <c r="B2776" s="1">
        <v>41172</v>
      </c>
      <c r="C2776" t="s">
        <v>31</v>
      </c>
      <c r="D2776" t="str">
        <f t="shared" si="86"/>
        <v>20-Sep-2012</v>
      </c>
      <c r="E2776">
        <v>19</v>
      </c>
      <c r="F2776" s="13">
        <v>82.43</v>
      </c>
      <c r="G2776">
        <v>0.04</v>
      </c>
      <c r="H2776" t="s">
        <v>19</v>
      </c>
      <c r="I2776" s="13">
        <v>-94.76</v>
      </c>
      <c r="J2776">
        <v>4.0599999999999996</v>
      </c>
      <c r="K2776">
        <v>6.89</v>
      </c>
      <c r="L2776" t="s">
        <v>109</v>
      </c>
      <c r="M2776" t="s">
        <v>104</v>
      </c>
      <c r="N2776" s="5" t="s">
        <v>105</v>
      </c>
      <c r="O2776" t="s">
        <v>28</v>
      </c>
      <c r="P2776" t="s">
        <v>21</v>
      </c>
      <c r="Q2776" t="s">
        <v>25</v>
      </c>
      <c r="R2776">
        <v>0.6</v>
      </c>
      <c r="S2776" s="1">
        <v>41174</v>
      </c>
      <c r="T2776" t="str">
        <f t="shared" si="87"/>
        <v>22-Sep-2012</v>
      </c>
    </row>
    <row r="2777" spans="1:20" x14ac:dyDescent="0.3">
      <c r="A2777">
        <v>47683</v>
      </c>
      <c r="B2777" s="1">
        <v>40422</v>
      </c>
      <c r="C2777" t="s">
        <v>18</v>
      </c>
      <c r="D2777" t="str">
        <f t="shared" si="86"/>
        <v>01-Sep-2010</v>
      </c>
      <c r="E2777">
        <v>38</v>
      </c>
      <c r="F2777" s="13">
        <v>81.97</v>
      </c>
      <c r="G2777">
        <v>0.05</v>
      </c>
      <c r="H2777" t="s">
        <v>19</v>
      </c>
      <c r="I2777" s="13">
        <v>-148.80000000000001</v>
      </c>
      <c r="J2777">
        <v>1.98</v>
      </c>
      <c r="K2777">
        <v>4.7699999999999996</v>
      </c>
      <c r="L2777" t="s">
        <v>225</v>
      </c>
      <c r="M2777" t="s">
        <v>104</v>
      </c>
      <c r="N2777" s="5" t="s">
        <v>105</v>
      </c>
      <c r="O2777" t="s">
        <v>28</v>
      </c>
      <c r="P2777" t="s">
        <v>21</v>
      </c>
      <c r="Q2777" t="s">
        <v>26</v>
      </c>
      <c r="R2777">
        <v>0.4</v>
      </c>
      <c r="S2777" s="1">
        <v>40429</v>
      </c>
      <c r="T2777" t="str">
        <f t="shared" si="87"/>
        <v>08-Sep-2010</v>
      </c>
    </row>
    <row r="2778" spans="1:20" x14ac:dyDescent="0.3">
      <c r="A2778">
        <v>32611</v>
      </c>
      <c r="B2778" s="1">
        <v>40052</v>
      </c>
      <c r="C2778" t="s">
        <v>38</v>
      </c>
      <c r="D2778" t="str">
        <f t="shared" si="86"/>
        <v>27-Aug-2009</v>
      </c>
      <c r="E2778">
        <v>15</v>
      </c>
      <c r="F2778" s="13">
        <v>81.66</v>
      </c>
      <c r="G2778">
        <v>0.05</v>
      </c>
      <c r="H2778" t="s">
        <v>19</v>
      </c>
      <c r="I2778" s="13">
        <v>-31.99</v>
      </c>
      <c r="J2778">
        <v>4.9800000000000004</v>
      </c>
      <c r="K2778">
        <v>5.0199999999999996</v>
      </c>
      <c r="L2778" t="s">
        <v>131</v>
      </c>
      <c r="M2778" t="s">
        <v>104</v>
      </c>
      <c r="N2778" s="5" t="s">
        <v>105</v>
      </c>
      <c r="O2778" t="s">
        <v>28</v>
      </c>
      <c r="P2778" t="s">
        <v>21</v>
      </c>
      <c r="Q2778" t="s">
        <v>37</v>
      </c>
      <c r="R2778">
        <v>0.38</v>
      </c>
      <c r="S2778" s="1">
        <v>40052</v>
      </c>
      <c r="T2778" t="str">
        <f t="shared" si="87"/>
        <v>27-Aug-2009</v>
      </c>
    </row>
    <row r="2779" spans="1:20" x14ac:dyDescent="0.3">
      <c r="A2779">
        <v>44099</v>
      </c>
      <c r="B2779" s="1">
        <v>40980</v>
      </c>
      <c r="C2779" t="s">
        <v>38</v>
      </c>
      <c r="D2779" t="str">
        <f t="shared" si="86"/>
        <v>12-Mar-2012</v>
      </c>
      <c r="E2779">
        <v>19</v>
      </c>
      <c r="F2779" s="13">
        <v>80.81</v>
      </c>
      <c r="G2779">
        <v>0.1</v>
      </c>
      <c r="H2779" t="s">
        <v>19</v>
      </c>
      <c r="I2779" s="13">
        <v>-67.459999999999994</v>
      </c>
      <c r="J2779">
        <v>4.24</v>
      </c>
      <c r="K2779">
        <v>5.41</v>
      </c>
      <c r="L2779" t="s">
        <v>309</v>
      </c>
      <c r="M2779" t="s">
        <v>104</v>
      </c>
      <c r="N2779" s="5" t="s">
        <v>105</v>
      </c>
      <c r="O2779" t="s">
        <v>28</v>
      </c>
      <c r="P2779" t="s">
        <v>21</v>
      </c>
      <c r="Q2779" t="s">
        <v>26</v>
      </c>
      <c r="R2779">
        <v>0.35</v>
      </c>
      <c r="S2779" s="1">
        <v>40982</v>
      </c>
      <c r="T2779" t="str">
        <f t="shared" si="87"/>
        <v>14-Mar-2012</v>
      </c>
    </row>
    <row r="2780" spans="1:20" x14ac:dyDescent="0.3">
      <c r="A2780">
        <v>47522</v>
      </c>
      <c r="B2780" s="1">
        <v>41205</v>
      </c>
      <c r="C2780" t="s">
        <v>23</v>
      </c>
      <c r="D2780" t="str">
        <f t="shared" si="86"/>
        <v>23-Oct-2012</v>
      </c>
      <c r="E2780">
        <v>5</v>
      </c>
      <c r="F2780" s="13">
        <v>80.56</v>
      </c>
      <c r="G2780">
        <v>0.03</v>
      </c>
      <c r="H2780" t="s">
        <v>19</v>
      </c>
      <c r="I2780" s="13">
        <v>12.5</v>
      </c>
      <c r="J2780">
        <v>15.67</v>
      </c>
      <c r="K2780">
        <v>1.39</v>
      </c>
      <c r="L2780" t="s">
        <v>386</v>
      </c>
      <c r="M2780" t="s">
        <v>104</v>
      </c>
      <c r="N2780" s="5" t="s">
        <v>105</v>
      </c>
      <c r="O2780" t="s">
        <v>28</v>
      </c>
      <c r="P2780" t="s">
        <v>21</v>
      </c>
      <c r="Q2780" t="s">
        <v>42</v>
      </c>
      <c r="R2780">
        <v>0.38</v>
      </c>
      <c r="S2780" s="1">
        <v>41206</v>
      </c>
      <c r="T2780" t="str">
        <f t="shared" si="87"/>
        <v>24-Oct-2012</v>
      </c>
    </row>
    <row r="2781" spans="1:20" x14ac:dyDescent="0.3">
      <c r="A2781">
        <v>56640</v>
      </c>
      <c r="B2781" s="1">
        <v>40780</v>
      </c>
      <c r="C2781" t="s">
        <v>23</v>
      </c>
      <c r="D2781" t="str">
        <f t="shared" si="86"/>
        <v>25-Aug-2011</v>
      </c>
      <c r="E2781">
        <v>11</v>
      </c>
      <c r="F2781" s="13">
        <v>80.260000000000005</v>
      </c>
      <c r="G2781">
        <v>0.06</v>
      </c>
      <c r="H2781" t="s">
        <v>19</v>
      </c>
      <c r="I2781" s="13">
        <v>-22.55</v>
      </c>
      <c r="J2781">
        <v>6.68</v>
      </c>
      <c r="K2781">
        <v>5.66</v>
      </c>
      <c r="L2781" t="s">
        <v>113</v>
      </c>
      <c r="M2781" t="s">
        <v>104</v>
      </c>
      <c r="N2781" s="5" t="s">
        <v>105</v>
      </c>
      <c r="O2781" t="s">
        <v>28</v>
      </c>
      <c r="P2781" t="s">
        <v>21</v>
      </c>
      <c r="Q2781" t="s">
        <v>37</v>
      </c>
      <c r="R2781">
        <v>0.37</v>
      </c>
      <c r="S2781" s="1">
        <v>40781</v>
      </c>
      <c r="T2781" t="str">
        <f t="shared" si="87"/>
        <v>26-Aug-2011</v>
      </c>
    </row>
    <row r="2782" spans="1:20" x14ac:dyDescent="0.3">
      <c r="A2782">
        <v>5028</v>
      </c>
      <c r="B2782" s="1">
        <v>41015</v>
      </c>
      <c r="C2782" t="s">
        <v>23</v>
      </c>
      <c r="D2782" t="str">
        <f t="shared" si="86"/>
        <v>16-Apr-2012</v>
      </c>
      <c r="E2782">
        <v>10</v>
      </c>
      <c r="F2782" s="13">
        <v>79.680000000000007</v>
      </c>
      <c r="G2782">
        <v>0.06</v>
      </c>
      <c r="H2782" t="s">
        <v>19</v>
      </c>
      <c r="I2782" s="13">
        <v>18.239999999999998</v>
      </c>
      <c r="J2782">
        <v>7.7</v>
      </c>
      <c r="K2782">
        <v>3.68</v>
      </c>
      <c r="L2782" t="s">
        <v>392</v>
      </c>
      <c r="M2782" t="s">
        <v>104</v>
      </c>
      <c r="N2782" s="5" t="s">
        <v>105</v>
      </c>
      <c r="O2782" t="s">
        <v>28</v>
      </c>
      <c r="P2782" t="s">
        <v>32</v>
      </c>
      <c r="Q2782" t="s">
        <v>33</v>
      </c>
      <c r="R2782">
        <v>0.52</v>
      </c>
      <c r="S2782" s="1">
        <v>41017</v>
      </c>
      <c r="T2782" t="str">
        <f t="shared" si="87"/>
        <v>18-Apr-2012</v>
      </c>
    </row>
    <row r="2783" spans="1:20" x14ac:dyDescent="0.3">
      <c r="A2783">
        <v>10048</v>
      </c>
      <c r="B2783" s="1">
        <v>39948</v>
      </c>
      <c r="C2783" t="s">
        <v>31</v>
      </c>
      <c r="D2783" t="str">
        <f t="shared" si="86"/>
        <v>15-May-2009</v>
      </c>
      <c r="E2783">
        <v>21</v>
      </c>
      <c r="F2783" s="13">
        <v>78.569999999999993</v>
      </c>
      <c r="G2783">
        <v>0.02</v>
      </c>
      <c r="H2783" t="s">
        <v>19</v>
      </c>
      <c r="I2783" s="13">
        <v>-20.65</v>
      </c>
      <c r="J2783">
        <v>3.68</v>
      </c>
      <c r="K2783">
        <v>1.32</v>
      </c>
      <c r="L2783" t="s">
        <v>112</v>
      </c>
      <c r="M2783" t="s">
        <v>104</v>
      </c>
      <c r="N2783" s="5" t="s">
        <v>105</v>
      </c>
      <c r="O2783" t="s">
        <v>28</v>
      </c>
      <c r="P2783" t="s">
        <v>21</v>
      </c>
      <c r="Q2783" t="s">
        <v>67</v>
      </c>
      <c r="R2783">
        <v>0.83</v>
      </c>
      <c r="S2783" s="1">
        <v>39950</v>
      </c>
      <c r="T2783" t="str">
        <f t="shared" si="87"/>
        <v>17-May-2009</v>
      </c>
    </row>
    <row r="2784" spans="1:20" x14ac:dyDescent="0.3">
      <c r="A2784">
        <v>21856</v>
      </c>
      <c r="B2784" s="1">
        <v>41004</v>
      </c>
      <c r="C2784" t="s">
        <v>31</v>
      </c>
      <c r="D2784" t="str">
        <f t="shared" si="86"/>
        <v>05-Apr-2012</v>
      </c>
      <c r="E2784">
        <v>26</v>
      </c>
      <c r="F2784" s="13">
        <v>77.03</v>
      </c>
      <c r="G2784">
        <v>0.08</v>
      </c>
      <c r="H2784" t="s">
        <v>19</v>
      </c>
      <c r="I2784" s="13">
        <v>-47.75</v>
      </c>
      <c r="J2784">
        <v>3.14</v>
      </c>
      <c r="K2784">
        <v>1.92</v>
      </c>
      <c r="L2784" t="s">
        <v>112</v>
      </c>
      <c r="M2784" t="s">
        <v>104</v>
      </c>
      <c r="N2784" s="5" t="s">
        <v>105</v>
      </c>
      <c r="O2784" t="s">
        <v>28</v>
      </c>
      <c r="P2784" t="s">
        <v>21</v>
      </c>
      <c r="Q2784" t="s">
        <v>67</v>
      </c>
      <c r="R2784">
        <v>0.84</v>
      </c>
      <c r="S2784" s="1">
        <v>41004</v>
      </c>
      <c r="T2784" t="str">
        <f t="shared" si="87"/>
        <v>05-Apr-2012</v>
      </c>
    </row>
    <row r="2785" spans="1:20" x14ac:dyDescent="0.3">
      <c r="A2785">
        <v>26851</v>
      </c>
      <c r="B2785" s="1">
        <v>40748</v>
      </c>
      <c r="C2785" t="s">
        <v>23</v>
      </c>
      <c r="D2785" t="str">
        <f t="shared" si="86"/>
        <v>24-Jul-2011</v>
      </c>
      <c r="E2785">
        <v>44</v>
      </c>
      <c r="F2785" s="13">
        <v>73.64</v>
      </c>
      <c r="G2785">
        <v>7.0000000000000007E-2</v>
      </c>
      <c r="H2785" t="s">
        <v>19</v>
      </c>
      <c r="I2785" s="13">
        <v>-58.87</v>
      </c>
      <c r="J2785">
        <v>1.7</v>
      </c>
      <c r="K2785">
        <v>1.99</v>
      </c>
      <c r="L2785" t="s">
        <v>130</v>
      </c>
      <c r="M2785" t="s">
        <v>104</v>
      </c>
      <c r="N2785" s="5" t="s">
        <v>105</v>
      </c>
      <c r="O2785" t="s">
        <v>28</v>
      </c>
      <c r="P2785" t="s">
        <v>29</v>
      </c>
      <c r="Q2785" t="s">
        <v>41</v>
      </c>
      <c r="R2785">
        <v>0.51</v>
      </c>
      <c r="S2785" s="1">
        <v>40750</v>
      </c>
      <c r="T2785" t="str">
        <f t="shared" si="87"/>
        <v>26-Jul-2011</v>
      </c>
    </row>
    <row r="2786" spans="1:20" x14ac:dyDescent="0.3">
      <c r="A2786">
        <v>18179</v>
      </c>
      <c r="B2786" s="1">
        <v>40026</v>
      </c>
      <c r="C2786" t="s">
        <v>31</v>
      </c>
      <c r="D2786" t="str">
        <f t="shared" si="86"/>
        <v>01-Aug-2009</v>
      </c>
      <c r="E2786">
        <v>24</v>
      </c>
      <c r="F2786" s="13">
        <v>73.37</v>
      </c>
      <c r="G2786">
        <v>0.04</v>
      </c>
      <c r="H2786" t="s">
        <v>19</v>
      </c>
      <c r="I2786" s="13">
        <v>16.100000000000001</v>
      </c>
      <c r="J2786">
        <v>3.08</v>
      </c>
      <c r="K2786">
        <v>0.99</v>
      </c>
      <c r="L2786" t="s">
        <v>123</v>
      </c>
      <c r="M2786" t="s">
        <v>104</v>
      </c>
      <c r="N2786" s="5" t="s">
        <v>105</v>
      </c>
      <c r="O2786" t="s">
        <v>28</v>
      </c>
      <c r="P2786" t="s">
        <v>21</v>
      </c>
      <c r="Q2786" t="s">
        <v>48</v>
      </c>
      <c r="R2786">
        <v>0.37</v>
      </c>
      <c r="S2786" s="1">
        <v>40027</v>
      </c>
      <c r="T2786" t="str">
        <f t="shared" si="87"/>
        <v>02-Aug-2009</v>
      </c>
    </row>
    <row r="2787" spans="1:20" x14ac:dyDescent="0.3">
      <c r="A2787">
        <v>38625</v>
      </c>
      <c r="B2787" s="1">
        <v>40499</v>
      </c>
      <c r="C2787" t="s">
        <v>31</v>
      </c>
      <c r="D2787" t="str">
        <f t="shared" si="86"/>
        <v>17-Nov-2010</v>
      </c>
      <c r="E2787">
        <v>12</v>
      </c>
      <c r="F2787" s="13">
        <v>72.819999999999993</v>
      </c>
      <c r="G2787">
        <v>0.02</v>
      </c>
      <c r="H2787" t="s">
        <v>19</v>
      </c>
      <c r="I2787" s="13">
        <v>5.03</v>
      </c>
      <c r="J2787">
        <v>5.98</v>
      </c>
      <c r="K2787">
        <v>2.5</v>
      </c>
      <c r="L2787" t="s">
        <v>143</v>
      </c>
      <c r="M2787" t="s">
        <v>104</v>
      </c>
      <c r="N2787" s="5" t="s">
        <v>105</v>
      </c>
      <c r="O2787" t="s">
        <v>28</v>
      </c>
      <c r="P2787" t="s">
        <v>21</v>
      </c>
      <c r="Q2787" t="s">
        <v>42</v>
      </c>
      <c r="R2787">
        <v>0.36</v>
      </c>
      <c r="S2787" s="1">
        <v>40501</v>
      </c>
      <c r="T2787" t="str">
        <f t="shared" si="87"/>
        <v>19-Nov-2010</v>
      </c>
    </row>
    <row r="2788" spans="1:20" x14ac:dyDescent="0.3">
      <c r="A2788">
        <v>35364</v>
      </c>
      <c r="B2788" s="1">
        <v>40159</v>
      </c>
      <c r="C2788" t="s">
        <v>43</v>
      </c>
      <c r="D2788" t="str">
        <f t="shared" si="86"/>
        <v>12-Dec-2009</v>
      </c>
      <c r="E2788">
        <v>16</v>
      </c>
      <c r="F2788" s="13">
        <v>72.08</v>
      </c>
      <c r="G2788">
        <v>0.04</v>
      </c>
      <c r="H2788" t="s">
        <v>19</v>
      </c>
      <c r="I2788" s="13">
        <v>-54.75</v>
      </c>
      <c r="J2788">
        <v>4.28</v>
      </c>
      <c r="K2788">
        <v>5.68</v>
      </c>
      <c r="L2788" t="s">
        <v>119</v>
      </c>
      <c r="M2788" t="s">
        <v>104</v>
      </c>
      <c r="N2788" s="5" t="s">
        <v>105</v>
      </c>
      <c r="O2788" t="s">
        <v>28</v>
      </c>
      <c r="P2788" t="s">
        <v>21</v>
      </c>
      <c r="Q2788" t="s">
        <v>37</v>
      </c>
      <c r="R2788">
        <v>0.4</v>
      </c>
      <c r="S2788" s="1">
        <v>40161</v>
      </c>
      <c r="T2788" t="str">
        <f t="shared" si="87"/>
        <v>14-Dec-2009</v>
      </c>
    </row>
    <row r="2789" spans="1:20" x14ac:dyDescent="0.3">
      <c r="A2789">
        <v>48353</v>
      </c>
      <c r="B2789" s="1">
        <v>41258</v>
      </c>
      <c r="C2789" t="s">
        <v>31</v>
      </c>
      <c r="D2789" t="str">
        <f t="shared" si="86"/>
        <v>15-Dec-2012</v>
      </c>
      <c r="E2789">
        <v>18</v>
      </c>
      <c r="F2789" s="13">
        <v>71.22</v>
      </c>
      <c r="G2789">
        <v>0.04</v>
      </c>
      <c r="H2789" t="s">
        <v>19</v>
      </c>
      <c r="I2789" s="13">
        <v>20.43</v>
      </c>
      <c r="J2789">
        <v>3.85</v>
      </c>
      <c r="K2789">
        <v>0.7</v>
      </c>
      <c r="L2789" t="s">
        <v>381</v>
      </c>
      <c r="M2789" t="s">
        <v>104</v>
      </c>
      <c r="N2789" s="5" t="s">
        <v>105</v>
      </c>
      <c r="O2789" t="s">
        <v>28</v>
      </c>
      <c r="P2789" t="s">
        <v>21</v>
      </c>
      <c r="Q2789" t="s">
        <v>50</v>
      </c>
      <c r="R2789">
        <v>0.44</v>
      </c>
      <c r="S2789" s="1">
        <v>41260</v>
      </c>
      <c r="T2789" t="str">
        <f t="shared" si="87"/>
        <v>17-Dec-2012</v>
      </c>
    </row>
    <row r="2790" spans="1:20" x14ac:dyDescent="0.3">
      <c r="A2790">
        <v>38272</v>
      </c>
      <c r="B2790" s="1">
        <v>40862</v>
      </c>
      <c r="C2790" t="s">
        <v>43</v>
      </c>
      <c r="D2790" t="str">
        <f t="shared" si="86"/>
        <v>15-Nov-2011</v>
      </c>
      <c r="E2790">
        <v>39</v>
      </c>
      <c r="F2790" s="13">
        <v>71.040000000000006</v>
      </c>
      <c r="G2790">
        <v>7.0000000000000007E-2</v>
      </c>
      <c r="H2790" t="s">
        <v>19</v>
      </c>
      <c r="I2790" s="13">
        <v>-20.65</v>
      </c>
      <c r="J2790">
        <v>1.88</v>
      </c>
      <c r="K2790">
        <v>1.49</v>
      </c>
      <c r="L2790" t="s">
        <v>118</v>
      </c>
      <c r="M2790" t="s">
        <v>104</v>
      </c>
      <c r="N2790" s="5" t="s">
        <v>105</v>
      </c>
      <c r="O2790" t="s">
        <v>28</v>
      </c>
      <c r="P2790" t="s">
        <v>21</v>
      </c>
      <c r="Q2790" t="s">
        <v>26</v>
      </c>
      <c r="R2790">
        <v>0.37</v>
      </c>
      <c r="S2790" s="1">
        <v>40864</v>
      </c>
      <c r="T2790" t="str">
        <f t="shared" si="87"/>
        <v>17-Nov-2011</v>
      </c>
    </row>
    <row r="2791" spans="1:20" x14ac:dyDescent="0.3">
      <c r="A2791">
        <v>58855</v>
      </c>
      <c r="B2791" s="1">
        <v>40482</v>
      </c>
      <c r="C2791" t="s">
        <v>38</v>
      </c>
      <c r="D2791" t="str">
        <f t="shared" si="86"/>
        <v>31-Oct-2010</v>
      </c>
      <c r="E2791">
        <v>38</v>
      </c>
      <c r="F2791" s="13">
        <v>69.260000000000005</v>
      </c>
      <c r="G2791">
        <v>7.0000000000000007E-2</v>
      </c>
      <c r="H2791" t="s">
        <v>19</v>
      </c>
      <c r="I2791" s="13">
        <v>-113.86</v>
      </c>
      <c r="J2791">
        <v>1.74</v>
      </c>
      <c r="K2791">
        <v>4.08</v>
      </c>
      <c r="L2791" t="s">
        <v>381</v>
      </c>
      <c r="M2791" t="s">
        <v>104</v>
      </c>
      <c r="N2791" s="5" t="s">
        <v>105</v>
      </c>
      <c r="O2791" t="s">
        <v>28</v>
      </c>
      <c r="P2791" t="s">
        <v>32</v>
      </c>
      <c r="Q2791" t="s">
        <v>33</v>
      </c>
      <c r="R2791">
        <v>0.53</v>
      </c>
      <c r="S2791" s="1">
        <v>40482</v>
      </c>
      <c r="T2791" t="str">
        <f t="shared" si="87"/>
        <v>31-Oct-2010</v>
      </c>
    </row>
    <row r="2792" spans="1:20" x14ac:dyDescent="0.3">
      <c r="A2792">
        <v>14240</v>
      </c>
      <c r="B2792" s="1">
        <v>40956</v>
      </c>
      <c r="C2792" t="s">
        <v>23</v>
      </c>
      <c r="D2792" t="str">
        <f t="shared" si="86"/>
        <v>17-Feb-2012</v>
      </c>
      <c r="E2792">
        <v>24</v>
      </c>
      <c r="F2792" s="13">
        <v>68.88</v>
      </c>
      <c r="G2792">
        <v>0</v>
      </c>
      <c r="H2792" t="s">
        <v>19</v>
      </c>
      <c r="I2792" s="13">
        <v>1.31</v>
      </c>
      <c r="J2792">
        <v>2.78</v>
      </c>
      <c r="K2792">
        <v>1.49</v>
      </c>
      <c r="L2792" t="s">
        <v>124</v>
      </c>
      <c r="M2792" t="s">
        <v>104</v>
      </c>
      <c r="N2792" s="5" t="s">
        <v>105</v>
      </c>
      <c r="O2792" t="s">
        <v>28</v>
      </c>
      <c r="P2792" t="s">
        <v>21</v>
      </c>
      <c r="Q2792" t="s">
        <v>26</v>
      </c>
      <c r="R2792">
        <v>0.39</v>
      </c>
      <c r="S2792" s="1">
        <v>40957</v>
      </c>
      <c r="T2792" t="str">
        <f t="shared" si="87"/>
        <v>18-Feb-2012</v>
      </c>
    </row>
    <row r="2793" spans="1:20" x14ac:dyDescent="0.3">
      <c r="A2793">
        <v>36359</v>
      </c>
      <c r="B2793" s="1">
        <v>40870</v>
      </c>
      <c r="C2793" t="s">
        <v>23</v>
      </c>
      <c r="D2793" t="str">
        <f t="shared" si="86"/>
        <v>23-Nov-2011</v>
      </c>
      <c r="E2793">
        <v>2</v>
      </c>
      <c r="F2793" s="13">
        <v>68.66</v>
      </c>
      <c r="G2793">
        <v>0.06</v>
      </c>
      <c r="H2793" t="s">
        <v>19</v>
      </c>
      <c r="I2793" s="13">
        <v>-29.6</v>
      </c>
      <c r="J2793">
        <v>30.98</v>
      </c>
      <c r="K2793">
        <v>5.76</v>
      </c>
      <c r="L2793" t="s">
        <v>146</v>
      </c>
      <c r="M2793" t="s">
        <v>104</v>
      </c>
      <c r="N2793" s="5" t="s">
        <v>105</v>
      </c>
      <c r="O2793" t="s">
        <v>28</v>
      </c>
      <c r="P2793" t="s">
        <v>21</v>
      </c>
      <c r="Q2793" t="s">
        <v>37</v>
      </c>
      <c r="R2793">
        <v>0.4</v>
      </c>
      <c r="S2793" s="1">
        <v>40871</v>
      </c>
      <c r="T2793" t="str">
        <f t="shared" si="87"/>
        <v>24-Nov-2011</v>
      </c>
    </row>
    <row r="2794" spans="1:20" x14ac:dyDescent="0.3">
      <c r="A2794">
        <v>1221</v>
      </c>
      <c r="B2794" s="1">
        <v>41017</v>
      </c>
      <c r="C2794" t="s">
        <v>31</v>
      </c>
      <c r="D2794" t="str">
        <f t="shared" si="86"/>
        <v>18-Apr-2012</v>
      </c>
      <c r="E2794">
        <v>16</v>
      </c>
      <c r="F2794" s="13">
        <v>68.45</v>
      </c>
      <c r="G2794">
        <v>0.08</v>
      </c>
      <c r="H2794" t="s">
        <v>19</v>
      </c>
      <c r="I2794" s="13">
        <v>-57.88</v>
      </c>
      <c r="J2794">
        <v>4.24</v>
      </c>
      <c r="K2794">
        <v>5.41</v>
      </c>
      <c r="L2794" t="s">
        <v>121</v>
      </c>
      <c r="M2794" t="s">
        <v>104</v>
      </c>
      <c r="N2794" s="5" t="s">
        <v>105</v>
      </c>
      <c r="O2794" t="s">
        <v>28</v>
      </c>
      <c r="P2794" t="s">
        <v>21</v>
      </c>
      <c r="Q2794" t="s">
        <v>26</v>
      </c>
      <c r="R2794">
        <v>0.35</v>
      </c>
      <c r="S2794" s="1">
        <v>41019</v>
      </c>
      <c r="T2794" t="str">
        <f t="shared" si="87"/>
        <v>20-Apr-2012</v>
      </c>
    </row>
    <row r="2795" spans="1:20" x14ac:dyDescent="0.3">
      <c r="A2795">
        <v>45763</v>
      </c>
      <c r="B2795" s="1">
        <v>40366</v>
      </c>
      <c r="C2795" t="s">
        <v>23</v>
      </c>
      <c r="D2795" t="str">
        <f t="shared" si="86"/>
        <v>07-Jul-2010</v>
      </c>
      <c r="E2795">
        <v>25</v>
      </c>
      <c r="F2795" s="13">
        <v>67.45</v>
      </c>
      <c r="G2795">
        <v>0.05</v>
      </c>
      <c r="H2795" t="s">
        <v>19</v>
      </c>
      <c r="I2795" s="13">
        <v>24.28</v>
      </c>
      <c r="J2795">
        <v>2.61</v>
      </c>
      <c r="K2795">
        <v>0.5</v>
      </c>
      <c r="L2795" t="s">
        <v>119</v>
      </c>
      <c r="M2795" t="s">
        <v>104</v>
      </c>
      <c r="N2795" s="5" t="s">
        <v>105</v>
      </c>
      <c r="O2795" t="s">
        <v>28</v>
      </c>
      <c r="P2795" t="s">
        <v>21</v>
      </c>
      <c r="Q2795" t="s">
        <v>48</v>
      </c>
      <c r="R2795">
        <v>0.39</v>
      </c>
      <c r="S2795" s="1">
        <v>40367</v>
      </c>
      <c r="T2795" t="str">
        <f t="shared" si="87"/>
        <v>08-Jul-2010</v>
      </c>
    </row>
    <row r="2796" spans="1:20" x14ac:dyDescent="0.3">
      <c r="A2796">
        <v>6144</v>
      </c>
      <c r="B2796" s="1">
        <v>39985</v>
      </c>
      <c r="C2796" t="s">
        <v>43</v>
      </c>
      <c r="D2796" t="str">
        <f t="shared" si="86"/>
        <v>21-Jun-2009</v>
      </c>
      <c r="E2796">
        <v>24</v>
      </c>
      <c r="F2796" s="13">
        <v>67.349999999999994</v>
      </c>
      <c r="G2796">
        <v>7.0000000000000007E-2</v>
      </c>
      <c r="H2796" t="s">
        <v>19</v>
      </c>
      <c r="I2796" s="13">
        <v>22.63</v>
      </c>
      <c r="J2796">
        <v>2.88</v>
      </c>
      <c r="K2796">
        <v>0.5</v>
      </c>
      <c r="L2796" t="s">
        <v>124</v>
      </c>
      <c r="M2796" t="s">
        <v>104</v>
      </c>
      <c r="N2796" s="5" t="s">
        <v>105</v>
      </c>
      <c r="O2796" t="s">
        <v>28</v>
      </c>
      <c r="P2796" t="s">
        <v>21</v>
      </c>
      <c r="Q2796" t="s">
        <v>48</v>
      </c>
      <c r="R2796">
        <v>0.39</v>
      </c>
      <c r="S2796" s="1">
        <v>39988</v>
      </c>
      <c r="T2796" t="str">
        <f t="shared" si="87"/>
        <v>24-Jun-2009</v>
      </c>
    </row>
    <row r="2797" spans="1:20" x14ac:dyDescent="0.3">
      <c r="A2797">
        <v>32513</v>
      </c>
      <c r="B2797" s="1">
        <v>40941</v>
      </c>
      <c r="C2797" t="s">
        <v>18</v>
      </c>
      <c r="D2797" t="str">
        <f t="shared" si="86"/>
        <v>02-Feb-2012</v>
      </c>
      <c r="E2797">
        <v>40</v>
      </c>
      <c r="F2797" s="13">
        <v>66.55</v>
      </c>
      <c r="G2797">
        <v>0.01</v>
      </c>
      <c r="H2797" t="s">
        <v>19</v>
      </c>
      <c r="I2797" s="13">
        <v>-15.13</v>
      </c>
      <c r="J2797">
        <v>1.6</v>
      </c>
      <c r="K2797">
        <v>1.29</v>
      </c>
      <c r="L2797" t="s">
        <v>391</v>
      </c>
      <c r="M2797" t="s">
        <v>104</v>
      </c>
      <c r="N2797" s="5" t="s">
        <v>105</v>
      </c>
      <c r="O2797" t="s">
        <v>28</v>
      </c>
      <c r="P2797" t="s">
        <v>21</v>
      </c>
      <c r="Q2797" t="s">
        <v>50</v>
      </c>
      <c r="R2797">
        <v>0.42</v>
      </c>
      <c r="S2797" s="1">
        <v>40946</v>
      </c>
      <c r="T2797" t="str">
        <f t="shared" si="87"/>
        <v>07-Feb-2012</v>
      </c>
    </row>
    <row r="2798" spans="1:20" x14ac:dyDescent="0.3">
      <c r="A2798">
        <v>13380</v>
      </c>
      <c r="B2798" s="1">
        <v>40009</v>
      </c>
      <c r="C2798" t="s">
        <v>43</v>
      </c>
      <c r="D2798" t="str">
        <f t="shared" si="86"/>
        <v>15-Jul-2009</v>
      </c>
      <c r="E2798">
        <v>24</v>
      </c>
      <c r="F2798" s="13">
        <v>66.12</v>
      </c>
      <c r="G2798">
        <v>0.09</v>
      </c>
      <c r="H2798" t="s">
        <v>19</v>
      </c>
      <c r="I2798" s="13">
        <v>4.8499999999999996</v>
      </c>
      <c r="J2798">
        <v>2.88</v>
      </c>
      <c r="K2798">
        <v>0.7</v>
      </c>
      <c r="L2798" t="s">
        <v>125</v>
      </c>
      <c r="M2798" t="s">
        <v>104</v>
      </c>
      <c r="N2798" s="5" t="s">
        <v>105</v>
      </c>
      <c r="O2798" t="s">
        <v>28</v>
      </c>
      <c r="P2798" t="s">
        <v>21</v>
      </c>
      <c r="Q2798" t="s">
        <v>50</v>
      </c>
      <c r="R2798">
        <v>0.56000000000000005</v>
      </c>
      <c r="S2798" s="1">
        <v>40009</v>
      </c>
      <c r="T2798" t="str">
        <f t="shared" si="87"/>
        <v>15-Jul-2009</v>
      </c>
    </row>
    <row r="2799" spans="1:20" x14ac:dyDescent="0.3">
      <c r="A2799">
        <v>55777</v>
      </c>
      <c r="B2799" s="1">
        <v>41223</v>
      </c>
      <c r="C2799" t="s">
        <v>31</v>
      </c>
      <c r="D2799" t="str">
        <f t="shared" si="86"/>
        <v>10-Nov-2012</v>
      </c>
      <c r="E2799">
        <v>1</v>
      </c>
      <c r="F2799" s="13">
        <v>65.747500000000002</v>
      </c>
      <c r="G2799">
        <v>0.1</v>
      </c>
      <c r="H2799" t="s">
        <v>35</v>
      </c>
      <c r="I2799" s="13">
        <v>-252.48</v>
      </c>
      <c r="J2799">
        <v>65.989999999999995</v>
      </c>
      <c r="K2799">
        <v>3.99</v>
      </c>
      <c r="L2799" t="s">
        <v>80</v>
      </c>
      <c r="M2799" t="s">
        <v>104</v>
      </c>
      <c r="N2799" s="5" t="s">
        <v>105</v>
      </c>
      <c r="O2799" t="s">
        <v>28</v>
      </c>
      <c r="P2799" t="s">
        <v>29</v>
      </c>
      <c r="Q2799" t="s">
        <v>30</v>
      </c>
      <c r="R2799">
        <v>0.59</v>
      </c>
      <c r="S2799" s="1">
        <v>41225</v>
      </c>
      <c r="T2799" t="str">
        <f t="shared" si="87"/>
        <v>12-Nov-2012</v>
      </c>
    </row>
    <row r="2800" spans="1:20" x14ac:dyDescent="0.3">
      <c r="A2800">
        <v>4642</v>
      </c>
      <c r="B2800" s="1">
        <v>40600</v>
      </c>
      <c r="C2800" t="s">
        <v>43</v>
      </c>
      <c r="D2800" t="str">
        <f t="shared" si="86"/>
        <v>26-Feb-2011</v>
      </c>
      <c r="E2800">
        <v>9</v>
      </c>
      <c r="F2800" s="13">
        <v>65.61</v>
      </c>
      <c r="G2800">
        <v>0.08</v>
      </c>
      <c r="H2800" t="s">
        <v>19</v>
      </c>
      <c r="I2800" s="13">
        <v>-39.74</v>
      </c>
      <c r="J2800">
        <v>7.28</v>
      </c>
      <c r="K2800">
        <v>3.52</v>
      </c>
      <c r="L2800" t="s">
        <v>122</v>
      </c>
      <c r="M2800" t="s">
        <v>104</v>
      </c>
      <c r="N2800" s="5" t="s">
        <v>105</v>
      </c>
      <c r="O2800" t="s">
        <v>28</v>
      </c>
      <c r="P2800" t="s">
        <v>29</v>
      </c>
      <c r="Q2800" t="s">
        <v>41</v>
      </c>
      <c r="R2800">
        <v>0.68</v>
      </c>
      <c r="S2800" s="1">
        <v>40601</v>
      </c>
      <c r="T2800" t="str">
        <f t="shared" si="87"/>
        <v>27-Feb-2011</v>
      </c>
    </row>
    <row r="2801" spans="1:20" x14ac:dyDescent="0.3">
      <c r="A2801">
        <v>43974</v>
      </c>
      <c r="B2801" s="1">
        <v>40072</v>
      </c>
      <c r="C2801" t="s">
        <v>31</v>
      </c>
      <c r="D2801" t="str">
        <f t="shared" si="86"/>
        <v>16-Sep-2009</v>
      </c>
      <c r="E2801">
        <v>8</v>
      </c>
      <c r="F2801" s="13">
        <v>64.23</v>
      </c>
      <c r="G2801">
        <v>0.03</v>
      </c>
      <c r="H2801" t="s">
        <v>19</v>
      </c>
      <c r="I2801" s="13">
        <v>15.83</v>
      </c>
      <c r="J2801">
        <v>7.64</v>
      </c>
      <c r="K2801">
        <v>1.39</v>
      </c>
      <c r="L2801" t="s">
        <v>225</v>
      </c>
      <c r="M2801" t="s">
        <v>104</v>
      </c>
      <c r="N2801" s="5" t="s">
        <v>105</v>
      </c>
      <c r="O2801" t="s">
        <v>28</v>
      </c>
      <c r="P2801" t="s">
        <v>21</v>
      </c>
      <c r="Q2801" t="s">
        <v>42</v>
      </c>
      <c r="R2801">
        <v>0.36</v>
      </c>
      <c r="S2801" s="1">
        <v>40073</v>
      </c>
      <c r="T2801" t="str">
        <f t="shared" si="87"/>
        <v>17-Sep-2009</v>
      </c>
    </row>
    <row r="2802" spans="1:20" x14ac:dyDescent="0.3">
      <c r="A2802">
        <v>42338</v>
      </c>
      <c r="B2802" s="1">
        <v>40119</v>
      </c>
      <c r="C2802" t="s">
        <v>31</v>
      </c>
      <c r="D2802" t="str">
        <f t="shared" si="86"/>
        <v>02-Nov-2009</v>
      </c>
      <c r="E2802">
        <v>14</v>
      </c>
      <c r="F2802" s="13">
        <v>63.91</v>
      </c>
      <c r="G2802">
        <v>0.04</v>
      </c>
      <c r="H2802" t="s">
        <v>19</v>
      </c>
      <c r="I2802" s="13">
        <v>-44.47</v>
      </c>
      <c r="J2802">
        <v>4.1399999999999997</v>
      </c>
      <c r="K2802">
        <v>6.6</v>
      </c>
      <c r="L2802" t="s">
        <v>378</v>
      </c>
      <c r="M2802" t="s">
        <v>104</v>
      </c>
      <c r="N2802" s="5" t="s">
        <v>105</v>
      </c>
      <c r="O2802" t="s">
        <v>28</v>
      </c>
      <c r="P2802" t="s">
        <v>32</v>
      </c>
      <c r="Q2802" t="s">
        <v>33</v>
      </c>
      <c r="R2802">
        <v>0.49</v>
      </c>
      <c r="S2802" s="1">
        <v>40121</v>
      </c>
      <c r="T2802" t="str">
        <f t="shared" si="87"/>
        <v>04-Nov-2009</v>
      </c>
    </row>
    <row r="2803" spans="1:20" x14ac:dyDescent="0.3">
      <c r="A2803">
        <v>24132</v>
      </c>
      <c r="B2803" s="1">
        <v>40000</v>
      </c>
      <c r="C2803" t="s">
        <v>18</v>
      </c>
      <c r="D2803" t="str">
        <f t="shared" si="86"/>
        <v>06-Jul-2009</v>
      </c>
      <c r="E2803">
        <v>3</v>
      </c>
      <c r="F2803" s="13">
        <v>63.84</v>
      </c>
      <c r="G2803">
        <v>0.02</v>
      </c>
      <c r="H2803" t="s">
        <v>19</v>
      </c>
      <c r="I2803" s="13">
        <v>-47.97</v>
      </c>
      <c r="J2803">
        <v>15.51</v>
      </c>
      <c r="K2803">
        <v>17.78</v>
      </c>
      <c r="L2803" t="s">
        <v>107</v>
      </c>
      <c r="M2803" t="s">
        <v>104</v>
      </c>
      <c r="N2803" s="5" t="s">
        <v>105</v>
      </c>
      <c r="O2803" t="s">
        <v>28</v>
      </c>
      <c r="P2803" t="s">
        <v>21</v>
      </c>
      <c r="Q2803" t="s">
        <v>22</v>
      </c>
      <c r="R2803">
        <v>0.59</v>
      </c>
      <c r="S2803" s="1">
        <v>40007</v>
      </c>
      <c r="T2803" t="str">
        <f t="shared" si="87"/>
        <v>13-Jul-2009</v>
      </c>
    </row>
    <row r="2804" spans="1:20" x14ac:dyDescent="0.3">
      <c r="A2804">
        <v>45158</v>
      </c>
      <c r="B2804" s="1">
        <v>40278</v>
      </c>
      <c r="C2804" t="s">
        <v>18</v>
      </c>
      <c r="D2804" t="str">
        <f t="shared" si="86"/>
        <v>10-Apr-2010</v>
      </c>
      <c r="E2804">
        <v>15</v>
      </c>
      <c r="F2804" s="13">
        <v>63.84</v>
      </c>
      <c r="G2804">
        <v>0.03</v>
      </c>
      <c r="H2804" t="s">
        <v>35</v>
      </c>
      <c r="I2804" s="13">
        <v>23.52</v>
      </c>
      <c r="J2804">
        <v>3.78</v>
      </c>
      <c r="K2804">
        <v>0.71</v>
      </c>
      <c r="L2804" t="s">
        <v>386</v>
      </c>
      <c r="M2804" t="s">
        <v>104</v>
      </c>
      <c r="N2804" s="5" t="s">
        <v>105</v>
      </c>
      <c r="O2804" t="s">
        <v>28</v>
      </c>
      <c r="P2804" t="s">
        <v>21</v>
      </c>
      <c r="Q2804" t="s">
        <v>39</v>
      </c>
      <c r="R2804">
        <v>0.39</v>
      </c>
      <c r="S2804" s="1">
        <v>40283</v>
      </c>
      <c r="T2804" t="str">
        <f t="shared" si="87"/>
        <v>15-Apr-2010</v>
      </c>
    </row>
    <row r="2805" spans="1:20" x14ac:dyDescent="0.3">
      <c r="A2805">
        <v>39649</v>
      </c>
      <c r="B2805" s="1">
        <v>40105</v>
      </c>
      <c r="C2805" t="s">
        <v>23</v>
      </c>
      <c r="D2805" t="str">
        <f t="shared" si="86"/>
        <v>19-Oct-2009</v>
      </c>
      <c r="E2805">
        <v>9</v>
      </c>
      <c r="F2805" s="13">
        <v>63</v>
      </c>
      <c r="G2805">
        <v>0.01</v>
      </c>
      <c r="H2805" t="s">
        <v>19</v>
      </c>
      <c r="I2805" s="13">
        <v>-17.48</v>
      </c>
      <c r="J2805">
        <v>5.98</v>
      </c>
      <c r="K2805">
        <v>5.46</v>
      </c>
      <c r="L2805" t="s">
        <v>238</v>
      </c>
      <c r="M2805" t="s">
        <v>104</v>
      </c>
      <c r="N2805" s="5" t="s">
        <v>105</v>
      </c>
      <c r="O2805" t="s">
        <v>28</v>
      </c>
      <c r="P2805" t="s">
        <v>21</v>
      </c>
      <c r="Q2805" t="s">
        <v>37</v>
      </c>
      <c r="R2805">
        <v>0.36</v>
      </c>
      <c r="S2805" s="1">
        <v>40107</v>
      </c>
      <c r="T2805" t="str">
        <f t="shared" si="87"/>
        <v>21-Oct-2009</v>
      </c>
    </row>
    <row r="2806" spans="1:20" x14ac:dyDescent="0.3">
      <c r="A2806">
        <v>55431</v>
      </c>
      <c r="B2806" s="1">
        <v>41068</v>
      </c>
      <c r="C2806" t="s">
        <v>31</v>
      </c>
      <c r="D2806" t="str">
        <f t="shared" si="86"/>
        <v>08-Jun-2012</v>
      </c>
      <c r="E2806">
        <v>39</v>
      </c>
      <c r="F2806" s="13">
        <v>61.94</v>
      </c>
      <c r="G2806">
        <v>0.1</v>
      </c>
      <c r="H2806" t="s">
        <v>19</v>
      </c>
      <c r="I2806" s="13">
        <v>-17.78</v>
      </c>
      <c r="J2806">
        <v>1.6</v>
      </c>
      <c r="K2806">
        <v>1.29</v>
      </c>
      <c r="L2806" t="s">
        <v>311</v>
      </c>
      <c r="M2806" t="s">
        <v>104</v>
      </c>
      <c r="N2806" s="5" t="s">
        <v>105</v>
      </c>
      <c r="O2806" t="s">
        <v>28</v>
      </c>
      <c r="P2806" t="s">
        <v>21</v>
      </c>
      <c r="Q2806" t="s">
        <v>50</v>
      </c>
      <c r="R2806">
        <v>0.42</v>
      </c>
      <c r="S2806" s="1">
        <v>41069</v>
      </c>
      <c r="T2806" t="str">
        <f t="shared" si="87"/>
        <v>09-Jun-2012</v>
      </c>
    </row>
    <row r="2807" spans="1:20" x14ac:dyDescent="0.3">
      <c r="A2807">
        <v>41569</v>
      </c>
      <c r="B2807" s="1">
        <v>40380</v>
      </c>
      <c r="C2807" t="s">
        <v>43</v>
      </c>
      <c r="D2807" t="str">
        <f t="shared" si="86"/>
        <v>21-Jul-2010</v>
      </c>
      <c r="E2807">
        <v>16</v>
      </c>
      <c r="F2807" s="13">
        <v>60.76</v>
      </c>
      <c r="G2807">
        <v>0.03</v>
      </c>
      <c r="H2807" t="s">
        <v>19</v>
      </c>
      <c r="I2807" s="13">
        <v>5.25</v>
      </c>
      <c r="J2807">
        <v>3.7</v>
      </c>
      <c r="K2807">
        <v>1.61</v>
      </c>
      <c r="L2807" t="s">
        <v>126</v>
      </c>
      <c r="M2807" t="s">
        <v>104</v>
      </c>
      <c r="N2807" s="5" t="s">
        <v>105</v>
      </c>
      <c r="O2807" t="s">
        <v>28</v>
      </c>
      <c r="P2807" t="s">
        <v>32</v>
      </c>
      <c r="Q2807" t="s">
        <v>33</v>
      </c>
      <c r="R2807">
        <v>0.44</v>
      </c>
      <c r="S2807" s="1">
        <v>40382</v>
      </c>
      <c r="T2807" t="str">
        <f t="shared" si="87"/>
        <v>23-Jul-2010</v>
      </c>
    </row>
    <row r="2808" spans="1:20" x14ac:dyDescent="0.3">
      <c r="A2808">
        <v>33604</v>
      </c>
      <c r="B2808" s="1">
        <v>40773</v>
      </c>
      <c r="C2808" t="s">
        <v>23</v>
      </c>
      <c r="D2808" t="str">
        <f t="shared" si="86"/>
        <v>18-Aug-2011</v>
      </c>
      <c r="E2808">
        <v>10</v>
      </c>
      <c r="F2808" s="13">
        <v>59.62</v>
      </c>
      <c r="G2808">
        <v>0.04</v>
      </c>
      <c r="H2808" t="s">
        <v>19</v>
      </c>
      <c r="I2808" s="13">
        <v>-56.3</v>
      </c>
      <c r="J2808">
        <v>5.4</v>
      </c>
      <c r="K2808">
        <v>7.78</v>
      </c>
      <c r="L2808" t="s">
        <v>231</v>
      </c>
      <c r="M2808" t="s">
        <v>104</v>
      </c>
      <c r="N2808" s="5" t="s">
        <v>105</v>
      </c>
      <c r="O2808" t="s">
        <v>28</v>
      </c>
      <c r="P2808" t="s">
        <v>21</v>
      </c>
      <c r="Q2808" t="s">
        <v>26</v>
      </c>
      <c r="R2808">
        <v>0.37</v>
      </c>
      <c r="S2808" s="1">
        <v>40775</v>
      </c>
      <c r="T2808" t="str">
        <f t="shared" si="87"/>
        <v>20-Aug-2011</v>
      </c>
    </row>
    <row r="2809" spans="1:20" x14ac:dyDescent="0.3">
      <c r="A2809">
        <v>6434</v>
      </c>
      <c r="B2809" s="1">
        <v>39971</v>
      </c>
      <c r="C2809" t="s">
        <v>23</v>
      </c>
      <c r="D2809" t="str">
        <f t="shared" si="86"/>
        <v>07-Jun-2009</v>
      </c>
      <c r="E2809">
        <v>13</v>
      </c>
      <c r="F2809" s="13">
        <v>59.58</v>
      </c>
      <c r="G2809">
        <v>7.0000000000000007E-2</v>
      </c>
      <c r="H2809" t="s">
        <v>19</v>
      </c>
      <c r="I2809" s="13">
        <v>14.49</v>
      </c>
      <c r="J2809">
        <v>4.76</v>
      </c>
      <c r="K2809">
        <v>0.88</v>
      </c>
      <c r="L2809" t="s">
        <v>108</v>
      </c>
      <c r="M2809" t="s">
        <v>104</v>
      </c>
      <c r="N2809" s="5" t="s">
        <v>105</v>
      </c>
      <c r="O2809" t="s">
        <v>28</v>
      </c>
      <c r="P2809" t="s">
        <v>21</v>
      </c>
      <c r="Q2809" t="s">
        <v>37</v>
      </c>
      <c r="R2809">
        <v>0.39</v>
      </c>
      <c r="S2809" s="1">
        <v>39971</v>
      </c>
      <c r="T2809" t="str">
        <f t="shared" si="87"/>
        <v>07-Jun-2009</v>
      </c>
    </row>
    <row r="2810" spans="1:20" x14ac:dyDescent="0.3">
      <c r="A2810">
        <v>40420</v>
      </c>
      <c r="B2810" s="1">
        <v>40553</v>
      </c>
      <c r="C2810" t="s">
        <v>23</v>
      </c>
      <c r="D2810" t="str">
        <f t="shared" si="86"/>
        <v>10-Jan-2011</v>
      </c>
      <c r="E2810">
        <v>22</v>
      </c>
      <c r="F2810" s="13">
        <v>59.08</v>
      </c>
      <c r="G2810">
        <v>0.1</v>
      </c>
      <c r="H2810" t="s">
        <v>19</v>
      </c>
      <c r="I2810" s="13">
        <v>-2.61</v>
      </c>
      <c r="J2810">
        <v>2.88</v>
      </c>
      <c r="K2810">
        <v>1.49</v>
      </c>
      <c r="L2810" t="s">
        <v>381</v>
      </c>
      <c r="M2810" t="s">
        <v>104</v>
      </c>
      <c r="N2810" s="5" t="s">
        <v>105</v>
      </c>
      <c r="O2810" t="s">
        <v>28</v>
      </c>
      <c r="P2810" t="s">
        <v>21</v>
      </c>
      <c r="Q2810" t="s">
        <v>26</v>
      </c>
      <c r="R2810">
        <v>0.36</v>
      </c>
      <c r="S2810" s="1">
        <v>40555</v>
      </c>
      <c r="T2810" t="str">
        <f t="shared" si="87"/>
        <v>12-Jan-2011</v>
      </c>
    </row>
    <row r="2811" spans="1:20" x14ac:dyDescent="0.3">
      <c r="A2811">
        <v>33702</v>
      </c>
      <c r="B2811" s="1">
        <v>41154</v>
      </c>
      <c r="C2811" t="s">
        <v>31</v>
      </c>
      <c r="D2811" t="str">
        <f t="shared" si="86"/>
        <v>02-Sep-2012</v>
      </c>
      <c r="E2811">
        <v>14</v>
      </c>
      <c r="F2811" s="13">
        <v>56.26</v>
      </c>
      <c r="G2811">
        <v>0</v>
      </c>
      <c r="H2811" t="s">
        <v>35</v>
      </c>
      <c r="I2811" s="13">
        <v>28.11</v>
      </c>
      <c r="J2811">
        <v>2.89</v>
      </c>
      <c r="K2811">
        <v>0.5</v>
      </c>
      <c r="L2811" t="s">
        <v>378</v>
      </c>
      <c r="M2811" t="s">
        <v>104</v>
      </c>
      <c r="N2811" s="5" t="s">
        <v>105</v>
      </c>
      <c r="O2811" t="s">
        <v>28</v>
      </c>
      <c r="P2811" t="s">
        <v>21</v>
      </c>
      <c r="Q2811" t="s">
        <v>48</v>
      </c>
      <c r="R2811">
        <v>0.38</v>
      </c>
      <c r="S2811" s="1">
        <v>41155</v>
      </c>
      <c r="T2811" t="str">
        <f t="shared" si="87"/>
        <v>03-Sep-2012</v>
      </c>
    </row>
    <row r="2812" spans="1:20" x14ac:dyDescent="0.3">
      <c r="A2812">
        <v>41152</v>
      </c>
      <c r="B2812" s="1">
        <v>40789</v>
      </c>
      <c r="C2812" t="s">
        <v>23</v>
      </c>
      <c r="D2812" t="str">
        <f t="shared" si="86"/>
        <v>03-Sep-2011</v>
      </c>
      <c r="E2812">
        <v>29</v>
      </c>
      <c r="F2812" s="13">
        <v>53.99</v>
      </c>
      <c r="G2812">
        <v>0.1</v>
      </c>
      <c r="H2812" t="s">
        <v>19</v>
      </c>
      <c r="I2812" s="13">
        <v>-15.12</v>
      </c>
      <c r="J2812">
        <v>1.88</v>
      </c>
      <c r="K2812">
        <v>1.49</v>
      </c>
      <c r="L2812" t="s">
        <v>224</v>
      </c>
      <c r="M2812" t="s">
        <v>104</v>
      </c>
      <c r="N2812" s="5" t="s">
        <v>105</v>
      </c>
      <c r="O2812" t="s">
        <v>28</v>
      </c>
      <c r="P2812" t="s">
        <v>21</v>
      </c>
      <c r="Q2812" t="s">
        <v>26</v>
      </c>
      <c r="R2812">
        <v>0.37</v>
      </c>
      <c r="S2812" s="1">
        <v>40791</v>
      </c>
      <c r="T2812" t="str">
        <f t="shared" si="87"/>
        <v>05-Sep-2011</v>
      </c>
    </row>
    <row r="2813" spans="1:20" x14ac:dyDescent="0.3">
      <c r="A2813">
        <v>34852</v>
      </c>
      <c r="B2813" s="1">
        <v>41157</v>
      </c>
      <c r="C2813" t="s">
        <v>18</v>
      </c>
      <c r="D2813" t="str">
        <f t="shared" si="86"/>
        <v>05-Sep-2012</v>
      </c>
      <c r="E2813">
        <v>26</v>
      </c>
      <c r="F2813" s="13">
        <v>53.93</v>
      </c>
      <c r="G2813">
        <v>0.04</v>
      </c>
      <c r="H2813" t="s">
        <v>19</v>
      </c>
      <c r="I2813" s="13">
        <v>-10.95</v>
      </c>
      <c r="J2813">
        <v>2.08</v>
      </c>
      <c r="K2813">
        <v>1.49</v>
      </c>
      <c r="L2813" t="s">
        <v>125</v>
      </c>
      <c r="M2813" t="s">
        <v>104</v>
      </c>
      <c r="N2813" s="5" t="s">
        <v>105</v>
      </c>
      <c r="O2813" t="s">
        <v>28</v>
      </c>
      <c r="P2813" t="s">
        <v>21</v>
      </c>
      <c r="Q2813" t="s">
        <v>26</v>
      </c>
      <c r="R2813">
        <v>0.38</v>
      </c>
      <c r="S2813" s="1">
        <v>41161</v>
      </c>
      <c r="T2813" t="str">
        <f t="shared" si="87"/>
        <v>09-Sep-2012</v>
      </c>
    </row>
    <row r="2814" spans="1:20" x14ac:dyDescent="0.3">
      <c r="A2814">
        <v>32901</v>
      </c>
      <c r="B2814" s="1">
        <v>40553</v>
      </c>
      <c r="C2814" t="s">
        <v>43</v>
      </c>
      <c r="D2814" t="str">
        <f t="shared" si="86"/>
        <v>10-Jan-2011</v>
      </c>
      <c r="E2814">
        <v>13</v>
      </c>
      <c r="F2814" s="13">
        <v>49.74</v>
      </c>
      <c r="G2814">
        <v>0</v>
      </c>
      <c r="H2814" t="s">
        <v>19</v>
      </c>
      <c r="I2814" s="13">
        <v>17.7</v>
      </c>
      <c r="J2814">
        <v>3.75</v>
      </c>
      <c r="K2814">
        <v>0.5</v>
      </c>
      <c r="L2814" t="s">
        <v>131</v>
      </c>
      <c r="M2814" t="s">
        <v>104</v>
      </c>
      <c r="N2814" s="5" t="s">
        <v>105</v>
      </c>
      <c r="O2814" t="s">
        <v>28</v>
      </c>
      <c r="P2814" t="s">
        <v>21</v>
      </c>
      <c r="Q2814" t="s">
        <v>48</v>
      </c>
      <c r="R2814">
        <v>0.37</v>
      </c>
      <c r="S2814" s="1">
        <v>40554</v>
      </c>
      <c r="T2814" t="str">
        <f t="shared" si="87"/>
        <v>11-Jan-2011</v>
      </c>
    </row>
    <row r="2815" spans="1:20" x14ac:dyDescent="0.3">
      <c r="A2815">
        <v>24132</v>
      </c>
      <c r="B2815" s="1">
        <v>40000</v>
      </c>
      <c r="C2815" t="s">
        <v>18</v>
      </c>
      <c r="D2815" t="str">
        <f t="shared" si="86"/>
        <v>06-Jul-2009</v>
      </c>
      <c r="E2815">
        <v>12</v>
      </c>
      <c r="F2815" s="13">
        <v>47.79</v>
      </c>
      <c r="G2815">
        <v>0.04</v>
      </c>
      <c r="H2815" t="s">
        <v>19</v>
      </c>
      <c r="I2815" s="13">
        <v>-57.75</v>
      </c>
      <c r="J2815">
        <v>3.52</v>
      </c>
      <c r="K2815">
        <v>6.83</v>
      </c>
      <c r="L2815" t="s">
        <v>107</v>
      </c>
      <c r="M2815" t="s">
        <v>104</v>
      </c>
      <c r="N2815" s="5" t="s">
        <v>105</v>
      </c>
      <c r="O2815" t="s">
        <v>28</v>
      </c>
      <c r="P2815" t="s">
        <v>21</v>
      </c>
      <c r="Q2815" t="s">
        <v>26</v>
      </c>
      <c r="R2815">
        <v>0.38</v>
      </c>
      <c r="S2815" s="1">
        <v>40009</v>
      </c>
      <c r="T2815" t="str">
        <f t="shared" si="87"/>
        <v>15-Jul-2009</v>
      </c>
    </row>
    <row r="2816" spans="1:20" x14ac:dyDescent="0.3">
      <c r="A2816">
        <v>48709</v>
      </c>
      <c r="B2816" s="1">
        <v>40783</v>
      </c>
      <c r="C2816" t="s">
        <v>23</v>
      </c>
      <c r="D2816" t="str">
        <f t="shared" si="86"/>
        <v>28-Aug-2011</v>
      </c>
      <c r="E2816">
        <v>17</v>
      </c>
      <c r="F2816" s="13">
        <v>47.12</v>
      </c>
      <c r="G2816">
        <v>0.01</v>
      </c>
      <c r="H2816" t="s">
        <v>19</v>
      </c>
      <c r="I2816" s="13">
        <v>-47.01</v>
      </c>
      <c r="J2816">
        <v>2.52</v>
      </c>
      <c r="K2816">
        <v>4.28</v>
      </c>
      <c r="L2816" t="s">
        <v>155</v>
      </c>
      <c r="M2816" t="s">
        <v>104</v>
      </c>
      <c r="N2816" s="5" t="s">
        <v>105</v>
      </c>
      <c r="O2816" t="s">
        <v>28</v>
      </c>
      <c r="P2816" t="s">
        <v>21</v>
      </c>
      <c r="Q2816" t="s">
        <v>50</v>
      </c>
      <c r="R2816">
        <v>0.44</v>
      </c>
      <c r="S2816" s="1">
        <v>40785</v>
      </c>
      <c r="T2816" t="str">
        <f t="shared" si="87"/>
        <v>30-Aug-2011</v>
      </c>
    </row>
    <row r="2817" spans="1:20" x14ac:dyDescent="0.3">
      <c r="A2817">
        <v>36867</v>
      </c>
      <c r="B2817" s="1">
        <v>40061</v>
      </c>
      <c r="C2817" t="s">
        <v>23</v>
      </c>
      <c r="D2817" t="str">
        <f t="shared" si="86"/>
        <v>05-Sep-2009</v>
      </c>
      <c r="E2817">
        <v>16</v>
      </c>
      <c r="F2817" s="13">
        <v>45.57</v>
      </c>
      <c r="G2817">
        <v>0.09</v>
      </c>
      <c r="H2817" t="s">
        <v>19</v>
      </c>
      <c r="I2817" s="13">
        <v>2.81</v>
      </c>
      <c r="J2817">
        <v>2.88</v>
      </c>
      <c r="K2817">
        <v>0.7</v>
      </c>
      <c r="L2817" t="s">
        <v>268</v>
      </c>
      <c r="M2817" t="s">
        <v>104</v>
      </c>
      <c r="N2817" s="5" t="s">
        <v>105</v>
      </c>
      <c r="O2817" t="s">
        <v>28</v>
      </c>
      <c r="P2817" t="s">
        <v>21</v>
      </c>
      <c r="Q2817" t="s">
        <v>50</v>
      </c>
      <c r="R2817">
        <v>0.56000000000000005</v>
      </c>
      <c r="S2817" s="1">
        <v>40063</v>
      </c>
      <c r="T2817" t="str">
        <f t="shared" si="87"/>
        <v>07-Sep-2009</v>
      </c>
    </row>
    <row r="2818" spans="1:20" x14ac:dyDescent="0.3">
      <c r="A2818">
        <v>42148</v>
      </c>
      <c r="B2818" s="1">
        <v>40836</v>
      </c>
      <c r="C2818" t="s">
        <v>43</v>
      </c>
      <c r="D2818" t="str">
        <f t="shared" ref="D2818:D2881" si="88">TEXT(B2818, "dd-mmm-yyyy" )</f>
        <v>20-Oct-2011</v>
      </c>
      <c r="E2818">
        <v>11</v>
      </c>
      <c r="F2818" s="13">
        <v>45.31</v>
      </c>
      <c r="G2818">
        <v>7.0000000000000007E-2</v>
      </c>
      <c r="H2818" t="s">
        <v>19</v>
      </c>
      <c r="I2818" s="13">
        <v>-10.64</v>
      </c>
      <c r="J2818">
        <v>3.98</v>
      </c>
      <c r="K2818">
        <v>2.97</v>
      </c>
      <c r="L2818" t="s">
        <v>381</v>
      </c>
      <c r="M2818" t="s">
        <v>104</v>
      </c>
      <c r="N2818" s="5" t="s">
        <v>105</v>
      </c>
      <c r="O2818" t="s">
        <v>28</v>
      </c>
      <c r="P2818" t="s">
        <v>21</v>
      </c>
      <c r="Q2818" t="s">
        <v>37</v>
      </c>
      <c r="R2818">
        <v>0.35</v>
      </c>
      <c r="S2818" s="1">
        <v>40839</v>
      </c>
      <c r="T2818" t="str">
        <f t="shared" ref="T2818:T2881" si="89">TEXT(S2818, "dd-mmm-yyyy")</f>
        <v>23-Oct-2011</v>
      </c>
    </row>
    <row r="2819" spans="1:20" x14ac:dyDescent="0.3">
      <c r="A2819">
        <v>42563</v>
      </c>
      <c r="B2819" s="1">
        <v>40402</v>
      </c>
      <c r="C2819" t="s">
        <v>38</v>
      </c>
      <c r="D2819" t="str">
        <f t="shared" si="88"/>
        <v>12-Aug-2010</v>
      </c>
      <c r="E2819">
        <v>7</v>
      </c>
      <c r="F2819" s="13">
        <v>44.25</v>
      </c>
      <c r="G2819">
        <v>7.0000000000000007E-2</v>
      </c>
      <c r="H2819" t="s">
        <v>35</v>
      </c>
      <c r="I2819" s="13">
        <v>-14.36</v>
      </c>
      <c r="J2819">
        <v>4.24</v>
      </c>
      <c r="K2819">
        <v>5.41</v>
      </c>
      <c r="L2819" t="s">
        <v>381</v>
      </c>
      <c r="M2819" t="s">
        <v>104</v>
      </c>
      <c r="N2819" s="5" t="s">
        <v>105</v>
      </c>
      <c r="O2819" t="s">
        <v>28</v>
      </c>
      <c r="P2819" t="s">
        <v>21</v>
      </c>
      <c r="Q2819" t="s">
        <v>26</v>
      </c>
      <c r="R2819">
        <v>0.35</v>
      </c>
      <c r="S2819" s="1">
        <v>40402</v>
      </c>
      <c r="T2819" t="str">
        <f t="shared" si="89"/>
        <v>12-Aug-2010</v>
      </c>
    </row>
    <row r="2820" spans="1:20" x14ac:dyDescent="0.3">
      <c r="A2820">
        <v>49510</v>
      </c>
      <c r="B2820" s="1">
        <v>40988</v>
      </c>
      <c r="C2820" t="s">
        <v>43</v>
      </c>
      <c r="D2820" t="str">
        <f t="shared" si="88"/>
        <v>20-Mar-2012</v>
      </c>
      <c r="E2820">
        <v>16</v>
      </c>
      <c r="F2820" s="13">
        <v>44.1</v>
      </c>
      <c r="G2820">
        <v>0.04</v>
      </c>
      <c r="H2820" t="s">
        <v>19</v>
      </c>
      <c r="I2820" s="13">
        <v>-6.22</v>
      </c>
      <c r="J2820">
        <v>2.58</v>
      </c>
      <c r="K2820">
        <v>1.3</v>
      </c>
      <c r="L2820" t="s">
        <v>111</v>
      </c>
      <c r="M2820" t="s">
        <v>104</v>
      </c>
      <c r="N2820" s="5" t="s">
        <v>105</v>
      </c>
      <c r="O2820" t="s">
        <v>28</v>
      </c>
      <c r="P2820" t="s">
        <v>21</v>
      </c>
      <c r="Q2820" t="s">
        <v>50</v>
      </c>
      <c r="R2820">
        <v>0.59</v>
      </c>
      <c r="S2820" s="1">
        <v>40989</v>
      </c>
      <c r="T2820" t="str">
        <f t="shared" si="89"/>
        <v>21-Mar-2012</v>
      </c>
    </row>
    <row r="2821" spans="1:20" x14ac:dyDescent="0.3">
      <c r="A2821">
        <v>14375</v>
      </c>
      <c r="B2821" s="1">
        <v>40209</v>
      </c>
      <c r="C2821" t="s">
        <v>38</v>
      </c>
      <c r="D2821" t="str">
        <f t="shared" si="88"/>
        <v>31-Jan-2010</v>
      </c>
      <c r="E2821">
        <v>7</v>
      </c>
      <c r="F2821" s="13">
        <v>44.05</v>
      </c>
      <c r="G2821">
        <v>7.0000000000000007E-2</v>
      </c>
      <c r="H2821" t="s">
        <v>19</v>
      </c>
      <c r="I2821" s="13">
        <v>-21.77</v>
      </c>
      <c r="J2821">
        <v>5.78</v>
      </c>
      <c r="K2821">
        <v>5.67</v>
      </c>
      <c r="L2821" t="s">
        <v>116</v>
      </c>
      <c r="M2821" t="s">
        <v>104</v>
      </c>
      <c r="N2821" s="5" t="s">
        <v>105</v>
      </c>
      <c r="O2821" t="s">
        <v>28</v>
      </c>
      <c r="P2821" t="s">
        <v>21</v>
      </c>
      <c r="Q2821" t="s">
        <v>37</v>
      </c>
      <c r="R2821">
        <v>0.36</v>
      </c>
      <c r="S2821" s="1">
        <v>40210</v>
      </c>
      <c r="T2821" t="str">
        <f t="shared" si="89"/>
        <v>01-Feb-2010</v>
      </c>
    </row>
    <row r="2822" spans="1:20" x14ac:dyDescent="0.3">
      <c r="A2822">
        <v>20676</v>
      </c>
      <c r="B2822" s="1">
        <v>41235</v>
      </c>
      <c r="C2822" t="s">
        <v>18</v>
      </c>
      <c r="D2822" t="str">
        <f t="shared" si="88"/>
        <v>22-Nov-2012</v>
      </c>
      <c r="E2822">
        <v>22</v>
      </c>
      <c r="F2822" s="13">
        <v>43.97</v>
      </c>
      <c r="G2822">
        <v>0.04</v>
      </c>
      <c r="H2822" t="s">
        <v>19</v>
      </c>
      <c r="I2822" s="13">
        <v>-9.0500000000000007</v>
      </c>
      <c r="J2822">
        <v>1.88</v>
      </c>
      <c r="K2822">
        <v>1.49</v>
      </c>
      <c r="L2822" t="s">
        <v>122</v>
      </c>
      <c r="M2822" t="s">
        <v>104</v>
      </c>
      <c r="N2822" s="5" t="s">
        <v>105</v>
      </c>
      <c r="O2822" t="s">
        <v>28</v>
      </c>
      <c r="P2822" t="s">
        <v>21</v>
      </c>
      <c r="Q2822" t="s">
        <v>26</v>
      </c>
      <c r="R2822">
        <v>0.37</v>
      </c>
      <c r="S2822" s="1">
        <v>41239</v>
      </c>
      <c r="T2822" t="str">
        <f t="shared" si="89"/>
        <v>26-Nov-2012</v>
      </c>
    </row>
    <row r="2823" spans="1:20" x14ac:dyDescent="0.3">
      <c r="A2823">
        <v>1314</v>
      </c>
      <c r="B2823" s="1">
        <v>39945</v>
      </c>
      <c r="C2823" t="s">
        <v>38</v>
      </c>
      <c r="D2823" t="str">
        <f t="shared" si="88"/>
        <v>12-May-2009</v>
      </c>
      <c r="E2823">
        <v>4</v>
      </c>
      <c r="F2823" s="13">
        <v>42.58</v>
      </c>
      <c r="G2823">
        <v>0</v>
      </c>
      <c r="H2823" t="s">
        <v>19</v>
      </c>
      <c r="I2823" s="13">
        <v>-7.61</v>
      </c>
      <c r="J2823">
        <v>9.27</v>
      </c>
      <c r="K2823">
        <v>4.3899999999999997</v>
      </c>
      <c r="L2823" t="s">
        <v>107</v>
      </c>
      <c r="M2823" t="s">
        <v>104</v>
      </c>
      <c r="N2823" s="5" t="s">
        <v>105</v>
      </c>
      <c r="O2823" t="s">
        <v>28</v>
      </c>
      <c r="P2823" t="s">
        <v>21</v>
      </c>
      <c r="Q2823" t="s">
        <v>37</v>
      </c>
      <c r="R2823">
        <v>0.38</v>
      </c>
      <c r="S2823" s="1">
        <v>39947</v>
      </c>
      <c r="T2823" t="str">
        <f t="shared" si="89"/>
        <v>14-May-2009</v>
      </c>
    </row>
    <row r="2824" spans="1:20" x14ac:dyDescent="0.3">
      <c r="A2824">
        <v>56130</v>
      </c>
      <c r="B2824" s="1">
        <v>40876</v>
      </c>
      <c r="C2824" t="s">
        <v>38</v>
      </c>
      <c r="D2824" t="str">
        <f t="shared" si="88"/>
        <v>29-Nov-2011</v>
      </c>
      <c r="E2824">
        <v>25</v>
      </c>
      <c r="F2824" s="13">
        <v>41.87</v>
      </c>
      <c r="G2824">
        <v>0.05</v>
      </c>
      <c r="H2824" t="s">
        <v>19</v>
      </c>
      <c r="I2824" s="13">
        <v>-25.52</v>
      </c>
      <c r="J2824">
        <v>1.68</v>
      </c>
      <c r="K2824">
        <v>1.57</v>
      </c>
      <c r="L2824" t="s">
        <v>384</v>
      </c>
      <c r="M2824" t="s">
        <v>104</v>
      </c>
      <c r="N2824" s="5" t="s">
        <v>105</v>
      </c>
      <c r="O2824" t="s">
        <v>28</v>
      </c>
      <c r="P2824" t="s">
        <v>21</v>
      </c>
      <c r="Q2824" t="s">
        <v>50</v>
      </c>
      <c r="R2824">
        <v>0.59</v>
      </c>
      <c r="S2824" s="1">
        <v>40878</v>
      </c>
      <c r="T2824" t="str">
        <f t="shared" si="89"/>
        <v>01-Dec-2011</v>
      </c>
    </row>
    <row r="2825" spans="1:20" x14ac:dyDescent="0.3">
      <c r="A2825">
        <v>51489</v>
      </c>
      <c r="B2825" s="1">
        <v>40971</v>
      </c>
      <c r="C2825" t="s">
        <v>43</v>
      </c>
      <c r="D2825" t="str">
        <f t="shared" si="88"/>
        <v>03-Mar-2012</v>
      </c>
      <c r="E2825">
        <v>22</v>
      </c>
      <c r="F2825" s="13">
        <v>38.880000000000003</v>
      </c>
      <c r="G2825">
        <v>0.09</v>
      </c>
      <c r="H2825" t="s">
        <v>19</v>
      </c>
      <c r="I2825" s="13">
        <v>-18.57</v>
      </c>
      <c r="J2825">
        <v>1.81</v>
      </c>
      <c r="K2825">
        <v>1.56</v>
      </c>
      <c r="L2825" t="s">
        <v>243</v>
      </c>
      <c r="M2825" t="s">
        <v>104</v>
      </c>
      <c r="N2825" s="5" t="s">
        <v>105</v>
      </c>
      <c r="O2825" t="s">
        <v>28</v>
      </c>
      <c r="P2825" t="s">
        <v>21</v>
      </c>
      <c r="Q2825" t="s">
        <v>39</v>
      </c>
      <c r="R2825">
        <v>0.49</v>
      </c>
      <c r="S2825" s="1">
        <v>40971</v>
      </c>
      <c r="T2825" t="str">
        <f t="shared" si="89"/>
        <v>03-Mar-2012</v>
      </c>
    </row>
    <row r="2826" spans="1:20" x14ac:dyDescent="0.3">
      <c r="A2826">
        <v>46407</v>
      </c>
      <c r="B2826" s="1">
        <v>39898</v>
      </c>
      <c r="C2826" t="s">
        <v>31</v>
      </c>
      <c r="D2826" t="str">
        <f t="shared" si="88"/>
        <v>26-Mar-2009</v>
      </c>
      <c r="E2826">
        <v>7</v>
      </c>
      <c r="F2826" s="13">
        <v>38.369999999999997</v>
      </c>
      <c r="G2826">
        <v>0.1</v>
      </c>
      <c r="H2826" t="s">
        <v>19</v>
      </c>
      <c r="I2826" s="13">
        <v>-29</v>
      </c>
      <c r="J2826">
        <v>5.18</v>
      </c>
      <c r="K2826">
        <v>5.74</v>
      </c>
      <c r="L2826" t="s">
        <v>390</v>
      </c>
      <c r="M2826" t="s">
        <v>104</v>
      </c>
      <c r="N2826" s="5" t="s">
        <v>105</v>
      </c>
      <c r="O2826" t="s">
        <v>28</v>
      </c>
      <c r="P2826" t="s">
        <v>21</v>
      </c>
      <c r="Q2826" t="s">
        <v>26</v>
      </c>
      <c r="R2826">
        <v>0.36</v>
      </c>
      <c r="S2826" s="1">
        <v>39900</v>
      </c>
      <c r="T2826" t="str">
        <f t="shared" si="89"/>
        <v>28-Mar-2009</v>
      </c>
    </row>
    <row r="2827" spans="1:20" x14ac:dyDescent="0.3">
      <c r="A2827">
        <v>24580</v>
      </c>
      <c r="B2827" s="1">
        <v>41083</v>
      </c>
      <c r="C2827" t="s">
        <v>23</v>
      </c>
      <c r="D2827" t="str">
        <f t="shared" si="88"/>
        <v>23-Jun-2012</v>
      </c>
      <c r="E2827">
        <v>14</v>
      </c>
      <c r="F2827" s="13">
        <v>36.409999999999997</v>
      </c>
      <c r="G2827">
        <v>0.01</v>
      </c>
      <c r="H2827" t="s">
        <v>19</v>
      </c>
      <c r="I2827" s="13">
        <v>-31.45</v>
      </c>
      <c r="J2827">
        <v>2.23</v>
      </c>
      <c r="K2827">
        <v>4.57</v>
      </c>
      <c r="L2827" t="s">
        <v>129</v>
      </c>
      <c r="M2827" t="s">
        <v>104</v>
      </c>
      <c r="N2827" s="5" t="s">
        <v>105</v>
      </c>
      <c r="O2827" t="s">
        <v>28</v>
      </c>
      <c r="P2827" t="s">
        <v>32</v>
      </c>
      <c r="Q2827" t="s">
        <v>33</v>
      </c>
      <c r="R2827">
        <v>0.41</v>
      </c>
      <c r="S2827" s="1">
        <v>41085</v>
      </c>
      <c r="T2827" t="str">
        <f t="shared" si="89"/>
        <v>25-Jun-2012</v>
      </c>
    </row>
    <row r="2828" spans="1:20" x14ac:dyDescent="0.3">
      <c r="A2828">
        <v>45409</v>
      </c>
      <c r="B2828" s="1">
        <v>40280</v>
      </c>
      <c r="C2828" t="s">
        <v>43</v>
      </c>
      <c r="D2828" t="str">
        <f t="shared" si="88"/>
        <v>12-Apr-2010</v>
      </c>
      <c r="E2828">
        <v>10</v>
      </c>
      <c r="F2828" s="13">
        <v>36.26</v>
      </c>
      <c r="G2828">
        <v>0.08</v>
      </c>
      <c r="H2828" t="s">
        <v>19</v>
      </c>
      <c r="I2828" s="13">
        <v>-28.37</v>
      </c>
      <c r="J2828">
        <v>3.28</v>
      </c>
      <c r="K2828">
        <v>3.97</v>
      </c>
      <c r="L2828" t="s">
        <v>230</v>
      </c>
      <c r="M2828" t="s">
        <v>104</v>
      </c>
      <c r="N2828" s="5" t="s">
        <v>105</v>
      </c>
      <c r="O2828" t="s">
        <v>28</v>
      </c>
      <c r="P2828" t="s">
        <v>21</v>
      </c>
      <c r="Q2828" t="s">
        <v>50</v>
      </c>
      <c r="R2828">
        <v>0.56000000000000005</v>
      </c>
      <c r="S2828" s="1">
        <v>40281</v>
      </c>
      <c r="T2828" t="str">
        <f t="shared" si="89"/>
        <v>13-Apr-2010</v>
      </c>
    </row>
    <row r="2829" spans="1:20" x14ac:dyDescent="0.3">
      <c r="A2829">
        <v>21892</v>
      </c>
      <c r="B2829" s="1">
        <v>40363</v>
      </c>
      <c r="C2829" t="s">
        <v>23</v>
      </c>
      <c r="D2829" t="str">
        <f t="shared" si="88"/>
        <v>04-Jul-2010</v>
      </c>
      <c r="E2829">
        <v>6</v>
      </c>
      <c r="F2829" s="13">
        <v>34.880000000000003</v>
      </c>
      <c r="G2829">
        <v>0.06</v>
      </c>
      <c r="H2829" t="s">
        <v>19</v>
      </c>
      <c r="I2829" s="13">
        <v>-18.34</v>
      </c>
      <c r="J2829">
        <v>4.91</v>
      </c>
      <c r="K2829">
        <v>4.97</v>
      </c>
      <c r="L2829" t="s">
        <v>107</v>
      </c>
      <c r="M2829" t="s">
        <v>104</v>
      </c>
      <c r="N2829" s="5" t="s">
        <v>105</v>
      </c>
      <c r="O2829" t="s">
        <v>28</v>
      </c>
      <c r="P2829" t="s">
        <v>21</v>
      </c>
      <c r="Q2829" t="s">
        <v>26</v>
      </c>
      <c r="R2829">
        <v>0.38</v>
      </c>
      <c r="S2829" s="1">
        <v>40365</v>
      </c>
      <c r="T2829" t="str">
        <f t="shared" si="89"/>
        <v>06-Jul-2010</v>
      </c>
    </row>
    <row r="2830" spans="1:20" x14ac:dyDescent="0.3">
      <c r="A2830">
        <v>32611</v>
      </c>
      <c r="B2830" s="1">
        <v>40052</v>
      </c>
      <c r="C2830" t="s">
        <v>38</v>
      </c>
      <c r="D2830" t="str">
        <f t="shared" si="88"/>
        <v>27-Aug-2009</v>
      </c>
      <c r="E2830">
        <v>16</v>
      </c>
      <c r="F2830" s="13">
        <v>33.76</v>
      </c>
      <c r="G2830">
        <v>0.04</v>
      </c>
      <c r="H2830" t="s">
        <v>19</v>
      </c>
      <c r="I2830" s="13">
        <v>-7.15</v>
      </c>
      <c r="J2830">
        <v>2.08</v>
      </c>
      <c r="K2830">
        <v>1.49</v>
      </c>
      <c r="L2830" t="s">
        <v>131</v>
      </c>
      <c r="M2830" t="s">
        <v>104</v>
      </c>
      <c r="N2830" s="5" t="s">
        <v>105</v>
      </c>
      <c r="O2830" t="s">
        <v>28</v>
      </c>
      <c r="P2830" t="s">
        <v>21</v>
      </c>
      <c r="Q2830" t="s">
        <v>26</v>
      </c>
      <c r="R2830">
        <v>0.36</v>
      </c>
      <c r="S2830" s="1">
        <v>40054</v>
      </c>
      <c r="T2830" t="str">
        <f t="shared" si="89"/>
        <v>29-Aug-2009</v>
      </c>
    </row>
    <row r="2831" spans="1:20" x14ac:dyDescent="0.3">
      <c r="A2831">
        <v>58759</v>
      </c>
      <c r="B2831" s="1">
        <v>39834</v>
      </c>
      <c r="C2831" t="s">
        <v>18</v>
      </c>
      <c r="D2831" t="str">
        <f t="shared" si="88"/>
        <v>21-Jan-2009</v>
      </c>
      <c r="E2831">
        <v>4</v>
      </c>
      <c r="F2831" s="13">
        <v>33.44</v>
      </c>
      <c r="G2831">
        <v>0.1</v>
      </c>
      <c r="H2831" t="s">
        <v>19</v>
      </c>
      <c r="I2831" s="13">
        <v>-6.88</v>
      </c>
      <c r="J2831">
        <v>8.01</v>
      </c>
      <c r="K2831">
        <v>2.87</v>
      </c>
      <c r="L2831" t="s">
        <v>391</v>
      </c>
      <c r="M2831" t="s">
        <v>104</v>
      </c>
      <c r="N2831" s="5" t="s">
        <v>105</v>
      </c>
      <c r="O2831" t="s">
        <v>28</v>
      </c>
      <c r="P2831" t="s">
        <v>21</v>
      </c>
      <c r="Q2831" t="s">
        <v>37</v>
      </c>
      <c r="R2831">
        <v>0.4</v>
      </c>
      <c r="S2831" s="1">
        <v>39841</v>
      </c>
      <c r="T2831" t="str">
        <f t="shared" si="89"/>
        <v>28-Jan-2009</v>
      </c>
    </row>
    <row r="2832" spans="1:20" x14ac:dyDescent="0.3">
      <c r="A2832">
        <v>22657</v>
      </c>
      <c r="B2832" s="1">
        <v>40845</v>
      </c>
      <c r="C2832" t="s">
        <v>23</v>
      </c>
      <c r="D2832" t="str">
        <f t="shared" si="88"/>
        <v>29-Oct-2011</v>
      </c>
      <c r="E2832">
        <v>8</v>
      </c>
      <c r="F2832" s="13">
        <v>32.92</v>
      </c>
      <c r="G2832">
        <v>0.05</v>
      </c>
      <c r="H2832" t="s">
        <v>19</v>
      </c>
      <c r="I2832" s="13">
        <v>-7.73</v>
      </c>
      <c r="J2832">
        <v>3.95</v>
      </c>
      <c r="K2832">
        <v>2</v>
      </c>
      <c r="L2832" t="s">
        <v>124</v>
      </c>
      <c r="M2832" t="s">
        <v>104</v>
      </c>
      <c r="N2832" s="5" t="s">
        <v>105</v>
      </c>
      <c r="O2832" t="s">
        <v>28</v>
      </c>
      <c r="P2832" t="s">
        <v>21</v>
      </c>
      <c r="Q2832" t="s">
        <v>39</v>
      </c>
      <c r="R2832">
        <v>0.53</v>
      </c>
      <c r="S2832" s="1">
        <v>40846</v>
      </c>
      <c r="T2832" t="str">
        <f t="shared" si="89"/>
        <v>30-Oct-2011</v>
      </c>
    </row>
    <row r="2833" spans="1:20" x14ac:dyDescent="0.3">
      <c r="A2833">
        <v>51489</v>
      </c>
      <c r="B2833" s="1">
        <v>40971</v>
      </c>
      <c r="C2833" t="s">
        <v>43</v>
      </c>
      <c r="D2833" t="str">
        <f t="shared" si="88"/>
        <v>03-Mar-2012</v>
      </c>
      <c r="E2833">
        <v>5</v>
      </c>
      <c r="F2833" s="13">
        <v>32.69</v>
      </c>
      <c r="G2833">
        <v>0</v>
      </c>
      <c r="H2833" t="s">
        <v>19</v>
      </c>
      <c r="I2833" s="13">
        <v>-24.43</v>
      </c>
      <c r="J2833">
        <v>4.9800000000000004</v>
      </c>
      <c r="K2833">
        <v>7.54</v>
      </c>
      <c r="L2833" t="s">
        <v>243</v>
      </c>
      <c r="M2833" t="s">
        <v>104</v>
      </c>
      <c r="N2833" s="5" t="s">
        <v>105</v>
      </c>
      <c r="O2833" t="s">
        <v>28</v>
      </c>
      <c r="P2833" t="s">
        <v>21</v>
      </c>
      <c r="Q2833" t="s">
        <v>37</v>
      </c>
      <c r="R2833">
        <v>0.38</v>
      </c>
      <c r="S2833" s="1">
        <v>40973</v>
      </c>
      <c r="T2833" t="str">
        <f t="shared" si="89"/>
        <v>05-Mar-2012</v>
      </c>
    </row>
    <row r="2834" spans="1:20" x14ac:dyDescent="0.3">
      <c r="A2834">
        <v>26372</v>
      </c>
      <c r="B2834" s="1">
        <v>40006</v>
      </c>
      <c r="C2834" t="s">
        <v>18</v>
      </c>
      <c r="D2834" t="str">
        <f t="shared" si="88"/>
        <v>12-Jul-2009</v>
      </c>
      <c r="E2834">
        <v>1</v>
      </c>
      <c r="F2834" s="13">
        <v>31.96</v>
      </c>
      <c r="G2834">
        <v>0.01</v>
      </c>
      <c r="H2834" t="s">
        <v>19</v>
      </c>
      <c r="I2834" s="13">
        <v>-74.64</v>
      </c>
      <c r="J2834">
        <v>29.89</v>
      </c>
      <c r="K2834">
        <v>1.99</v>
      </c>
      <c r="L2834" t="s">
        <v>124</v>
      </c>
      <c r="M2834" t="s">
        <v>104</v>
      </c>
      <c r="N2834" s="5" t="s">
        <v>105</v>
      </c>
      <c r="O2834" t="s">
        <v>28</v>
      </c>
      <c r="P2834" t="s">
        <v>29</v>
      </c>
      <c r="Q2834" t="s">
        <v>41</v>
      </c>
      <c r="R2834">
        <v>0.5</v>
      </c>
      <c r="S2834" s="1">
        <v>40010</v>
      </c>
      <c r="T2834" t="str">
        <f t="shared" si="89"/>
        <v>16-Jul-2009</v>
      </c>
    </row>
    <row r="2835" spans="1:20" x14ac:dyDescent="0.3">
      <c r="A2835">
        <v>24132</v>
      </c>
      <c r="B2835" s="1">
        <v>40000</v>
      </c>
      <c r="C2835" t="s">
        <v>18</v>
      </c>
      <c r="D2835" t="str">
        <f t="shared" si="88"/>
        <v>06-Jul-2009</v>
      </c>
      <c r="E2835">
        <v>4</v>
      </c>
      <c r="F2835" s="13">
        <v>31.01</v>
      </c>
      <c r="G2835">
        <v>0.03</v>
      </c>
      <c r="H2835" t="s">
        <v>19</v>
      </c>
      <c r="I2835" s="13">
        <v>-4.49</v>
      </c>
      <c r="J2835">
        <v>6.75</v>
      </c>
      <c r="K2835">
        <v>2.99</v>
      </c>
      <c r="L2835" t="s">
        <v>107</v>
      </c>
      <c r="M2835" t="s">
        <v>104</v>
      </c>
      <c r="N2835" s="5" t="s">
        <v>105</v>
      </c>
      <c r="O2835" t="s">
        <v>28</v>
      </c>
      <c r="P2835" t="s">
        <v>21</v>
      </c>
      <c r="Q2835" t="s">
        <v>26</v>
      </c>
      <c r="R2835">
        <v>0.35</v>
      </c>
      <c r="S2835" s="1">
        <v>40005</v>
      </c>
      <c r="T2835" t="str">
        <f t="shared" si="89"/>
        <v>11-Jul-2009</v>
      </c>
    </row>
    <row r="2836" spans="1:20" x14ac:dyDescent="0.3">
      <c r="A2836">
        <v>28480</v>
      </c>
      <c r="B2836" s="1">
        <v>39887</v>
      </c>
      <c r="C2836" t="s">
        <v>38</v>
      </c>
      <c r="D2836" t="str">
        <f t="shared" si="88"/>
        <v>15-Mar-2009</v>
      </c>
      <c r="E2836">
        <v>17</v>
      </c>
      <c r="F2836" s="13">
        <v>30.62</v>
      </c>
      <c r="G2836">
        <v>0.01</v>
      </c>
      <c r="H2836" t="s">
        <v>19</v>
      </c>
      <c r="I2836" s="13">
        <v>-1.56</v>
      </c>
      <c r="J2836">
        <v>1.76</v>
      </c>
      <c r="K2836">
        <v>0.7</v>
      </c>
      <c r="L2836" t="s">
        <v>147</v>
      </c>
      <c r="M2836" t="s">
        <v>104</v>
      </c>
      <c r="N2836" s="5" t="s">
        <v>105</v>
      </c>
      <c r="O2836" t="s">
        <v>28</v>
      </c>
      <c r="P2836" t="s">
        <v>21</v>
      </c>
      <c r="Q2836" t="s">
        <v>50</v>
      </c>
      <c r="R2836">
        <v>0.56000000000000005</v>
      </c>
      <c r="S2836" s="1">
        <v>39888</v>
      </c>
      <c r="T2836" t="str">
        <f t="shared" si="89"/>
        <v>16-Mar-2009</v>
      </c>
    </row>
    <row r="2837" spans="1:20" x14ac:dyDescent="0.3">
      <c r="A2837">
        <v>46880</v>
      </c>
      <c r="B2837" s="1">
        <v>40362</v>
      </c>
      <c r="C2837" t="s">
        <v>43</v>
      </c>
      <c r="D2837" t="str">
        <f t="shared" si="88"/>
        <v>03-Jul-2010</v>
      </c>
      <c r="E2837">
        <v>1</v>
      </c>
      <c r="F2837" s="13">
        <v>29.99</v>
      </c>
      <c r="G2837">
        <v>7.0000000000000007E-2</v>
      </c>
      <c r="H2837" t="s">
        <v>19</v>
      </c>
      <c r="I2837" s="13">
        <v>-8.8800000000000008</v>
      </c>
      <c r="J2837">
        <v>21.98</v>
      </c>
      <c r="K2837">
        <v>8.32</v>
      </c>
      <c r="L2837" t="s">
        <v>238</v>
      </c>
      <c r="M2837" t="s">
        <v>104</v>
      </c>
      <c r="N2837" s="5" t="s">
        <v>105</v>
      </c>
      <c r="O2837" t="s">
        <v>28</v>
      </c>
      <c r="P2837" t="s">
        <v>21</v>
      </c>
      <c r="Q2837" t="s">
        <v>37</v>
      </c>
      <c r="R2837">
        <v>0.39</v>
      </c>
      <c r="S2837" s="1">
        <v>40364</v>
      </c>
      <c r="T2837" t="str">
        <f t="shared" si="89"/>
        <v>05-Jul-2010</v>
      </c>
    </row>
    <row r="2838" spans="1:20" x14ac:dyDescent="0.3">
      <c r="A2838">
        <v>6309</v>
      </c>
      <c r="B2838" s="1">
        <v>40338</v>
      </c>
      <c r="C2838" t="s">
        <v>38</v>
      </c>
      <c r="D2838" t="str">
        <f t="shared" si="88"/>
        <v>09-Jun-2010</v>
      </c>
      <c r="E2838">
        <v>10</v>
      </c>
      <c r="F2838" s="13">
        <v>29.79</v>
      </c>
      <c r="G2838">
        <v>0.01</v>
      </c>
      <c r="H2838" t="s">
        <v>19</v>
      </c>
      <c r="I2838" s="13">
        <v>3.76</v>
      </c>
      <c r="J2838">
        <v>2.88</v>
      </c>
      <c r="K2838">
        <v>0.99</v>
      </c>
      <c r="L2838" t="s">
        <v>392</v>
      </c>
      <c r="M2838" t="s">
        <v>104</v>
      </c>
      <c r="N2838" s="5" t="s">
        <v>105</v>
      </c>
      <c r="O2838" t="s">
        <v>28</v>
      </c>
      <c r="P2838" t="s">
        <v>21</v>
      </c>
      <c r="Q2838" t="s">
        <v>48</v>
      </c>
      <c r="R2838">
        <v>0.36</v>
      </c>
      <c r="S2838" s="1">
        <v>40339</v>
      </c>
      <c r="T2838" t="str">
        <f t="shared" si="89"/>
        <v>10-Jun-2010</v>
      </c>
    </row>
    <row r="2839" spans="1:20" x14ac:dyDescent="0.3">
      <c r="A2839">
        <v>56640</v>
      </c>
      <c r="B2839" s="1">
        <v>40780</v>
      </c>
      <c r="C2839" t="s">
        <v>23</v>
      </c>
      <c r="D2839" t="str">
        <f t="shared" si="88"/>
        <v>25-Aug-2011</v>
      </c>
      <c r="E2839">
        <v>2</v>
      </c>
      <c r="F2839" s="13">
        <v>29.31</v>
      </c>
      <c r="G2839">
        <v>0</v>
      </c>
      <c r="H2839" t="s">
        <v>19</v>
      </c>
      <c r="I2839" s="13">
        <v>-12.78</v>
      </c>
      <c r="J2839">
        <v>11.48</v>
      </c>
      <c r="K2839">
        <v>5.43</v>
      </c>
      <c r="L2839" t="s">
        <v>113</v>
      </c>
      <c r="M2839" t="s">
        <v>104</v>
      </c>
      <c r="N2839" s="5" t="s">
        <v>105</v>
      </c>
      <c r="O2839" t="s">
        <v>28</v>
      </c>
      <c r="P2839" t="s">
        <v>21</v>
      </c>
      <c r="Q2839" t="s">
        <v>37</v>
      </c>
      <c r="R2839">
        <v>0.36</v>
      </c>
      <c r="S2839" s="1">
        <v>40781</v>
      </c>
      <c r="T2839" t="str">
        <f t="shared" si="89"/>
        <v>26-Aug-2011</v>
      </c>
    </row>
    <row r="2840" spans="1:20" x14ac:dyDescent="0.3">
      <c r="A2840">
        <v>40259</v>
      </c>
      <c r="B2840" s="1">
        <v>40463</v>
      </c>
      <c r="C2840" t="s">
        <v>38</v>
      </c>
      <c r="D2840" t="str">
        <f t="shared" si="88"/>
        <v>12-Oct-2010</v>
      </c>
      <c r="E2840">
        <v>4</v>
      </c>
      <c r="F2840" s="13">
        <v>29.05</v>
      </c>
      <c r="G2840">
        <v>0.08</v>
      </c>
      <c r="H2840" t="s">
        <v>35</v>
      </c>
      <c r="I2840" s="13">
        <v>-20.9</v>
      </c>
      <c r="J2840">
        <v>4.9800000000000004</v>
      </c>
      <c r="K2840">
        <v>4.32</v>
      </c>
      <c r="L2840" t="s">
        <v>139</v>
      </c>
      <c r="M2840" t="s">
        <v>104</v>
      </c>
      <c r="N2840" s="5" t="s">
        <v>105</v>
      </c>
      <c r="O2840" t="s">
        <v>28</v>
      </c>
      <c r="P2840" t="s">
        <v>29</v>
      </c>
      <c r="Q2840" t="s">
        <v>41</v>
      </c>
      <c r="R2840">
        <v>0.64</v>
      </c>
      <c r="S2840" s="1">
        <v>40464</v>
      </c>
      <c r="T2840" t="str">
        <f t="shared" si="89"/>
        <v>13-Oct-2010</v>
      </c>
    </row>
    <row r="2841" spans="1:20" x14ac:dyDescent="0.3">
      <c r="A2841">
        <v>47367</v>
      </c>
      <c r="B2841" s="1">
        <v>40649</v>
      </c>
      <c r="C2841" t="s">
        <v>38</v>
      </c>
      <c r="D2841" t="str">
        <f t="shared" si="88"/>
        <v>16-Apr-2011</v>
      </c>
      <c r="E2841">
        <v>7</v>
      </c>
      <c r="F2841" s="13">
        <v>27.99</v>
      </c>
      <c r="G2841">
        <v>0.06</v>
      </c>
      <c r="H2841" t="s">
        <v>19</v>
      </c>
      <c r="I2841" s="13">
        <v>-0.17</v>
      </c>
      <c r="J2841">
        <v>3.8</v>
      </c>
      <c r="K2841">
        <v>1.49</v>
      </c>
      <c r="L2841" t="s">
        <v>108</v>
      </c>
      <c r="M2841" t="s">
        <v>104</v>
      </c>
      <c r="N2841" s="5" t="s">
        <v>105</v>
      </c>
      <c r="O2841" t="s">
        <v>28</v>
      </c>
      <c r="P2841" t="s">
        <v>21</v>
      </c>
      <c r="Q2841" t="s">
        <v>26</v>
      </c>
      <c r="R2841">
        <v>0.38</v>
      </c>
      <c r="S2841" s="1">
        <v>40649</v>
      </c>
      <c r="T2841" t="str">
        <f t="shared" si="89"/>
        <v>16-Apr-2011</v>
      </c>
    </row>
    <row r="2842" spans="1:20" x14ac:dyDescent="0.3">
      <c r="A2842">
        <v>2595</v>
      </c>
      <c r="B2842" s="1">
        <v>40890</v>
      </c>
      <c r="C2842" t="s">
        <v>31</v>
      </c>
      <c r="D2842" t="str">
        <f t="shared" si="88"/>
        <v>13-Dec-2011</v>
      </c>
      <c r="E2842">
        <v>4</v>
      </c>
      <c r="F2842" s="13">
        <v>25.17</v>
      </c>
      <c r="G2842">
        <v>0.09</v>
      </c>
      <c r="H2842" t="s">
        <v>19</v>
      </c>
      <c r="I2842" s="13">
        <v>5.88</v>
      </c>
      <c r="J2842">
        <v>5.47</v>
      </c>
      <c r="K2842">
        <v>5.26</v>
      </c>
      <c r="L2842" t="s">
        <v>392</v>
      </c>
      <c r="M2842" t="s">
        <v>104</v>
      </c>
      <c r="N2842" s="5" t="s">
        <v>105</v>
      </c>
      <c r="O2842" t="s">
        <v>28</v>
      </c>
      <c r="P2842" t="s">
        <v>32</v>
      </c>
      <c r="Q2842" t="s">
        <v>33</v>
      </c>
      <c r="R2842">
        <v>0.42</v>
      </c>
      <c r="S2842" s="1">
        <v>40892</v>
      </c>
      <c r="T2842" t="str">
        <f t="shared" si="89"/>
        <v>15-Dec-2011</v>
      </c>
    </row>
    <row r="2843" spans="1:20" x14ac:dyDescent="0.3">
      <c r="A2843">
        <v>2530</v>
      </c>
      <c r="B2843" s="1">
        <v>39892</v>
      </c>
      <c r="C2843" t="s">
        <v>38</v>
      </c>
      <c r="D2843" t="str">
        <f t="shared" si="88"/>
        <v>20-Mar-2009</v>
      </c>
      <c r="E2843">
        <v>9</v>
      </c>
      <c r="F2843" s="13">
        <v>23.46</v>
      </c>
      <c r="G2843">
        <v>0.06</v>
      </c>
      <c r="H2843" t="s">
        <v>19</v>
      </c>
      <c r="I2843" s="13">
        <v>4.58</v>
      </c>
      <c r="J2843">
        <v>2.61</v>
      </c>
      <c r="K2843">
        <v>0.5</v>
      </c>
      <c r="L2843" t="s">
        <v>108</v>
      </c>
      <c r="M2843" t="s">
        <v>104</v>
      </c>
      <c r="N2843" s="5" t="s">
        <v>105</v>
      </c>
      <c r="O2843" t="s">
        <v>28</v>
      </c>
      <c r="P2843" t="s">
        <v>21</v>
      </c>
      <c r="Q2843" t="s">
        <v>48</v>
      </c>
      <c r="R2843">
        <v>0.39</v>
      </c>
      <c r="S2843" s="1">
        <v>39894</v>
      </c>
      <c r="T2843" t="str">
        <f t="shared" si="89"/>
        <v>22-Mar-2009</v>
      </c>
    </row>
    <row r="2844" spans="1:20" x14ac:dyDescent="0.3">
      <c r="A2844">
        <v>48388</v>
      </c>
      <c r="B2844" s="1">
        <v>40034</v>
      </c>
      <c r="C2844" t="s">
        <v>23</v>
      </c>
      <c r="D2844" t="str">
        <f t="shared" si="88"/>
        <v>09-Aug-2009</v>
      </c>
      <c r="E2844">
        <v>3</v>
      </c>
      <c r="F2844" s="13">
        <v>21.64</v>
      </c>
      <c r="G2844">
        <v>0.08</v>
      </c>
      <c r="H2844" t="s">
        <v>19</v>
      </c>
      <c r="I2844" s="13">
        <v>-13.33</v>
      </c>
      <c r="J2844">
        <v>5.74</v>
      </c>
      <c r="K2844">
        <v>5.01</v>
      </c>
      <c r="L2844" t="s">
        <v>110</v>
      </c>
      <c r="M2844" t="s">
        <v>104</v>
      </c>
      <c r="N2844" s="5" t="s">
        <v>105</v>
      </c>
      <c r="O2844" t="s">
        <v>28</v>
      </c>
      <c r="P2844" t="s">
        <v>21</v>
      </c>
      <c r="Q2844" t="s">
        <v>26</v>
      </c>
      <c r="R2844">
        <v>0.39</v>
      </c>
      <c r="S2844" s="1">
        <v>40036</v>
      </c>
      <c r="T2844" t="str">
        <f t="shared" si="89"/>
        <v>11-Aug-2009</v>
      </c>
    </row>
    <row r="2845" spans="1:20" x14ac:dyDescent="0.3">
      <c r="A2845">
        <v>47367</v>
      </c>
      <c r="B2845" s="1">
        <v>40649</v>
      </c>
      <c r="C2845" t="s">
        <v>38</v>
      </c>
      <c r="D2845" t="str">
        <f t="shared" si="88"/>
        <v>16-Apr-2011</v>
      </c>
      <c r="E2845">
        <v>6</v>
      </c>
      <c r="F2845" s="13">
        <v>21.07</v>
      </c>
      <c r="G2845">
        <v>0.08</v>
      </c>
      <c r="H2845" t="s">
        <v>19</v>
      </c>
      <c r="I2845" s="13">
        <v>2.2799999999999998</v>
      </c>
      <c r="J2845">
        <v>3.69</v>
      </c>
      <c r="K2845">
        <v>0.5</v>
      </c>
      <c r="L2845" t="s">
        <v>108</v>
      </c>
      <c r="M2845" t="s">
        <v>104</v>
      </c>
      <c r="N2845" s="5" t="s">
        <v>105</v>
      </c>
      <c r="O2845" t="s">
        <v>28</v>
      </c>
      <c r="P2845" t="s">
        <v>21</v>
      </c>
      <c r="Q2845" t="s">
        <v>48</v>
      </c>
      <c r="R2845">
        <v>0.38</v>
      </c>
      <c r="S2845" s="1">
        <v>40650</v>
      </c>
      <c r="T2845" t="str">
        <f t="shared" si="89"/>
        <v>17-Apr-2011</v>
      </c>
    </row>
    <row r="2846" spans="1:20" x14ac:dyDescent="0.3">
      <c r="A2846">
        <v>36803</v>
      </c>
      <c r="B2846" s="1">
        <v>41125</v>
      </c>
      <c r="C2846" t="s">
        <v>31</v>
      </c>
      <c r="D2846" t="str">
        <f t="shared" si="88"/>
        <v>04-Aug-2012</v>
      </c>
      <c r="E2846">
        <v>2</v>
      </c>
      <c r="F2846" s="13">
        <v>19.02</v>
      </c>
      <c r="G2846">
        <v>0.05</v>
      </c>
      <c r="H2846" t="s">
        <v>35</v>
      </c>
      <c r="I2846" s="13">
        <v>10.73</v>
      </c>
      <c r="J2846">
        <v>2.08</v>
      </c>
      <c r="K2846">
        <v>5.33</v>
      </c>
      <c r="L2846" t="s">
        <v>124</v>
      </c>
      <c r="M2846" t="s">
        <v>104</v>
      </c>
      <c r="N2846" s="5" t="s">
        <v>105</v>
      </c>
      <c r="O2846" t="s">
        <v>28</v>
      </c>
      <c r="P2846" t="s">
        <v>32</v>
      </c>
      <c r="Q2846" t="s">
        <v>33</v>
      </c>
      <c r="R2846">
        <v>0.43</v>
      </c>
      <c r="S2846" s="1">
        <v>41127</v>
      </c>
      <c r="T2846" t="str">
        <f t="shared" si="89"/>
        <v>06-Aug-2012</v>
      </c>
    </row>
    <row r="2847" spans="1:20" x14ac:dyDescent="0.3">
      <c r="A2847">
        <v>12199</v>
      </c>
      <c r="B2847" s="1">
        <v>40891</v>
      </c>
      <c r="C2847" t="s">
        <v>18</v>
      </c>
      <c r="D2847" t="str">
        <f t="shared" si="88"/>
        <v>14-Dec-2011</v>
      </c>
      <c r="E2847">
        <v>2</v>
      </c>
      <c r="F2847" s="13">
        <v>19</v>
      </c>
      <c r="G2847">
        <v>0.01</v>
      </c>
      <c r="H2847" t="s">
        <v>19</v>
      </c>
      <c r="I2847" s="13">
        <v>-10.73</v>
      </c>
      <c r="J2847">
        <v>6.54</v>
      </c>
      <c r="K2847">
        <v>5.27</v>
      </c>
      <c r="L2847" t="s">
        <v>107</v>
      </c>
      <c r="M2847" t="s">
        <v>104</v>
      </c>
      <c r="N2847" s="5" t="s">
        <v>105</v>
      </c>
      <c r="O2847" t="s">
        <v>28</v>
      </c>
      <c r="P2847" t="s">
        <v>21</v>
      </c>
      <c r="Q2847" t="s">
        <v>26</v>
      </c>
      <c r="R2847">
        <v>0.36</v>
      </c>
      <c r="S2847" s="1">
        <v>40896</v>
      </c>
      <c r="T2847" t="str">
        <f t="shared" si="89"/>
        <v>19-Dec-2011</v>
      </c>
    </row>
    <row r="2848" spans="1:20" x14ac:dyDescent="0.3">
      <c r="A2848">
        <v>30149</v>
      </c>
      <c r="B2848" s="1">
        <v>40524</v>
      </c>
      <c r="C2848" t="s">
        <v>38</v>
      </c>
      <c r="D2848" t="str">
        <f t="shared" si="88"/>
        <v>12-Dec-2010</v>
      </c>
      <c r="E2848">
        <v>8</v>
      </c>
      <c r="F2848" s="13">
        <v>16.47</v>
      </c>
      <c r="G2848">
        <v>0.1</v>
      </c>
      <c r="H2848" t="s">
        <v>19</v>
      </c>
      <c r="I2848" s="13">
        <v>-6.82</v>
      </c>
      <c r="J2848">
        <v>2.08</v>
      </c>
      <c r="K2848">
        <v>1.49</v>
      </c>
      <c r="L2848" t="s">
        <v>129</v>
      </c>
      <c r="M2848" t="s">
        <v>104</v>
      </c>
      <c r="N2848" s="5" t="s">
        <v>105</v>
      </c>
      <c r="O2848" t="s">
        <v>28</v>
      </c>
      <c r="P2848" t="s">
        <v>21</v>
      </c>
      <c r="Q2848" t="s">
        <v>26</v>
      </c>
      <c r="R2848">
        <v>0.38</v>
      </c>
      <c r="S2848" s="1">
        <v>40525</v>
      </c>
      <c r="T2848" t="str">
        <f t="shared" si="89"/>
        <v>13-Dec-2010</v>
      </c>
    </row>
    <row r="2849" spans="1:20" x14ac:dyDescent="0.3">
      <c r="A2849">
        <v>1221</v>
      </c>
      <c r="B2849" s="1">
        <v>41017</v>
      </c>
      <c r="C2849" t="s">
        <v>31</v>
      </c>
      <c r="D2849" t="str">
        <f t="shared" si="88"/>
        <v>18-Apr-2012</v>
      </c>
      <c r="E2849">
        <v>1</v>
      </c>
      <c r="F2849" s="13">
        <v>14.68</v>
      </c>
      <c r="G2849">
        <v>0.06</v>
      </c>
      <c r="H2849" t="s">
        <v>19</v>
      </c>
      <c r="I2849" s="13">
        <v>-13.78</v>
      </c>
      <c r="J2849">
        <v>8.6</v>
      </c>
      <c r="K2849">
        <v>6.19</v>
      </c>
      <c r="L2849" t="s">
        <v>121</v>
      </c>
      <c r="M2849" t="s">
        <v>104</v>
      </c>
      <c r="N2849" s="5" t="s">
        <v>105</v>
      </c>
      <c r="O2849" t="s">
        <v>28</v>
      </c>
      <c r="P2849" t="s">
        <v>21</v>
      </c>
      <c r="Q2849" t="s">
        <v>26</v>
      </c>
      <c r="R2849">
        <v>0.38</v>
      </c>
      <c r="S2849" s="1">
        <v>41017</v>
      </c>
      <c r="T2849" t="str">
        <f t="shared" si="89"/>
        <v>18-Apr-2012</v>
      </c>
    </row>
    <row r="2850" spans="1:20" x14ac:dyDescent="0.3">
      <c r="A2850">
        <v>16230</v>
      </c>
      <c r="B2850" s="1">
        <v>40236</v>
      </c>
      <c r="C2850" t="s">
        <v>18</v>
      </c>
      <c r="D2850" t="str">
        <f t="shared" si="88"/>
        <v>27-Feb-2010</v>
      </c>
      <c r="E2850">
        <v>2</v>
      </c>
      <c r="F2850" s="13">
        <v>13.3</v>
      </c>
      <c r="G2850">
        <v>0.09</v>
      </c>
      <c r="H2850" t="s">
        <v>19</v>
      </c>
      <c r="I2850" s="13">
        <v>-7.86</v>
      </c>
      <c r="J2850">
        <v>7.31</v>
      </c>
      <c r="K2850">
        <v>0.49</v>
      </c>
      <c r="L2850" t="s">
        <v>112</v>
      </c>
      <c r="M2850" t="s">
        <v>104</v>
      </c>
      <c r="N2850" s="5" t="s">
        <v>105</v>
      </c>
      <c r="O2850" t="s">
        <v>28</v>
      </c>
      <c r="P2850" t="s">
        <v>21</v>
      </c>
      <c r="Q2850" t="s">
        <v>48</v>
      </c>
      <c r="R2850">
        <v>0.38</v>
      </c>
      <c r="S2850" s="1">
        <v>40238</v>
      </c>
      <c r="T2850" t="str">
        <f t="shared" si="89"/>
        <v>01-Mar-2010</v>
      </c>
    </row>
    <row r="2851" spans="1:20" x14ac:dyDescent="0.3">
      <c r="A2851">
        <v>23011</v>
      </c>
      <c r="B2851" s="1">
        <v>40344</v>
      </c>
      <c r="C2851" t="s">
        <v>18</v>
      </c>
      <c r="D2851" t="str">
        <f t="shared" si="88"/>
        <v>15-Jun-2010</v>
      </c>
      <c r="E2851">
        <v>1</v>
      </c>
      <c r="F2851" s="13">
        <v>12.2</v>
      </c>
      <c r="G2851">
        <v>0.01</v>
      </c>
      <c r="H2851" t="s">
        <v>19</v>
      </c>
      <c r="I2851" s="13">
        <v>-33.93</v>
      </c>
      <c r="J2851">
        <v>10.01</v>
      </c>
      <c r="K2851">
        <v>1.99</v>
      </c>
      <c r="L2851" t="s">
        <v>115</v>
      </c>
      <c r="M2851" t="s">
        <v>104</v>
      </c>
      <c r="N2851" s="5" t="s">
        <v>105</v>
      </c>
      <c r="O2851" t="s">
        <v>28</v>
      </c>
      <c r="P2851" t="s">
        <v>29</v>
      </c>
      <c r="Q2851" t="s">
        <v>41</v>
      </c>
      <c r="R2851">
        <v>0.41</v>
      </c>
      <c r="S2851" s="1">
        <v>40351</v>
      </c>
      <c r="T2851" t="str">
        <f t="shared" si="89"/>
        <v>22-Jun-2010</v>
      </c>
    </row>
    <row r="2852" spans="1:20" x14ac:dyDescent="0.3">
      <c r="A2852">
        <v>18471</v>
      </c>
      <c r="B2852" s="1">
        <v>39863</v>
      </c>
      <c r="C2852" t="s">
        <v>31</v>
      </c>
      <c r="D2852" t="str">
        <f t="shared" si="88"/>
        <v>19-Feb-2009</v>
      </c>
      <c r="E2852">
        <v>4</v>
      </c>
      <c r="F2852" s="13">
        <v>10.96</v>
      </c>
      <c r="G2852">
        <v>0.02</v>
      </c>
      <c r="H2852" t="s">
        <v>19</v>
      </c>
      <c r="I2852" s="13">
        <v>-8.02</v>
      </c>
      <c r="J2852">
        <v>2.08</v>
      </c>
      <c r="K2852">
        <v>2.56</v>
      </c>
      <c r="L2852" t="s">
        <v>107</v>
      </c>
      <c r="M2852" t="s">
        <v>104</v>
      </c>
      <c r="N2852" s="5" t="s">
        <v>105</v>
      </c>
      <c r="O2852" t="s">
        <v>28</v>
      </c>
      <c r="P2852" t="s">
        <v>21</v>
      </c>
      <c r="Q2852" t="s">
        <v>67</v>
      </c>
      <c r="R2852">
        <v>0.55000000000000004</v>
      </c>
      <c r="S2852" s="1">
        <v>39864</v>
      </c>
      <c r="T2852" t="str">
        <f t="shared" si="89"/>
        <v>20-Feb-2009</v>
      </c>
    </row>
    <row r="2853" spans="1:20" x14ac:dyDescent="0.3">
      <c r="A2853">
        <v>39586</v>
      </c>
      <c r="B2853" s="1">
        <v>40682</v>
      </c>
      <c r="C2853" t="s">
        <v>31</v>
      </c>
      <c r="D2853" t="str">
        <f t="shared" si="88"/>
        <v>19-May-2011</v>
      </c>
      <c r="E2853">
        <v>1</v>
      </c>
      <c r="F2853" s="13">
        <v>10.48</v>
      </c>
      <c r="G2853">
        <v>0.04</v>
      </c>
      <c r="H2853" t="s">
        <v>19</v>
      </c>
      <c r="I2853" s="13">
        <v>-5.44</v>
      </c>
      <c r="J2853">
        <v>3.52</v>
      </c>
      <c r="K2853">
        <v>6.83</v>
      </c>
      <c r="L2853" t="s">
        <v>393</v>
      </c>
      <c r="M2853" t="s">
        <v>104</v>
      </c>
      <c r="N2853" s="5" t="s">
        <v>105</v>
      </c>
      <c r="O2853" t="s">
        <v>28</v>
      </c>
      <c r="P2853" t="s">
        <v>21</v>
      </c>
      <c r="Q2853" t="s">
        <v>26</v>
      </c>
      <c r="R2853">
        <v>0.38</v>
      </c>
      <c r="S2853" s="1">
        <v>40684</v>
      </c>
      <c r="T2853" t="str">
        <f t="shared" si="89"/>
        <v>21-May-2011</v>
      </c>
    </row>
    <row r="2854" spans="1:20" x14ac:dyDescent="0.3">
      <c r="A2854">
        <v>44098</v>
      </c>
      <c r="B2854" s="1">
        <v>40205</v>
      </c>
      <c r="C2854" t="s">
        <v>18</v>
      </c>
      <c r="D2854" t="str">
        <f t="shared" si="88"/>
        <v>27-Jan-2010</v>
      </c>
      <c r="E2854">
        <v>1</v>
      </c>
      <c r="F2854" s="13">
        <v>5.0599999999999996</v>
      </c>
      <c r="G2854">
        <v>0.01</v>
      </c>
      <c r="H2854" t="s">
        <v>19</v>
      </c>
      <c r="I2854" s="13">
        <v>-2.64</v>
      </c>
      <c r="J2854">
        <v>3.14</v>
      </c>
      <c r="K2854">
        <v>1.92</v>
      </c>
      <c r="L2854" t="s">
        <v>134</v>
      </c>
      <c r="M2854" t="s">
        <v>104</v>
      </c>
      <c r="N2854" s="5" t="s">
        <v>105</v>
      </c>
      <c r="O2854" t="s">
        <v>28</v>
      </c>
      <c r="P2854" t="s">
        <v>21</v>
      </c>
      <c r="Q2854" t="s">
        <v>67</v>
      </c>
      <c r="R2854">
        <v>0.84</v>
      </c>
      <c r="S2854" s="1">
        <v>40209</v>
      </c>
      <c r="T2854" t="str">
        <f t="shared" si="89"/>
        <v>31-Jan-2010</v>
      </c>
    </row>
    <row r="2855" spans="1:20" x14ac:dyDescent="0.3">
      <c r="A2855">
        <v>52196</v>
      </c>
      <c r="B2855" s="1">
        <v>40208</v>
      </c>
      <c r="C2855" t="s">
        <v>31</v>
      </c>
      <c r="D2855" t="str">
        <f t="shared" si="88"/>
        <v>30-Jan-2010</v>
      </c>
      <c r="E2855">
        <v>1</v>
      </c>
      <c r="F2855" s="13">
        <v>3.85</v>
      </c>
      <c r="G2855">
        <v>0.08</v>
      </c>
      <c r="H2855" t="s">
        <v>19</v>
      </c>
      <c r="I2855" s="13">
        <v>-1.36</v>
      </c>
      <c r="J2855">
        <v>3.08</v>
      </c>
      <c r="K2855">
        <v>0.99</v>
      </c>
      <c r="L2855" t="s">
        <v>378</v>
      </c>
      <c r="M2855" t="s">
        <v>104</v>
      </c>
      <c r="N2855" s="5" t="s">
        <v>105</v>
      </c>
      <c r="O2855" t="s">
        <v>28</v>
      </c>
      <c r="P2855" t="s">
        <v>21</v>
      </c>
      <c r="Q2855" t="s">
        <v>48</v>
      </c>
      <c r="R2855">
        <v>0.37</v>
      </c>
      <c r="S2855" s="1">
        <v>40209</v>
      </c>
      <c r="T2855" t="str">
        <f t="shared" si="89"/>
        <v>31-Jan-2010</v>
      </c>
    </row>
    <row r="2856" spans="1:20" x14ac:dyDescent="0.3">
      <c r="A2856">
        <v>49925</v>
      </c>
      <c r="B2856" s="1">
        <v>40200</v>
      </c>
      <c r="C2856" t="s">
        <v>23</v>
      </c>
      <c r="D2856" t="str">
        <f t="shared" si="88"/>
        <v>22-Jan-2010</v>
      </c>
      <c r="E2856">
        <v>1</v>
      </c>
      <c r="F2856" s="13">
        <v>3.41</v>
      </c>
      <c r="G2856">
        <v>0.06</v>
      </c>
      <c r="H2856" t="s">
        <v>19</v>
      </c>
      <c r="I2856" s="13">
        <v>-1.78</v>
      </c>
      <c r="J2856">
        <v>2.88</v>
      </c>
      <c r="K2856">
        <v>0.7</v>
      </c>
      <c r="L2856" t="s">
        <v>378</v>
      </c>
      <c r="M2856" t="s">
        <v>104</v>
      </c>
      <c r="N2856" s="5" t="s">
        <v>105</v>
      </c>
      <c r="O2856" t="s">
        <v>28</v>
      </c>
      <c r="P2856" t="s">
        <v>21</v>
      </c>
      <c r="Q2856" t="s">
        <v>50</v>
      </c>
      <c r="R2856">
        <v>0.56000000000000005</v>
      </c>
      <c r="S2856" s="1">
        <v>40201</v>
      </c>
      <c r="T2856" t="str">
        <f t="shared" si="89"/>
        <v>23-Jan-2010</v>
      </c>
    </row>
    <row r="2857" spans="1:20" ht="15" thickBot="1" x14ac:dyDescent="0.35">
      <c r="A2857">
        <v>6374</v>
      </c>
      <c r="B2857" s="1">
        <v>40762</v>
      </c>
      <c r="C2857" t="s">
        <v>43</v>
      </c>
      <c r="D2857" t="str">
        <f t="shared" si="88"/>
        <v>07-Aug-2011</v>
      </c>
      <c r="E2857">
        <v>1</v>
      </c>
      <c r="F2857" s="13">
        <v>2.2400000000000002</v>
      </c>
      <c r="G2857">
        <v>0.01</v>
      </c>
      <c r="H2857" t="s">
        <v>19</v>
      </c>
      <c r="I2857" s="13">
        <v>-1.97</v>
      </c>
      <c r="J2857">
        <v>1.48</v>
      </c>
      <c r="K2857">
        <v>0.7</v>
      </c>
      <c r="L2857" t="s">
        <v>127</v>
      </c>
      <c r="M2857" t="s">
        <v>104</v>
      </c>
      <c r="N2857" s="6" t="s">
        <v>105</v>
      </c>
      <c r="O2857" t="s">
        <v>28</v>
      </c>
      <c r="P2857" t="s">
        <v>21</v>
      </c>
      <c r="Q2857" t="s">
        <v>39</v>
      </c>
      <c r="R2857">
        <v>0.37</v>
      </c>
      <c r="S2857" s="1">
        <v>40764</v>
      </c>
      <c r="T2857" t="str">
        <f t="shared" si="89"/>
        <v>09-Aug-2011</v>
      </c>
    </row>
    <row r="2858" spans="1:20" ht="15" thickTop="1" x14ac:dyDescent="0.3">
      <c r="A2858">
        <v>16481</v>
      </c>
      <c r="B2858" s="1">
        <v>40592</v>
      </c>
      <c r="C2858" t="s">
        <v>18</v>
      </c>
      <c r="D2858" t="str">
        <f t="shared" si="88"/>
        <v>18-Feb-2011</v>
      </c>
      <c r="E2858">
        <v>47</v>
      </c>
      <c r="F2858" s="13">
        <v>20265.22</v>
      </c>
      <c r="G2858">
        <v>0.08</v>
      </c>
      <c r="H2858" t="s">
        <v>24</v>
      </c>
      <c r="I2858" s="13">
        <v>6168.64</v>
      </c>
      <c r="J2858">
        <v>442.14</v>
      </c>
      <c r="K2858">
        <v>14.7</v>
      </c>
      <c r="L2858" t="s">
        <v>388</v>
      </c>
      <c r="M2858" t="s">
        <v>373</v>
      </c>
      <c r="N2858" s="5" t="s">
        <v>373</v>
      </c>
      <c r="O2858" t="s">
        <v>28</v>
      </c>
      <c r="P2858" t="s">
        <v>29</v>
      </c>
      <c r="Q2858" t="s">
        <v>74</v>
      </c>
      <c r="R2858">
        <v>0.56000000000000005</v>
      </c>
      <c r="S2858" s="1">
        <v>40597</v>
      </c>
      <c r="T2858" t="str">
        <f t="shared" si="89"/>
        <v>23-Feb-2011</v>
      </c>
    </row>
    <row r="2859" spans="1:20" x14ac:dyDescent="0.3">
      <c r="A2859">
        <v>4870</v>
      </c>
      <c r="B2859" s="1">
        <v>40030</v>
      </c>
      <c r="C2859" t="s">
        <v>38</v>
      </c>
      <c r="D2859" t="str">
        <f t="shared" si="88"/>
        <v>05-Aug-2009</v>
      </c>
      <c r="E2859">
        <v>44</v>
      </c>
      <c r="F2859" s="13">
        <v>17248.09</v>
      </c>
      <c r="G2859">
        <v>0.08</v>
      </c>
      <c r="H2859" t="s">
        <v>24</v>
      </c>
      <c r="I2859" s="13">
        <v>2048.63</v>
      </c>
      <c r="J2859">
        <v>400.98</v>
      </c>
      <c r="K2859">
        <v>42.52</v>
      </c>
      <c r="L2859" t="s">
        <v>256</v>
      </c>
      <c r="M2859" t="s">
        <v>373</v>
      </c>
      <c r="N2859" s="5" t="s">
        <v>373</v>
      </c>
      <c r="O2859" t="s">
        <v>28</v>
      </c>
      <c r="P2859" t="s">
        <v>32</v>
      </c>
      <c r="Q2859" t="s">
        <v>46</v>
      </c>
      <c r="R2859">
        <v>0.71</v>
      </c>
      <c r="S2859" s="1">
        <v>40031</v>
      </c>
      <c r="T2859" t="str">
        <f t="shared" si="89"/>
        <v>06-Aug-2009</v>
      </c>
    </row>
    <row r="2860" spans="1:20" x14ac:dyDescent="0.3">
      <c r="A2860">
        <v>23751</v>
      </c>
      <c r="B2860" s="1">
        <v>39890</v>
      </c>
      <c r="C2860" t="s">
        <v>38</v>
      </c>
      <c r="D2860" t="str">
        <f t="shared" si="88"/>
        <v>18-Mar-2009</v>
      </c>
      <c r="E2860">
        <v>44</v>
      </c>
      <c r="F2860" s="13">
        <v>10364.36</v>
      </c>
      <c r="G2860">
        <v>0.01</v>
      </c>
      <c r="H2860" t="s">
        <v>24</v>
      </c>
      <c r="I2860" s="13">
        <v>1049.03</v>
      </c>
      <c r="J2860">
        <v>220.98</v>
      </c>
      <c r="K2860">
        <v>64.66</v>
      </c>
      <c r="L2860" t="s">
        <v>377</v>
      </c>
      <c r="M2860" t="s">
        <v>373</v>
      </c>
      <c r="N2860" s="5" t="s">
        <v>373</v>
      </c>
      <c r="O2860" t="s">
        <v>28</v>
      </c>
      <c r="P2860" t="s">
        <v>32</v>
      </c>
      <c r="Q2860" t="s">
        <v>45</v>
      </c>
      <c r="R2860">
        <v>0.62</v>
      </c>
      <c r="S2860" s="1">
        <v>39891</v>
      </c>
      <c r="T2860" t="str">
        <f t="shared" si="89"/>
        <v>19-Mar-2009</v>
      </c>
    </row>
    <row r="2861" spans="1:20" x14ac:dyDescent="0.3">
      <c r="A2861">
        <v>10563</v>
      </c>
      <c r="B2861" s="1">
        <v>40450</v>
      </c>
      <c r="C2861" t="s">
        <v>43</v>
      </c>
      <c r="D2861" t="str">
        <f t="shared" si="88"/>
        <v>29-Sep-2010</v>
      </c>
      <c r="E2861">
        <v>38</v>
      </c>
      <c r="F2861" s="13">
        <v>10223.19</v>
      </c>
      <c r="G2861">
        <v>0.08</v>
      </c>
      <c r="H2861" t="s">
        <v>19</v>
      </c>
      <c r="I2861" s="13">
        <v>2723.31</v>
      </c>
      <c r="J2861">
        <v>289.52999999999997</v>
      </c>
      <c r="K2861">
        <v>19.989999999999998</v>
      </c>
      <c r="L2861" t="s">
        <v>252</v>
      </c>
      <c r="M2861" t="s">
        <v>373</v>
      </c>
      <c r="N2861" s="5" t="s">
        <v>373</v>
      </c>
      <c r="O2861" t="s">
        <v>28</v>
      </c>
      <c r="P2861" t="s">
        <v>21</v>
      </c>
      <c r="Q2861" t="s">
        <v>25</v>
      </c>
      <c r="R2861">
        <v>0.56000000000000005</v>
      </c>
      <c r="S2861" s="1">
        <v>40451</v>
      </c>
      <c r="T2861" t="str">
        <f t="shared" si="89"/>
        <v>30-Sep-2010</v>
      </c>
    </row>
    <row r="2862" spans="1:20" x14ac:dyDescent="0.3">
      <c r="A2862">
        <v>22912</v>
      </c>
      <c r="B2862" s="1">
        <v>40467</v>
      </c>
      <c r="C2862" t="s">
        <v>18</v>
      </c>
      <c r="D2862" t="str">
        <f t="shared" si="88"/>
        <v>16-Oct-2010</v>
      </c>
      <c r="E2862">
        <v>33</v>
      </c>
      <c r="F2862" s="13">
        <v>10168.23</v>
      </c>
      <c r="G2862">
        <v>0.03</v>
      </c>
      <c r="H2862" t="s">
        <v>35</v>
      </c>
      <c r="I2862" s="13">
        <v>4141.8</v>
      </c>
      <c r="J2862">
        <v>304.99</v>
      </c>
      <c r="K2862">
        <v>19.989999999999998</v>
      </c>
      <c r="L2862" t="s">
        <v>386</v>
      </c>
      <c r="M2862" t="s">
        <v>373</v>
      </c>
      <c r="N2862" s="5" t="s">
        <v>373</v>
      </c>
      <c r="O2862" t="s">
        <v>28</v>
      </c>
      <c r="P2862" t="s">
        <v>21</v>
      </c>
      <c r="Q2862" t="s">
        <v>26</v>
      </c>
      <c r="R2862">
        <v>0.4</v>
      </c>
      <c r="S2862" s="1">
        <v>40471</v>
      </c>
      <c r="T2862" t="str">
        <f t="shared" si="89"/>
        <v>20-Oct-2010</v>
      </c>
    </row>
    <row r="2863" spans="1:20" x14ac:dyDescent="0.3">
      <c r="A2863">
        <v>15654</v>
      </c>
      <c r="B2863" s="1">
        <v>40088</v>
      </c>
      <c r="C2863" t="s">
        <v>31</v>
      </c>
      <c r="D2863" t="str">
        <f t="shared" si="88"/>
        <v>02-Oct-2009</v>
      </c>
      <c r="E2863">
        <v>4</v>
      </c>
      <c r="F2863" s="13">
        <v>9396.41</v>
      </c>
      <c r="G2863">
        <v>0.02</v>
      </c>
      <c r="H2863" t="s">
        <v>24</v>
      </c>
      <c r="I2863" s="13">
        <v>-4991.42</v>
      </c>
      <c r="J2863">
        <v>2550.14</v>
      </c>
      <c r="K2863">
        <v>29.7</v>
      </c>
      <c r="L2863" t="s">
        <v>387</v>
      </c>
      <c r="M2863" t="s">
        <v>373</v>
      </c>
      <c r="N2863" s="5" t="s">
        <v>373</v>
      </c>
      <c r="O2863" t="s">
        <v>28</v>
      </c>
      <c r="P2863" t="s">
        <v>29</v>
      </c>
      <c r="Q2863" t="s">
        <v>74</v>
      </c>
      <c r="R2863">
        <v>0.56999999999999995</v>
      </c>
      <c r="S2863" s="1">
        <v>40090</v>
      </c>
      <c r="T2863" t="str">
        <f t="shared" si="89"/>
        <v>04-Oct-2009</v>
      </c>
    </row>
    <row r="2864" spans="1:20" x14ac:dyDescent="0.3">
      <c r="A2864">
        <v>19840</v>
      </c>
      <c r="B2864" s="1">
        <v>40322</v>
      </c>
      <c r="C2864" t="s">
        <v>43</v>
      </c>
      <c r="D2864" t="str">
        <f t="shared" si="88"/>
        <v>24-May-2010</v>
      </c>
      <c r="E2864">
        <v>25</v>
      </c>
      <c r="F2864" s="13">
        <v>8270.57</v>
      </c>
      <c r="G2864">
        <v>0.08</v>
      </c>
      <c r="H2864" t="s">
        <v>24</v>
      </c>
      <c r="I2864" s="13">
        <v>2851.46</v>
      </c>
      <c r="J2864">
        <v>400.97</v>
      </c>
      <c r="K2864">
        <v>48.26</v>
      </c>
      <c r="L2864" t="s">
        <v>375</v>
      </c>
      <c r="M2864" t="s">
        <v>373</v>
      </c>
      <c r="N2864" s="5" t="s">
        <v>373</v>
      </c>
      <c r="O2864" t="s">
        <v>28</v>
      </c>
      <c r="P2864" t="s">
        <v>29</v>
      </c>
      <c r="Q2864" t="s">
        <v>74</v>
      </c>
      <c r="R2864">
        <v>0.36</v>
      </c>
      <c r="S2864" s="1">
        <v>40325</v>
      </c>
      <c r="T2864" t="str">
        <f t="shared" si="89"/>
        <v>27-May-2010</v>
      </c>
    </row>
    <row r="2865" spans="1:20" x14ac:dyDescent="0.3">
      <c r="A2865">
        <v>15654</v>
      </c>
      <c r="B2865" s="1">
        <v>40088</v>
      </c>
      <c r="C2865" t="s">
        <v>31</v>
      </c>
      <c r="D2865" t="str">
        <f t="shared" si="88"/>
        <v>02-Oct-2009</v>
      </c>
      <c r="E2865">
        <v>27</v>
      </c>
      <c r="F2865" s="13">
        <v>7937.59</v>
      </c>
      <c r="G2865">
        <v>0.03</v>
      </c>
      <c r="H2865" t="s">
        <v>24</v>
      </c>
      <c r="I2865" s="13">
        <v>1383.24</v>
      </c>
      <c r="J2865">
        <v>300.98</v>
      </c>
      <c r="K2865">
        <v>54.92</v>
      </c>
      <c r="L2865" t="s">
        <v>387</v>
      </c>
      <c r="M2865" t="s">
        <v>373</v>
      </c>
      <c r="N2865" s="5" t="s">
        <v>373</v>
      </c>
      <c r="O2865" t="s">
        <v>28</v>
      </c>
      <c r="P2865" t="s">
        <v>32</v>
      </c>
      <c r="Q2865" t="s">
        <v>45</v>
      </c>
      <c r="R2865">
        <v>0.55000000000000004</v>
      </c>
      <c r="S2865" s="1">
        <v>40090</v>
      </c>
      <c r="T2865" t="str">
        <f t="shared" si="89"/>
        <v>04-Oct-2009</v>
      </c>
    </row>
    <row r="2866" spans="1:20" x14ac:dyDescent="0.3">
      <c r="A2866">
        <v>26306</v>
      </c>
      <c r="B2866" s="1">
        <v>41212</v>
      </c>
      <c r="C2866" t="s">
        <v>18</v>
      </c>
      <c r="D2866" t="str">
        <f t="shared" si="88"/>
        <v>30-Oct-2012</v>
      </c>
      <c r="E2866">
        <v>39</v>
      </c>
      <c r="F2866" s="13">
        <v>7725.66</v>
      </c>
      <c r="G2866">
        <v>0.05</v>
      </c>
      <c r="H2866" t="s">
        <v>24</v>
      </c>
      <c r="I2866" s="13">
        <v>-737.41</v>
      </c>
      <c r="J2866">
        <v>200.98</v>
      </c>
      <c r="K2866">
        <v>55.96</v>
      </c>
      <c r="L2866" t="s">
        <v>246</v>
      </c>
      <c r="M2866" t="s">
        <v>373</v>
      </c>
      <c r="N2866" s="5" t="s">
        <v>373</v>
      </c>
      <c r="O2866" t="s">
        <v>28</v>
      </c>
      <c r="P2866" t="s">
        <v>32</v>
      </c>
      <c r="Q2866" t="s">
        <v>45</v>
      </c>
      <c r="R2866">
        <v>0.75</v>
      </c>
      <c r="S2866" s="1">
        <v>41216</v>
      </c>
      <c r="T2866" t="str">
        <f t="shared" si="89"/>
        <v>03-Nov-2012</v>
      </c>
    </row>
    <row r="2867" spans="1:20" x14ac:dyDescent="0.3">
      <c r="A2867">
        <v>16642</v>
      </c>
      <c r="B2867" s="1">
        <v>40604</v>
      </c>
      <c r="C2867" t="s">
        <v>31</v>
      </c>
      <c r="D2867" t="str">
        <f t="shared" si="88"/>
        <v>02-Mar-2011</v>
      </c>
      <c r="E2867">
        <v>46</v>
      </c>
      <c r="F2867" s="13">
        <v>7640.2250000000004</v>
      </c>
      <c r="G2867">
        <v>7.0000000000000007E-2</v>
      </c>
      <c r="H2867" t="s">
        <v>19</v>
      </c>
      <c r="I2867" s="13">
        <v>2027.68</v>
      </c>
      <c r="J2867">
        <v>205.99</v>
      </c>
      <c r="K2867">
        <v>2.5</v>
      </c>
      <c r="L2867" t="s">
        <v>378</v>
      </c>
      <c r="M2867" t="s">
        <v>373</v>
      </c>
      <c r="N2867" s="5" t="s">
        <v>373</v>
      </c>
      <c r="O2867" t="s">
        <v>28</v>
      </c>
      <c r="P2867" t="s">
        <v>29</v>
      </c>
      <c r="Q2867" t="s">
        <v>30</v>
      </c>
      <c r="R2867">
        <v>0.59</v>
      </c>
      <c r="S2867" s="1">
        <v>40606</v>
      </c>
      <c r="T2867" t="str">
        <f t="shared" si="89"/>
        <v>04-Mar-2011</v>
      </c>
    </row>
    <row r="2868" spans="1:20" x14ac:dyDescent="0.3">
      <c r="A2868">
        <v>11680</v>
      </c>
      <c r="B2868" s="1">
        <v>40060</v>
      </c>
      <c r="C2868" t="s">
        <v>38</v>
      </c>
      <c r="D2868" t="str">
        <f t="shared" si="88"/>
        <v>04-Sep-2009</v>
      </c>
      <c r="E2868">
        <v>50</v>
      </c>
      <c r="F2868" s="13">
        <v>7312.0315000000001</v>
      </c>
      <c r="G2868">
        <v>0.06</v>
      </c>
      <c r="H2868" t="s">
        <v>19</v>
      </c>
      <c r="I2868" s="13">
        <v>2031.51</v>
      </c>
      <c r="J2868">
        <v>175.99</v>
      </c>
      <c r="K2868">
        <v>8.99</v>
      </c>
      <c r="L2868" t="s">
        <v>353</v>
      </c>
      <c r="M2868" t="s">
        <v>373</v>
      </c>
      <c r="N2868" s="5" t="s">
        <v>373</v>
      </c>
      <c r="O2868" t="s">
        <v>28</v>
      </c>
      <c r="P2868" t="s">
        <v>29</v>
      </c>
      <c r="Q2868" t="s">
        <v>30</v>
      </c>
      <c r="R2868">
        <v>0.56999999999999995</v>
      </c>
      <c r="S2868" s="1">
        <v>40062</v>
      </c>
      <c r="T2868" t="str">
        <f t="shared" si="89"/>
        <v>06-Sep-2009</v>
      </c>
    </row>
    <row r="2869" spans="1:20" x14ac:dyDescent="0.3">
      <c r="A2869">
        <v>19430</v>
      </c>
      <c r="B2869" s="1">
        <v>40495</v>
      </c>
      <c r="C2869" t="s">
        <v>43</v>
      </c>
      <c r="D2869" t="str">
        <f t="shared" si="88"/>
        <v>13-Nov-2010</v>
      </c>
      <c r="E2869">
        <v>39</v>
      </c>
      <c r="F2869" s="13">
        <v>6742.49</v>
      </c>
      <c r="G2869">
        <v>0.03</v>
      </c>
      <c r="H2869" t="s">
        <v>19</v>
      </c>
      <c r="I2869" s="13">
        <v>-502.05</v>
      </c>
      <c r="J2869">
        <v>167.27</v>
      </c>
      <c r="K2869">
        <v>35</v>
      </c>
      <c r="L2869" t="s">
        <v>155</v>
      </c>
      <c r="M2869" t="s">
        <v>373</v>
      </c>
      <c r="N2869" s="5" t="s">
        <v>373</v>
      </c>
      <c r="O2869" t="s">
        <v>28</v>
      </c>
      <c r="P2869" t="s">
        <v>21</v>
      </c>
      <c r="Q2869" t="s">
        <v>22</v>
      </c>
      <c r="R2869">
        <v>0.85</v>
      </c>
      <c r="S2869" s="1">
        <v>40497</v>
      </c>
      <c r="T2869" t="str">
        <f t="shared" si="89"/>
        <v>15-Nov-2010</v>
      </c>
    </row>
    <row r="2870" spans="1:20" x14ac:dyDescent="0.3">
      <c r="A2870">
        <v>22913</v>
      </c>
      <c r="B2870" s="1">
        <v>40354</v>
      </c>
      <c r="C2870" t="s">
        <v>43</v>
      </c>
      <c r="D2870" t="str">
        <f t="shared" si="88"/>
        <v>25-Jun-2010</v>
      </c>
      <c r="E2870">
        <v>24</v>
      </c>
      <c r="F2870" s="13">
        <v>6568.0240000000003</v>
      </c>
      <c r="G2870">
        <v>0.06</v>
      </c>
      <c r="H2870" t="s">
        <v>24</v>
      </c>
      <c r="I2870" s="13">
        <v>1715.9</v>
      </c>
      <c r="J2870">
        <v>348.21</v>
      </c>
      <c r="K2870">
        <v>40.19</v>
      </c>
      <c r="L2870" t="s">
        <v>229</v>
      </c>
      <c r="M2870" t="s">
        <v>373</v>
      </c>
      <c r="N2870" s="5" t="s">
        <v>373</v>
      </c>
      <c r="O2870" t="s">
        <v>28</v>
      </c>
      <c r="P2870" t="s">
        <v>32</v>
      </c>
      <c r="Q2870" t="s">
        <v>46</v>
      </c>
      <c r="R2870">
        <v>0.62</v>
      </c>
      <c r="S2870" s="1">
        <v>40357</v>
      </c>
      <c r="T2870" t="str">
        <f t="shared" si="89"/>
        <v>28-Jun-2010</v>
      </c>
    </row>
    <row r="2871" spans="1:20" x14ac:dyDescent="0.3">
      <c r="A2871">
        <v>18918</v>
      </c>
      <c r="B2871" s="1">
        <v>41209</v>
      </c>
      <c r="C2871" t="s">
        <v>31</v>
      </c>
      <c r="D2871" t="str">
        <f t="shared" si="88"/>
        <v>27-Oct-2012</v>
      </c>
      <c r="E2871">
        <v>7</v>
      </c>
      <c r="F2871" s="13">
        <v>6362.94</v>
      </c>
      <c r="G2871">
        <v>0.1</v>
      </c>
      <c r="H2871" t="s">
        <v>19</v>
      </c>
      <c r="I2871" s="13">
        <v>-221.78</v>
      </c>
      <c r="J2871">
        <v>999.99</v>
      </c>
      <c r="K2871">
        <v>13.99</v>
      </c>
      <c r="L2871" t="s">
        <v>315</v>
      </c>
      <c r="M2871" t="s">
        <v>373</v>
      </c>
      <c r="N2871" s="5" t="s">
        <v>373</v>
      </c>
      <c r="O2871" t="s">
        <v>28</v>
      </c>
      <c r="P2871" t="s">
        <v>29</v>
      </c>
      <c r="Q2871" t="s">
        <v>74</v>
      </c>
      <c r="R2871">
        <v>0.36</v>
      </c>
      <c r="S2871" s="1">
        <v>41210</v>
      </c>
      <c r="T2871" t="str">
        <f t="shared" si="89"/>
        <v>28-Oct-2012</v>
      </c>
    </row>
    <row r="2872" spans="1:20" x14ac:dyDescent="0.3">
      <c r="A2872">
        <v>2978</v>
      </c>
      <c r="B2872" s="1">
        <v>40665</v>
      </c>
      <c r="C2872" t="s">
        <v>43</v>
      </c>
      <c r="D2872" t="str">
        <f t="shared" si="88"/>
        <v>02-May-2011</v>
      </c>
      <c r="E2872">
        <v>34</v>
      </c>
      <c r="F2872" s="13">
        <v>6264.1854999999996</v>
      </c>
      <c r="G2872">
        <v>0.01</v>
      </c>
      <c r="H2872" t="s">
        <v>19</v>
      </c>
      <c r="I2872" s="13">
        <v>1312.04</v>
      </c>
      <c r="J2872">
        <v>205.99</v>
      </c>
      <c r="K2872">
        <v>19.989999999999998</v>
      </c>
      <c r="L2872" t="s">
        <v>309</v>
      </c>
      <c r="M2872" t="s">
        <v>373</v>
      </c>
      <c r="N2872" s="5" t="s">
        <v>373</v>
      </c>
      <c r="O2872" t="s">
        <v>28</v>
      </c>
      <c r="P2872" t="s">
        <v>29</v>
      </c>
      <c r="Q2872" t="s">
        <v>30</v>
      </c>
      <c r="R2872">
        <v>0.6</v>
      </c>
      <c r="S2872" s="1">
        <v>40666</v>
      </c>
      <c r="T2872" t="str">
        <f t="shared" si="89"/>
        <v>03-May-2011</v>
      </c>
    </row>
    <row r="2873" spans="1:20" x14ac:dyDescent="0.3">
      <c r="A2873">
        <v>39111</v>
      </c>
      <c r="B2873" s="1">
        <v>40749</v>
      </c>
      <c r="C2873" t="s">
        <v>38</v>
      </c>
      <c r="D2873" t="str">
        <f t="shared" si="88"/>
        <v>25-Jul-2011</v>
      </c>
      <c r="E2873">
        <v>20</v>
      </c>
      <c r="F2873" s="13">
        <v>6004.35</v>
      </c>
      <c r="G2873">
        <v>0.05</v>
      </c>
      <c r="H2873" t="s">
        <v>19</v>
      </c>
      <c r="I2873" s="13">
        <v>1767.56</v>
      </c>
      <c r="J2873">
        <v>300.97000000000003</v>
      </c>
      <c r="K2873">
        <v>7.18</v>
      </c>
      <c r="L2873" t="s">
        <v>376</v>
      </c>
      <c r="M2873" t="s">
        <v>373</v>
      </c>
      <c r="N2873" s="5" t="s">
        <v>373</v>
      </c>
      <c r="O2873" t="s">
        <v>28</v>
      </c>
      <c r="P2873" t="s">
        <v>29</v>
      </c>
      <c r="Q2873" t="s">
        <v>41</v>
      </c>
      <c r="R2873">
        <v>0.48</v>
      </c>
      <c r="S2873" s="1">
        <v>40751</v>
      </c>
      <c r="T2873" t="str">
        <f t="shared" si="89"/>
        <v>27-Jul-2011</v>
      </c>
    </row>
    <row r="2874" spans="1:20" x14ac:dyDescent="0.3">
      <c r="A2874">
        <v>2978</v>
      </c>
      <c r="B2874" s="1">
        <v>40665</v>
      </c>
      <c r="C2874" t="s">
        <v>43</v>
      </c>
      <c r="D2874" t="str">
        <f t="shared" si="88"/>
        <v>02-May-2011</v>
      </c>
      <c r="E2874">
        <v>36</v>
      </c>
      <c r="F2874" s="13">
        <v>5410.95</v>
      </c>
      <c r="G2874">
        <v>0.09</v>
      </c>
      <c r="H2874" t="s">
        <v>19</v>
      </c>
      <c r="I2874" s="13">
        <v>2077.91</v>
      </c>
      <c r="J2874">
        <v>162.93</v>
      </c>
      <c r="K2874">
        <v>19.989999999999998</v>
      </c>
      <c r="L2874" t="s">
        <v>309</v>
      </c>
      <c r="M2874" t="s">
        <v>373</v>
      </c>
      <c r="N2874" s="5" t="s">
        <v>373</v>
      </c>
      <c r="O2874" t="s">
        <v>28</v>
      </c>
      <c r="P2874" t="s">
        <v>21</v>
      </c>
      <c r="Q2874" t="s">
        <v>42</v>
      </c>
      <c r="R2874">
        <v>0.39</v>
      </c>
      <c r="S2874" s="1">
        <v>40667</v>
      </c>
      <c r="T2874" t="str">
        <f t="shared" si="89"/>
        <v>04-May-2011</v>
      </c>
    </row>
    <row r="2875" spans="1:20" x14ac:dyDescent="0.3">
      <c r="A2875">
        <v>22466</v>
      </c>
      <c r="B2875" s="1">
        <v>40996</v>
      </c>
      <c r="C2875" t="s">
        <v>18</v>
      </c>
      <c r="D2875" t="str">
        <f t="shared" si="88"/>
        <v>28-Mar-2012</v>
      </c>
      <c r="E2875">
        <v>31</v>
      </c>
      <c r="F2875" s="13">
        <v>5404.18</v>
      </c>
      <c r="G2875">
        <v>7.0000000000000007E-2</v>
      </c>
      <c r="H2875" t="s">
        <v>24</v>
      </c>
      <c r="I2875" s="13">
        <v>241.06</v>
      </c>
      <c r="J2875">
        <v>180.98</v>
      </c>
      <c r="K2875">
        <v>30</v>
      </c>
      <c r="L2875" t="s">
        <v>380</v>
      </c>
      <c r="M2875" t="s">
        <v>373</v>
      </c>
      <c r="N2875" s="5" t="s">
        <v>373</v>
      </c>
      <c r="O2875" t="s">
        <v>28</v>
      </c>
      <c r="P2875" t="s">
        <v>32</v>
      </c>
      <c r="Q2875" t="s">
        <v>56</v>
      </c>
      <c r="R2875">
        <v>0.69</v>
      </c>
      <c r="S2875" s="1">
        <v>41003</v>
      </c>
      <c r="T2875" t="str">
        <f t="shared" si="89"/>
        <v>04-Apr-2012</v>
      </c>
    </row>
    <row r="2876" spans="1:20" x14ac:dyDescent="0.3">
      <c r="A2876">
        <v>23297</v>
      </c>
      <c r="B2876" s="1">
        <v>41092</v>
      </c>
      <c r="C2876" t="s">
        <v>43</v>
      </c>
      <c r="D2876" t="str">
        <f t="shared" si="88"/>
        <v>02-Jul-2012</v>
      </c>
      <c r="E2876">
        <v>34</v>
      </c>
      <c r="F2876" s="13">
        <v>5208.78</v>
      </c>
      <c r="G2876">
        <v>0.05</v>
      </c>
      <c r="H2876" t="s">
        <v>19</v>
      </c>
      <c r="I2876" s="13">
        <v>1547.78</v>
      </c>
      <c r="J2876">
        <v>155.06</v>
      </c>
      <c r="K2876">
        <v>7.07</v>
      </c>
      <c r="L2876" t="s">
        <v>378</v>
      </c>
      <c r="M2876" t="s">
        <v>373</v>
      </c>
      <c r="N2876" s="5" t="s">
        <v>373</v>
      </c>
      <c r="O2876" t="s">
        <v>28</v>
      </c>
      <c r="P2876" t="s">
        <v>21</v>
      </c>
      <c r="Q2876" t="s">
        <v>22</v>
      </c>
      <c r="R2876">
        <v>0.59</v>
      </c>
      <c r="S2876" s="1">
        <v>41094</v>
      </c>
      <c r="T2876" t="str">
        <f t="shared" si="89"/>
        <v>04-Jul-2012</v>
      </c>
    </row>
    <row r="2877" spans="1:20" x14ac:dyDescent="0.3">
      <c r="A2877">
        <v>14434</v>
      </c>
      <c r="B2877" s="1">
        <v>40589</v>
      </c>
      <c r="C2877" t="s">
        <v>31</v>
      </c>
      <c r="D2877" t="str">
        <f t="shared" si="88"/>
        <v>15-Feb-2011</v>
      </c>
      <c r="E2877">
        <v>39</v>
      </c>
      <c r="F2877" s="13">
        <v>4733.88</v>
      </c>
      <c r="G2877">
        <v>0.02</v>
      </c>
      <c r="H2877" t="s">
        <v>24</v>
      </c>
      <c r="I2877" s="13">
        <v>239.41</v>
      </c>
      <c r="J2877">
        <v>119.99</v>
      </c>
      <c r="K2877">
        <v>56.14</v>
      </c>
      <c r="L2877" t="s">
        <v>385</v>
      </c>
      <c r="M2877" t="s">
        <v>373</v>
      </c>
      <c r="N2877" s="5" t="s">
        <v>373</v>
      </c>
      <c r="O2877" t="s">
        <v>28</v>
      </c>
      <c r="P2877" t="s">
        <v>29</v>
      </c>
      <c r="Q2877" t="s">
        <v>74</v>
      </c>
      <c r="R2877">
        <v>0.39</v>
      </c>
      <c r="S2877" s="1">
        <v>40591</v>
      </c>
      <c r="T2877" t="str">
        <f t="shared" si="89"/>
        <v>17-Feb-2011</v>
      </c>
    </row>
    <row r="2878" spans="1:20" x14ac:dyDescent="0.3">
      <c r="A2878">
        <v>17093</v>
      </c>
      <c r="B2878" s="1">
        <v>40950</v>
      </c>
      <c r="C2878" t="s">
        <v>31</v>
      </c>
      <c r="D2878" t="str">
        <f t="shared" si="88"/>
        <v>11-Feb-2012</v>
      </c>
      <c r="E2878">
        <v>50</v>
      </c>
      <c r="F2878" s="13">
        <v>4550.0600000000004</v>
      </c>
      <c r="G2878">
        <v>0.1</v>
      </c>
      <c r="H2878" t="s">
        <v>24</v>
      </c>
      <c r="I2878" s="13">
        <v>-1335.32</v>
      </c>
      <c r="J2878">
        <v>95.98</v>
      </c>
      <c r="K2878">
        <v>58.2</v>
      </c>
      <c r="L2878" t="s">
        <v>211</v>
      </c>
      <c r="M2878" t="s">
        <v>373</v>
      </c>
      <c r="N2878" s="5" t="s">
        <v>373</v>
      </c>
      <c r="O2878" t="s">
        <v>28</v>
      </c>
      <c r="P2878" t="s">
        <v>32</v>
      </c>
      <c r="Q2878" t="s">
        <v>56</v>
      </c>
      <c r="R2878">
        <v>0.57999999999999996</v>
      </c>
      <c r="S2878" s="1">
        <v>40952</v>
      </c>
      <c r="T2878" t="str">
        <f t="shared" si="89"/>
        <v>13-Feb-2012</v>
      </c>
    </row>
    <row r="2879" spans="1:20" x14ac:dyDescent="0.3">
      <c r="A2879">
        <v>30848</v>
      </c>
      <c r="B2879" s="1">
        <v>40664</v>
      </c>
      <c r="C2879" t="s">
        <v>38</v>
      </c>
      <c r="D2879" t="str">
        <f t="shared" si="88"/>
        <v>01-May-2011</v>
      </c>
      <c r="E2879">
        <v>13</v>
      </c>
      <c r="F2879" s="13">
        <v>4324.29</v>
      </c>
      <c r="G2879">
        <v>0.09</v>
      </c>
      <c r="H2879" t="s">
        <v>24</v>
      </c>
      <c r="I2879" s="13">
        <v>298.83</v>
      </c>
      <c r="J2879">
        <v>348.21</v>
      </c>
      <c r="K2879">
        <v>40.19</v>
      </c>
      <c r="L2879" t="s">
        <v>268</v>
      </c>
      <c r="M2879" t="s">
        <v>373</v>
      </c>
      <c r="N2879" s="5" t="s">
        <v>373</v>
      </c>
      <c r="O2879" t="s">
        <v>28</v>
      </c>
      <c r="P2879" t="s">
        <v>32</v>
      </c>
      <c r="Q2879" t="s">
        <v>46</v>
      </c>
      <c r="R2879">
        <v>0.62</v>
      </c>
      <c r="S2879" s="1">
        <v>40666</v>
      </c>
      <c r="T2879" t="str">
        <f t="shared" si="89"/>
        <v>03-May-2011</v>
      </c>
    </row>
    <row r="2880" spans="1:20" x14ac:dyDescent="0.3">
      <c r="A2880">
        <v>4931</v>
      </c>
      <c r="B2880" s="1">
        <v>40133</v>
      </c>
      <c r="C2880" t="s">
        <v>43</v>
      </c>
      <c r="D2880" t="str">
        <f t="shared" si="88"/>
        <v>16-Nov-2009</v>
      </c>
      <c r="E2880">
        <v>45</v>
      </c>
      <c r="F2880" s="13">
        <v>4282.7250000000004</v>
      </c>
      <c r="G2880">
        <v>0.03</v>
      </c>
      <c r="H2880" t="s">
        <v>19</v>
      </c>
      <c r="I2880" s="13">
        <v>1371.74</v>
      </c>
      <c r="J2880">
        <v>110.99</v>
      </c>
      <c r="K2880">
        <v>2.5</v>
      </c>
      <c r="L2880" t="s">
        <v>229</v>
      </c>
      <c r="M2880" t="s">
        <v>373</v>
      </c>
      <c r="N2880" s="5" t="s">
        <v>373</v>
      </c>
      <c r="O2880" t="s">
        <v>28</v>
      </c>
      <c r="P2880" t="s">
        <v>29</v>
      </c>
      <c r="Q2880" t="s">
        <v>30</v>
      </c>
      <c r="R2880">
        <v>0.56999999999999995</v>
      </c>
      <c r="S2880" s="1">
        <v>40135</v>
      </c>
      <c r="T2880" t="str">
        <f t="shared" si="89"/>
        <v>18-Nov-2009</v>
      </c>
    </row>
    <row r="2881" spans="1:20" x14ac:dyDescent="0.3">
      <c r="A2881">
        <v>59072</v>
      </c>
      <c r="B2881" s="1">
        <v>39958</v>
      </c>
      <c r="C2881" t="s">
        <v>31</v>
      </c>
      <c r="D2881" t="str">
        <f t="shared" si="88"/>
        <v>25-May-2009</v>
      </c>
      <c r="E2881">
        <v>38</v>
      </c>
      <c r="F2881" s="13">
        <v>4191.5625</v>
      </c>
      <c r="G2881">
        <v>0</v>
      </c>
      <c r="H2881" t="s">
        <v>19</v>
      </c>
      <c r="I2881" s="13">
        <v>1286.53</v>
      </c>
      <c r="J2881">
        <v>125.99</v>
      </c>
      <c r="K2881">
        <v>2.5</v>
      </c>
      <c r="L2881" t="s">
        <v>375</v>
      </c>
      <c r="M2881" t="s">
        <v>373</v>
      </c>
      <c r="N2881" s="5" t="s">
        <v>373</v>
      </c>
      <c r="O2881" t="s">
        <v>28</v>
      </c>
      <c r="P2881" t="s">
        <v>29</v>
      </c>
      <c r="Q2881" t="s">
        <v>30</v>
      </c>
      <c r="R2881">
        <v>0.57999999999999996</v>
      </c>
      <c r="S2881" s="1">
        <v>39960</v>
      </c>
      <c r="T2881" t="str">
        <f t="shared" si="89"/>
        <v>27-May-2009</v>
      </c>
    </row>
    <row r="2882" spans="1:20" x14ac:dyDescent="0.3">
      <c r="A2882">
        <v>34151</v>
      </c>
      <c r="B2882" s="1">
        <v>40795</v>
      </c>
      <c r="C2882" t="s">
        <v>31</v>
      </c>
      <c r="D2882" t="str">
        <f t="shared" ref="D2882:D2945" si="90">TEXT(B2882, "dd-mmm-yyyy" )</f>
        <v>09-Sep-2011</v>
      </c>
      <c r="E2882">
        <v>26</v>
      </c>
      <c r="F2882" s="13">
        <v>4097.1445000000003</v>
      </c>
      <c r="G2882">
        <v>0.1</v>
      </c>
      <c r="H2882" t="s">
        <v>19</v>
      </c>
      <c r="I2882" s="13">
        <v>501.54</v>
      </c>
      <c r="J2882">
        <v>205.99</v>
      </c>
      <c r="K2882">
        <v>8.99</v>
      </c>
      <c r="L2882" t="s">
        <v>222</v>
      </c>
      <c r="M2882" t="s">
        <v>373</v>
      </c>
      <c r="N2882" s="5" t="s">
        <v>373</v>
      </c>
      <c r="O2882" t="s">
        <v>28</v>
      </c>
      <c r="P2882" t="s">
        <v>29</v>
      </c>
      <c r="Q2882" t="s">
        <v>30</v>
      </c>
      <c r="R2882">
        <v>0.56000000000000005</v>
      </c>
      <c r="S2882" s="1">
        <v>40796</v>
      </c>
      <c r="T2882" t="str">
        <f t="shared" ref="T2882:T2945" si="91">TEXT(S2882, "dd-mmm-yyyy")</f>
        <v>10-Sep-2011</v>
      </c>
    </row>
    <row r="2883" spans="1:20" x14ac:dyDescent="0.3">
      <c r="A2883">
        <v>13570</v>
      </c>
      <c r="B2883" s="1">
        <v>41245</v>
      </c>
      <c r="C2883" t="s">
        <v>31</v>
      </c>
      <c r="D2883" t="str">
        <f t="shared" si="90"/>
        <v>02-Dec-2012</v>
      </c>
      <c r="E2883">
        <v>42</v>
      </c>
      <c r="F2883" s="13">
        <v>4077.7559999999999</v>
      </c>
      <c r="G2883">
        <v>0.04</v>
      </c>
      <c r="H2883" t="s">
        <v>19</v>
      </c>
      <c r="I2883" s="13">
        <v>1086.96</v>
      </c>
      <c r="J2883">
        <v>110.99</v>
      </c>
      <c r="K2883">
        <v>8.99</v>
      </c>
      <c r="L2883" t="s">
        <v>267</v>
      </c>
      <c r="M2883" t="s">
        <v>373</v>
      </c>
      <c r="N2883" s="5" t="s">
        <v>373</v>
      </c>
      <c r="O2883" t="s">
        <v>28</v>
      </c>
      <c r="P2883" t="s">
        <v>29</v>
      </c>
      <c r="Q2883" t="s">
        <v>30</v>
      </c>
      <c r="R2883">
        <v>0.56999999999999995</v>
      </c>
      <c r="S2883" s="1">
        <v>41245</v>
      </c>
      <c r="T2883" t="str">
        <f t="shared" si="91"/>
        <v>02-Dec-2012</v>
      </c>
    </row>
    <row r="2884" spans="1:20" x14ac:dyDescent="0.3">
      <c r="A2884">
        <v>25378</v>
      </c>
      <c r="B2884" s="1">
        <v>40895</v>
      </c>
      <c r="C2884" t="s">
        <v>31</v>
      </c>
      <c r="D2884" t="str">
        <f t="shared" si="90"/>
        <v>18-Dec-2011</v>
      </c>
      <c r="E2884">
        <v>48</v>
      </c>
      <c r="F2884" s="13">
        <v>3713.0124999999998</v>
      </c>
      <c r="G2884">
        <v>0.09</v>
      </c>
      <c r="H2884" t="s">
        <v>19</v>
      </c>
      <c r="I2884" s="13">
        <v>803.6</v>
      </c>
      <c r="J2884">
        <v>95.99</v>
      </c>
      <c r="K2884">
        <v>7.69</v>
      </c>
      <c r="L2884" t="s">
        <v>385</v>
      </c>
      <c r="M2884" t="s">
        <v>373</v>
      </c>
      <c r="N2884" s="5" t="s">
        <v>373</v>
      </c>
      <c r="O2884" t="s">
        <v>28</v>
      </c>
      <c r="P2884" t="s">
        <v>29</v>
      </c>
      <c r="Q2884" t="s">
        <v>30</v>
      </c>
      <c r="R2884">
        <v>0.56999999999999995</v>
      </c>
      <c r="S2884" s="1">
        <v>40897</v>
      </c>
      <c r="T2884" t="str">
        <f t="shared" si="91"/>
        <v>20-Dec-2011</v>
      </c>
    </row>
    <row r="2885" spans="1:20" x14ac:dyDescent="0.3">
      <c r="A2885">
        <v>9092</v>
      </c>
      <c r="B2885" s="1">
        <v>40018</v>
      </c>
      <c r="C2885" t="s">
        <v>31</v>
      </c>
      <c r="D2885" t="str">
        <f t="shared" si="90"/>
        <v>24-Jul-2009</v>
      </c>
      <c r="E2885">
        <v>33</v>
      </c>
      <c r="F2885" s="13">
        <v>3644.24</v>
      </c>
      <c r="G2885">
        <v>0</v>
      </c>
      <c r="H2885" t="s">
        <v>35</v>
      </c>
      <c r="I2885" s="13">
        <v>-457.73</v>
      </c>
      <c r="J2885">
        <v>101.41</v>
      </c>
      <c r="K2885">
        <v>35</v>
      </c>
      <c r="L2885" t="s">
        <v>381</v>
      </c>
      <c r="M2885" t="s">
        <v>373</v>
      </c>
      <c r="N2885" s="5" t="s">
        <v>373</v>
      </c>
      <c r="O2885" t="s">
        <v>28</v>
      </c>
      <c r="P2885" t="s">
        <v>21</v>
      </c>
      <c r="Q2885" t="s">
        <v>22</v>
      </c>
      <c r="R2885">
        <v>0.82</v>
      </c>
      <c r="S2885" s="1">
        <v>40019</v>
      </c>
      <c r="T2885" t="str">
        <f t="shared" si="91"/>
        <v>25-Jul-2009</v>
      </c>
    </row>
    <row r="2886" spans="1:20" x14ac:dyDescent="0.3">
      <c r="A2886">
        <v>7812</v>
      </c>
      <c r="B2886" s="1">
        <v>40653</v>
      </c>
      <c r="C2886" t="s">
        <v>18</v>
      </c>
      <c r="D2886" t="str">
        <f t="shared" si="90"/>
        <v>20-Apr-2011</v>
      </c>
      <c r="E2886">
        <v>12</v>
      </c>
      <c r="F2886" s="13">
        <v>3635.63</v>
      </c>
      <c r="G2886">
        <v>0.09</v>
      </c>
      <c r="H2886" t="s">
        <v>24</v>
      </c>
      <c r="I2886" s="13">
        <v>104.48</v>
      </c>
      <c r="J2886">
        <v>320.64</v>
      </c>
      <c r="K2886">
        <v>29.2</v>
      </c>
      <c r="L2886" t="s">
        <v>219</v>
      </c>
      <c r="M2886" t="s">
        <v>373</v>
      </c>
      <c r="N2886" s="5" t="s">
        <v>373</v>
      </c>
      <c r="O2886" t="s">
        <v>28</v>
      </c>
      <c r="P2886" t="s">
        <v>32</v>
      </c>
      <c r="Q2886" t="s">
        <v>46</v>
      </c>
      <c r="R2886">
        <v>0.66</v>
      </c>
      <c r="S2886" s="1">
        <v>40655</v>
      </c>
      <c r="T2886" t="str">
        <f t="shared" si="91"/>
        <v>22-Apr-2011</v>
      </c>
    </row>
    <row r="2887" spans="1:20" x14ac:dyDescent="0.3">
      <c r="A2887">
        <v>9251</v>
      </c>
      <c r="B2887" s="1">
        <v>40419</v>
      </c>
      <c r="C2887" t="s">
        <v>38</v>
      </c>
      <c r="D2887" t="str">
        <f t="shared" si="90"/>
        <v>29-Aug-2010</v>
      </c>
      <c r="E2887">
        <v>38</v>
      </c>
      <c r="F2887" s="13">
        <v>3632.6</v>
      </c>
      <c r="G2887">
        <v>0</v>
      </c>
      <c r="H2887" t="s">
        <v>24</v>
      </c>
      <c r="I2887" s="13">
        <v>-400.33</v>
      </c>
      <c r="J2887">
        <v>89.99</v>
      </c>
      <c r="K2887">
        <v>42</v>
      </c>
      <c r="L2887" t="s">
        <v>229</v>
      </c>
      <c r="M2887" t="s">
        <v>373</v>
      </c>
      <c r="N2887" s="5" t="s">
        <v>373</v>
      </c>
      <c r="O2887" t="s">
        <v>28</v>
      </c>
      <c r="P2887" t="s">
        <v>32</v>
      </c>
      <c r="Q2887" t="s">
        <v>56</v>
      </c>
      <c r="R2887">
        <v>0.66</v>
      </c>
      <c r="S2887" s="1">
        <v>40421</v>
      </c>
      <c r="T2887" t="str">
        <f t="shared" si="91"/>
        <v>31-Aug-2010</v>
      </c>
    </row>
    <row r="2888" spans="1:20" x14ac:dyDescent="0.3">
      <c r="A2888">
        <v>11748</v>
      </c>
      <c r="B2888" s="1">
        <v>39967</v>
      </c>
      <c r="C2888" t="s">
        <v>31</v>
      </c>
      <c r="D2888" t="str">
        <f t="shared" si="90"/>
        <v>03-Jun-2009</v>
      </c>
      <c r="E2888">
        <v>23</v>
      </c>
      <c r="F2888" s="13">
        <v>3503.12</v>
      </c>
      <c r="G2888">
        <v>0.01</v>
      </c>
      <c r="H2888" t="s">
        <v>24</v>
      </c>
      <c r="I2888" s="13">
        <v>-168.14</v>
      </c>
      <c r="J2888">
        <v>145.97999999999999</v>
      </c>
      <c r="K2888">
        <v>46.2</v>
      </c>
      <c r="L2888" t="s">
        <v>380</v>
      </c>
      <c r="M2888" t="s">
        <v>373</v>
      </c>
      <c r="N2888" s="5" t="s">
        <v>373</v>
      </c>
      <c r="O2888" t="s">
        <v>28</v>
      </c>
      <c r="P2888" t="s">
        <v>32</v>
      </c>
      <c r="Q2888" t="s">
        <v>46</v>
      </c>
      <c r="R2888">
        <v>0.69</v>
      </c>
      <c r="S2888" s="1">
        <v>39967</v>
      </c>
      <c r="T2888" t="str">
        <f t="shared" si="91"/>
        <v>03-Jun-2009</v>
      </c>
    </row>
    <row r="2889" spans="1:20" x14ac:dyDescent="0.3">
      <c r="A2889">
        <v>11714</v>
      </c>
      <c r="B2889" s="1">
        <v>40029</v>
      </c>
      <c r="C2889" t="s">
        <v>43</v>
      </c>
      <c r="D2889" t="str">
        <f t="shared" si="90"/>
        <v>04-Aug-2009</v>
      </c>
      <c r="E2889">
        <v>1</v>
      </c>
      <c r="F2889" s="13">
        <v>3501.79</v>
      </c>
      <c r="G2889">
        <v>0.01</v>
      </c>
      <c r="H2889" t="s">
        <v>24</v>
      </c>
      <c r="I2889" s="13">
        <v>-7838.33</v>
      </c>
      <c r="J2889">
        <v>3502.14</v>
      </c>
      <c r="K2889">
        <v>8.73</v>
      </c>
      <c r="L2889" t="s">
        <v>380</v>
      </c>
      <c r="M2889" t="s">
        <v>373</v>
      </c>
      <c r="N2889" s="5" t="s">
        <v>373</v>
      </c>
      <c r="O2889" t="s">
        <v>28</v>
      </c>
      <c r="P2889" t="s">
        <v>29</v>
      </c>
      <c r="Q2889" t="s">
        <v>74</v>
      </c>
      <c r="R2889">
        <v>0.56999999999999995</v>
      </c>
      <c r="S2889" s="1">
        <v>40030</v>
      </c>
      <c r="T2889" t="str">
        <f t="shared" si="91"/>
        <v>05-Aug-2009</v>
      </c>
    </row>
    <row r="2890" spans="1:20" x14ac:dyDescent="0.3">
      <c r="A2890">
        <v>14851</v>
      </c>
      <c r="B2890" s="1">
        <v>41040</v>
      </c>
      <c r="C2890" t="s">
        <v>31</v>
      </c>
      <c r="D2890" t="str">
        <f t="shared" si="90"/>
        <v>11-May-2012</v>
      </c>
      <c r="E2890">
        <v>6</v>
      </c>
      <c r="F2890" s="13">
        <v>3378.18</v>
      </c>
      <c r="G2890">
        <v>0.08</v>
      </c>
      <c r="H2890" t="s">
        <v>19</v>
      </c>
      <c r="I2890" s="13">
        <v>-1352.68</v>
      </c>
      <c r="J2890">
        <v>599.99</v>
      </c>
      <c r="K2890">
        <v>24.49</v>
      </c>
      <c r="L2890" t="s">
        <v>386</v>
      </c>
      <c r="M2890" t="s">
        <v>373</v>
      </c>
      <c r="N2890" s="5" t="s">
        <v>373</v>
      </c>
      <c r="O2890" t="s">
        <v>28</v>
      </c>
      <c r="P2890" t="s">
        <v>29</v>
      </c>
      <c r="Q2890" t="s">
        <v>51</v>
      </c>
      <c r="R2890">
        <v>0.44</v>
      </c>
      <c r="S2890" s="1">
        <v>41041</v>
      </c>
      <c r="T2890" t="str">
        <f t="shared" si="91"/>
        <v>12-May-2012</v>
      </c>
    </row>
    <row r="2891" spans="1:20" x14ac:dyDescent="0.3">
      <c r="A2891">
        <v>22497</v>
      </c>
      <c r="B2891" s="1">
        <v>41027</v>
      </c>
      <c r="C2891" t="s">
        <v>38</v>
      </c>
      <c r="D2891" t="str">
        <f t="shared" si="90"/>
        <v>28-Apr-2012</v>
      </c>
      <c r="E2891">
        <v>37</v>
      </c>
      <c r="F2891" s="13">
        <v>3259.25</v>
      </c>
      <c r="G2891">
        <v>0.04</v>
      </c>
      <c r="H2891" t="s">
        <v>24</v>
      </c>
      <c r="I2891" s="13">
        <v>580.33000000000004</v>
      </c>
      <c r="J2891">
        <v>90.97</v>
      </c>
      <c r="K2891">
        <v>28</v>
      </c>
      <c r="L2891" t="s">
        <v>246</v>
      </c>
      <c r="M2891" t="s">
        <v>373</v>
      </c>
      <c r="N2891" s="5" t="s">
        <v>373</v>
      </c>
      <c r="O2891" t="s">
        <v>28</v>
      </c>
      <c r="P2891" t="s">
        <v>29</v>
      </c>
      <c r="Q2891" t="s">
        <v>74</v>
      </c>
      <c r="R2891">
        <v>0.38</v>
      </c>
      <c r="S2891" s="1">
        <v>41028</v>
      </c>
      <c r="T2891" t="str">
        <f t="shared" si="91"/>
        <v>29-Apr-2012</v>
      </c>
    </row>
    <row r="2892" spans="1:20" x14ac:dyDescent="0.3">
      <c r="A2892">
        <v>11174</v>
      </c>
      <c r="B2892" s="1">
        <v>39912</v>
      </c>
      <c r="C2892" t="s">
        <v>38</v>
      </c>
      <c r="D2892" t="str">
        <f t="shared" si="90"/>
        <v>09-Apr-2009</v>
      </c>
      <c r="E2892">
        <v>30</v>
      </c>
      <c r="F2892" s="13">
        <v>3197.0030000000002</v>
      </c>
      <c r="G2892">
        <v>7.0000000000000007E-2</v>
      </c>
      <c r="H2892" t="s">
        <v>19</v>
      </c>
      <c r="I2892" s="13">
        <v>603.46</v>
      </c>
      <c r="J2892">
        <v>125.99</v>
      </c>
      <c r="K2892">
        <v>7.69</v>
      </c>
      <c r="L2892" t="s">
        <v>241</v>
      </c>
      <c r="M2892" t="s">
        <v>373</v>
      </c>
      <c r="N2892" s="5" t="s">
        <v>373</v>
      </c>
      <c r="O2892" t="s">
        <v>28</v>
      </c>
      <c r="P2892" t="s">
        <v>29</v>
      </c>
      <c r="Q2892" t="s">
        <v>30</v>
      </c>
      <c r="R2892">
        <v>0.59</v>
      </c>
      <c r="S2892" s="1">
        <v>39913</v>
      </c>
      <c r="T2892" t="str">
        <f t="shared" si="91"/>
        <v>10-Apr-2009</v>
      </c>
    </row>
    <row r="2893" spans="1:20" x14ac:dyDescent="0.3">
      <c r="A2893">
        <v>16481</v>
      </c>
      <c r="B2893" s="1">
        <v>40592</v>
      </c>
      <c r="C2893" t="s">
        <v>18</v>
      </c>
      <c r="D2893" t="str">
        <f t="shared" si="90"/>
        <v>18-Feb-2011</v>
      </c>
      <c r="E2893">
        <v>50</v>
      </c>
      <c r="F2893" s="13">
        <v>3089.06</v>
      </c>
      <c r="G2893">
        <v>0</v>
      </c>
      <c r="H2893" t="s">
        <v>19</v>
      </c>
      <c r="I2893" s="13">
        <v>719.26</v>
      </c>
      <c r="J2893">
        <v>56.96</v>
      </c>
      <c r="K2893">
        <v>13.22</v>
      </c>
      <c r="L2893" t="s">
        <v>388</v>
      </c>
      <c r="M2893" t="s">
        <v>373</v>
      </c>
      <c r="N2893" s="5" t="s">
        <v>373</v>
      </c>
      <c r="O2893" t="s">
        <v>28</v>
      </c>
      <c r="P2893" t="s">
        <v>21</v>
      </c>
      <c r="Q2893" t="s">
        <v>25</v>
      </c>
      <c r="R2893">
        <v>0.56000000000000005</v>
      </c>
      <c r="S2893" s="1">
        <v>40597</v>
      </c>
      <c r="T2893" t="str">
        <f t="shared" si="91"/>
        <v>23-Feb-2011</v>
      </c>
    </row>
    <row r="2894" spans="1:20" x14ac:dyDescent="0.3">
      <c r="A2894">
        <v>12486</v>
      </c>
      <c r="B2894" s="1">
        <v>40594</v>
      </c>
      <c r="C2894" t="s">
        <v>23</v>
      </c>
      <c r="D2894" t="str">
        <f t="shared" si="90"/>
        <v>20-Feb-2011</v>
      </c>
      <c r="E2894">
        <v>31</v>
      </c>
      <c r="F2894" s="13">
        <v>3081.33</v>
      </c>
      <c r="G2894">
        <v>0.08</v>
      </c>
      <c r="H2894" t="s">
        <v>24</v>
      </c>
      <c r="I2894" s="13">
        <v>-1341.11</v>
      </c>
      <c r="J2894">
        <v>100.98</v>
      </c>
      <c r="K2894">
        <v>57.38</v>
      </c>
      <c r="L2894" t="s">
        <v>383</v>
      </c>
      <c r="M2894" t="s">
        <v>373</v>
      </c>
      <c r="N2894" s="5" t="s">
        <v>373</v>
      </c>
      <c r="O2894" t="s">
        <v>28</v>
      </c>
      <c r="P2894" t="s">
        <v>32</v>
      </c>
      <c r="Q2894" t="s">
        <v>45</v>
      </c>
      <c r="R2894">
        <v>0.78</v>
      </c>
      <c r="S2894" s="1">
        <v>40595</v>
      </c>
      <c r="T2894" t="str">
        <f t="shared" si="91"/>
        <v>21-Feb-2011</v>
      </c>
    </row>
    <row r="2895" spans="1:20" x14ac:dyDescent="0.3">
      <c r="A2895">
        <v>21541</v>
      </c>
      <c r="B2895" s="1">
        <v>40094</v>
      </c>
      <c r="C2895" t="s">
        <v>31</v>
      </c>
      <c r="D2895" t="str">
        <f t="shared" si="90"/>
        <v>08-Oct-2009</v>
      </c>
      <c r="E2895">
        <v>43</v>
      </c>
      <c r="F2895" s="13">
        <v>3044.7</v>
      </c>
      <c r="G2895">
        <v>0.04</v>
      </c>
      <c r="H2895" t="s">
        <v>24</v>
      </c>
      <c r="I2895" s="13">
        <v>-78.36</v>
      </c>
      <c r="J2895">
        <v>70.98</v>
      </c>
      <c r="K2895">
        <v>26.74</v>
      </c>
      <c r="L2895" t="s">
        <v>315</v>
      </c>
      <c r="M2895" t="s">
        <v>373</v>
      </c>
      <c r="N2895" s="5" t="s">
        <v>373</v>
      </c>
      <c r="O2895" t="s">
        <v>28</v>
      </c>
      <c r="P2895" t="s">
        <v>32</v>
      </c>
      <c r="Q2895" t="s">
        <v>45</v>
      </c>
      <c r="R2895">
        <v>0.6</v>
      </c>
      <c r="S2895" s="1">
        <v>40096</v>
      </c>
      <c r="T2895" t="str">
        <f t="shared" si="91"/>
        <v>10-Oct-2009</v>
      </c>
    </row>
    <row r="2896" spans="1:20" x14ac:dyDescent="0.3">
      <c r="A2896">
        <v>23361</v>
      </c>
      <c r="B2896" s="1">
        <v>40362</v>
      </c>
      <c r="C2896" t="s">
        <v>43</v>
      </c>
      <c r="D2896" t="str">
        <f t="shared" si="90"/>
        <v>03-Jul-2010</v>
      </c>
      <c r="E2896">
        <v>36</v>
      </c>
      <c r="F2896" s="13">
        <v>2861.66</v>
      </c>
      <c r="G2896">
        <v>0.04</v>
      </c>
      <c r="H2896" t="s">
        <v>19</v>
      </c>
      <c r="I2896" s="13">
        <v>-921.68</v>
      </c>
      <c r="J2896">
        <v>80.98</v>
      </c>
      <c r="K2896">
        <v>35</v>
      </c>
      <c r="L2896" t="s">
        <v>306</v>
      </c>
      <c r="M2896" t="s">
        <v>373</v>
      </c>
      <c r="N2896" s="5" t="s">
        <v>373</v>
      </c>
      <c r="O2896" t="s">
        <v>28</v>
      </c>
      <c r="P2896" t="s">
        <v>21</v>
      </c>
      <c r="Q2896" t="s">
        <v>22</v>
      </c>
      <c r="R2896">
        <v>0.81</v>
      </c>
      <c r="S2896" s="1">
        <v>40363</v>
      </c>
      <c r="T2896" t="str">
        <f t="shared" si="91"/>
        <v>04-Jul-2010</v>
      </c>
    </row>
    <row r="2897" spans="1:20" x14ac:dyDescent="0.3">
      <c r="A2897">
        <v>31590</v>
      </c>
      <c r="B2897" s="1">
        <v>40334</v>
      </c>
      <c r="C2897" t="s">
        <v>43</v>
      </c>
      <c r="D2897" t="str">
        <f t="shared" si="90"/>
        <v>05-Jun-2010</v>
      </c>
      <c r="E2897">
        <v>27</v>
      </c>
      <c r="F2897" s="13">
        <v>2854.76</v>
      </c>
      <c r="G2897">
        <v>0.06</v>
      </c>
      <c r="H2897" t="s">
        <v>19</v>
      </c>
      <c r="I2897" s="13">
        <v>61.13</v>
      </c>
      <c r="J2897">
        <v>111.03</v>
      </c>
      <c r="K2897">
        <v>8.64</v>
      </c>
      <c r="L2897" t="s">
        <v>256</v>
      </c>
      <c r="M2897" t="s">
        <v>373</v>
      </c>
      <c r="N2897" s="5" t="s">
        <v>373</v>
      </c>
      <c r="O2897" t="s">
        <v>28</v>
      </c>
      <c r="P2897" t="s">
        <v>21</v>
      </c>
      <c r="Q2897" t="s">
        <v>22</v>
      </c>
      <c r="R2897">
        <v>0.78</v>
      </c>
      <c r="S2897" s="1">
        <v>40336</v>
      </c>
      <c r="T2897" t="str">
        <f t="shared" si="91"/>
        <v>07-Jun-2010</v>
      </c>
    </row>
    <row r="2898" spans="1:20" x14ac:dyDescent="0.3">
      <c r="A2898">
        <v>18466</v>
      </c>
      <c r="B2898" s="1">
        <v>41050</v>
      </c>
      <c r="C2898" t="s">
        <v>18</v>
      </c>
      <c r="D2898" t="str">
        <f t="shared" si="90"/>
        <v>21-May-2012</v>
      </c>
      <c r="E2898">
        <v>24</v>
      </c>
      <c r="F2898" s="13">
        <v>2694.01</v>
      </c>
      <c r="G2898">
        <v>0.08</v>
      </c>
      <c r="H2898" t="s">
        <v>35</v>
      </c>
      <c r="I2898" s="13">
        <v>994.31</v>
      </c>
      <c r="J2898">
        <v>120.97</v>
      </c>
      <c r="K2898">
        <v>7.11</v>
      </c>
      <c r="L2898" t="s">
        <v>245</v>
      </c>
      <c r="M2898" t="s">
        <v>373</v>
      </c>
      <c r="N2898" s="5" t="s">
        <v>373</v>
      </c>
      <c r="O2898" t="s">
        <v>28</v>
      </c>
      <c r="P2898" t="s">
        <v>29</v>
      </c>
      <c r="Q2898" t="s">
        <v>74</v>
      </c>
      <c r="R2898">
        <v>0.36</v>
      </c>
      <c r="S2898" s="1">
        <v>41050</v>
      </c>
      <c r="T2898" t="str">
        <f t="shared" si="91"/>
        <v>21-May-2012</v>
      </c>
    </row>
    <row r="2899" spans="1:20" x14ac:dyDescent="0.3">
      <c r="A2899">
        <v>23427</v>
      </c>
      <c r="B2899" s="1">
        <v>40763</v>
      </c>
      <c r="C2899" t="s">
        <v>18</v>
      </c>
      <c r="D2899" t="str">
        <f t="shared" si="90"/>
        <v>08-Aug-2011</v>
      </c>
      <c r="E2899">
        <v>22</v>
      </c>
      <c r="F2899" s="13">
        <v>2684.98</v>
      </c>
      <c r="G2899">
        <v>0.03</v>
      </c>
      <c r="H2899" t="s">
        <v>19</v>
      </c>
      <c r="I2899" s="13">
        <v>1115.1400000000001</v>
      </c>
      <c r="J2899">
        <v>120.98</v>
      </c>
      <c r="K2899">
        <v>9.07</v>
      </c>
      <c r="L2899" t="s">
        <v>374</v>
      </c>
      <c r="M2899" t="s">
        <v>373</v>
      </c>
      <c r="N2899" s="5" t="s">
        <v>373</v>
      </c>
      <c r="O2899" t="s">
        <v>28</v>
      </c>
      <c r="P2899" t="s">
        <v>21</v>
      </c>
      <c r="Q2899" t="s">
        <v>26</v>
      </c>
      <c r="R2899">
        <v>0.35</v>
      </c>
      <c r="S2899" s="1">
        <v>40772</v>
      </c>
      <c r="T2899" t="str">
        <f t="shared" si="91"/>
        <v>17-Aug-2011</v>
      </c>
    </row>
    <row r="2900" spans="1:20" x14ac:dyDescent="0.3">
      <c r="A2900">
        <v>10245</v>
      </c>
      <c r="B2900" s="1">
        <v>40587</v>
      </c>
      <c r="C2900" t="s">
        <v>38</v>
      </c>
      <c r="D2900" t="str">
        <f t="shared" si="90"/>
        <v>13-Feb-2011</v>
      </c>
      <c r="E2900">
        <v>27</v>
      </c>
      <c r="F2900" s="13">
        <v>2645.88</v>
      </c>
      <c r="G2900">
        <v>0.06</v>
      </c>
      <c r="H2900" t="s">
        <v>24</v>
      </c>
      <c r="I2900" s="13">
        <v>-1231.98</v>
      </c>
      <c r="J2900">
        <v>100.98</v>
      </c>
      <c r="K2900">
        <v>57.38</v>
      </c>
      <c r="L2900" t="s">
        <v>228</v>
      </c>
      <c r="M2900" t="s">
        <v>373</v>
      </c>
      <c r="N2900" s="5" t="s">
        <v>373</v>
      </c>
      <c r="O2900" t="s">
        <v>28</v>
      </c>
      <c r="P2900" t="s">
        <v>32</v>
      </c>
      <c r="Q2900" t="s">
        <v>45</v>
      </c>
      <c r="R2900">
        <v>0.78</v>
      </c>
      <c r="S2900" s="1">
        <v>40588</v>
      </c>
      <c r="T2900" t="str">
        <f t="shared" si="91"/>
        <v>14-Feb-2011</v>
      </c>
    </row>
    <row r="2901" spans="1:20" x14ac:dyDescent="0.3">
      <c r="A2901">
        <v>4230</v>
      </c>
      <c r="B2901" s="1">
        <v>40971</v>
      </c>
      <c r="C2901" t="s">
        <v>43</v>
      </c>
      <c r="D2901" t="str">
        <f t="shared" si="90"/>
        <v>03-Mar-2012</v>
      </c>
      <c r="E2901">
        <v>46</v>
      </c>
      <c r="F2901" s="13">
        <v>2508.3159999999998</v>
      </c>
      <c r="G2901">
        <v>7.0000000000000007E-2</v>
      </c>
      <c r="H2901" t="s">
        <v>35</v>
      </c>
      <c r="I2901" s="13">
        <v>456.81</v>
      </c>
      <c r="J2901">
        <v>65.989999999999995</v>
      </c>
      <c r="K2901">
        <v>8.99</v>
      </c>
      <c r="L2901" t="s">
        <v>380</v>
      </c>
      <c r="M2901" t="s">
        <v>373</v>
      </c>
      <c r="N2901" s="5" t="s">
        <v>373</v>
      </c>
      <c r="O2901" t="s">
        <v>28</v>
      </c>
      <c r="P2901" t="s">
        <v>29</v>
      </c>
      <c r="Q2901" t="s">
        <v>30</v>
      </c>
      <c r="R2901">
        <v>0.56000000000000005</v>
      </c>
      <c r="S2901" s="1">
        <v>40973</v>
      </c>
      <c r="T2901" t="str">
        <f t="shared" si="91"/>
        <v>05-Mar-2012</v>
      </c>
    </row>
    <row r="2902" spans="1:20" x14ac:dyDescent="0.3">
      <c r="A2902">
        <v>12706</v>
      </c>
      <c r="B2902" s="1">
        <v>40137</v>
      </c>
      <c r="C2902" t="s">
        <v>43</v>
      </c>
      <c r="D2902" t="str">
        <f t="shared" si="90"/>
        <v>20-Nov-2009</v>
      </c>
      <c r="E2902">
        <v>46</v>
      </c>
      <c r="F2902" s="13">
        <v>2494.69</v>
      </c>
      <c r="G2902">
        <v>0.09</v>
      </c>
      <c r="H2902" t="s">
        <v>24</v>
      </c>
      <c r="I2902" s="13">
        <v>-937.06</v>
      </c>
      <c r="J2902">
        <v>58.14</v>
      </c>
      <c r="K2902">
        <v>36.61</v>
      </c>
      <c r="L2902" t="s">
        <v>383</v>
      </c>
      <c r="M2902" t="s">
        <v>373</v>
      </c>
      <c r="N2902" s="5" t="s">
        <v>373</v>
      </c>
      <c r="O2902" t="s">
        <v>28</v>
      </c>
      <c r="P2902" t="s">
        <v>32</v>
      </c>
      <c r="Q2902" t="s">
        <v>45</v>
      </c>
      <c r="R2902">
        <v>0.61</v>
      </c>
      <c r="S2902" s="1">
        <v>40138</v>
      </c>
      <c r="T2902" t="str">
        <f t="shared" si="91"/>
        <v>21-Nov-2009</v>
      </c>
    </row>
    <row r="2903" spans="1:20" x14ac:dyDescent="0.3">
      <c r="A2903">
        <v>52002</v>
      </c>
      <c r="B2903" s="1">
        <v>39968</v>
      </c>
      <c r="C2903" t="s">
        <v>23</v>
      </c>
      <c r="D2903" t="str">
        <f t="shared" si="90"/>
        <v>04-Jun-2009</v>
      </c>
      <c r="E2903">
        <v>11</v>
      </c>
      <c r="F2903" s="13">
        <v>2489.85</v>
      </c>
      <c r="G2903">
        <v>0.06</v>
      </c>
      <c r="H2903" t="s">
        <v>24</v>
      </c>
      <c r="I2903" s="13">
        <v>-566.5</v>
      </c>
      <c r="J2903">
        <v>218.75</v>
      </c>
      <c r="K2903">
        <v>69.64</v>
      </c>
      <c r="L2903" t="s">
        <v>376</v>
      </c>
      <c r="M2903" t="s">
        <v>373</v>
      </c>
      <c r="N2903" s="5" t="s">
        <v>373</v>
      </c>
      <c r="O2903" t="s">
        <v>28</v>
      </c>
      <c r="P2903" t="s">
        <v>32</v>
      </c>
      <c r="Q2903" t="s">
        <v>46</v>
      </c>
      <c r="R2903">
        <v>0.77</v>
      </c>
      <c r="S2903" s="1">
        <v>39969</v>
      </c>
      <c r="T2903" t="str">
        <f t="shared" si="91"/>
        <v>05-Jun-2009</v>
      </c>
    </row>
    <row r="2904" spans="1:20" x14ac:dyDescent="0.3">
      <c r="A2904">
        <v>10277</v>
      </c>
      <c r="B2904" s="1">
        <v>39910</v>
      </c>
      <c r="C2904" t="s">
        <v>38</v>
      </c>
      <c r="D2904" t="str">
        <f t="shared" si="90"/>
        <v>07-Apr-2009</v>
      </c>
      <c r="E2904">
        <v>36</v>
      </c>
      <c r="F2904" s="13">
        <v>2144.924</v>
      </c>
      <c r="G2904">
        <v>0</v>
      </c>
      <c r="H2904" t="s">
        <v>19</v>
      </c>
      <c r="I2904" s="13">
        <v>542.25</v>
      </c>
      <c r="J2904">
        <v>65.989999999999995</v>
      </c>
      <c r="K2904">
        <v>5.26</v>
      </c>
      <c r="L2904" t="s">
        <v>267</v>
      </c>
      <c r="M2904" t="s">
        <v>373</v>
      </c>
      <c r="N2904" s="5" t="s">
        <v>373</v>
      </c>
      <c r="O2904" t="s">
        <v>28</v>
      </c>
      <c r="P2904" t="s">
        <v>29</v>
      </c>
      <c r="Q2904" t="s">
        <v>30</v>
      </c>
      <c r="R2904">
        <v>0.59</v>
      </c>
      <c r="S2904" s="1">
        <v>39911</v>
      </c>
      <c r="T2904" t="str">
        <f t="shared" si="91"/>
        <v>08-Apr-2009</v>
      </c>
    </row>
    <row r="2905" spans="1:20" x14ac:dyDescent="0.3">
      <c r="A2905">
        <v>12039</v>
      </c>
      <c r="B2905" s="1">
        <v>40345</v>
      </c>
      <c r="C2905" t="s">
        <v>23</v>
      </c>
      <c r="D2905" t="str">
        <f t="shared" si="90"/>
        <v>16-Jun-2010</v>
      </c>
      <c r="E2905">
        <v>13</v>
      </c>
      <c r="F2905" s="13">
        <v>2048.5680000000002</v>
      </c>
      <c r="G2905">
        <v>0.1</v>
      </c>
      <c r="H2905" t="s">
        <v>19</v>
      </c>
      <c r="I2905" s="13">
        <v>-259.99</v>
      </c>
      <c r="J2905">
        <v>205.99</v>
      </c>
      <c r="K2905">
        <v>8.99</v>
      </c>
      <c r="L2905" t="s">
        <v>218</v>
      </c>
      <c r="M2905" t="s">
        <v>373</v>
      </c>
      <c r="N2905" s="5" t="s">
        <v>373</v>
      </c>
      <c r="O2905" t="s">
        <v>28</v>
      </c>
      <c r="P2905" t="s">
        <v>29</v>
      </c>
      <c r="Q2905" t="s">
        <v>30</v>
      </c>
      <c r="R2905">
        <v>0.56000000000000005</v>
      </c>
      <c r="S2905" s="1">
        <v>40347</v>
      </c>
      <c r="T2905" t="str">
        <f t="shared" si="91"/>
        <v>18-Jun-2010</v>
      </c>
    </row>
    <row r="2906" spans="1:20" x14ac:dyDescent="0.3">
      <c r="A2906">
        <v>5702</v>
      </c>
      <c r="B2906" s="1">
        <v>40427</v>
      </c>
      <c r="C2906" t="s">
        <v>31</v>
      </c>
      <c r="D2906" t="str">
        <f t="shared" si="90"/>
        <v>06-Sep-2010</v>
      </c>
      <c r="E2906">
        <v>20</v>
      </c>
      <c r="F2906" s="13">
        <v>2039.39</v>
      </c>
      <c r="G2906">
        <v>0.01</v>
      </c>
      <c r="H2906" t="s">
        <v>19</v>
      </c>
      <c r="I2906" s="13">
        <v>199.73</v>
      </c>
      <c r="J2906">
        <v>99.99</v>
      </c>
      <c r="K2906">
        <v>19.989999999999998</v>
      </c>
      <c r="L2906" t="s">
        <v>267</v>
      </c>
      <c r="M2906" t="s">
        <v>373</v>
      </c>
      <c r="N2906" s="5" t="s">
        <v>373</v>
      </c>
      <c r="O2906" t="s">
        <v>28</v>
      </c>
      <c r="P2906" t="s">
        <v>29</v>
      </c>
      <c r="Q2906" t="s">
        <v>41</v>
      </c>
      <c r="R2906">
        <v>0.52</v>
      </c>
      <c r="S2906" s="1">
        <v>40429</v>
      </c>
      <c r="T2906" t="str">
        <f t="shared" si="91"/>
        <v>08-Sep-2010</v>
      </c>
    </row>
    <row r="2907" spans="1:20" x14ac:dyDescent="0.3">
      <c r="A2907">
        <v>7938</v>
      </c>
      <c r="B2907" s="1">
        <v>40250</v>
      </c>
      <c r="C2907" t="s">
        <v>38</v>
      </c>
      <c r="D2907" t="str">
        <f t="shared" si="90"/>
        <v>13-Mar-2010</v>
      </c>
      <c r="E2907">
        <v>16</v>
      </c>
      <c r="F2907" s="13">
        <v>2026.05</v>
      </c>
      <c r="G2907">
        <v>0.1</v>
      </c>
      <c r="H2907" t="s">
        <v>24</v>
      </c>
      <c r="I2907" s="13">
        <v>-357.65</v>
      </c>
      <c r="J2907">
        <v>135.99</v>
      </c>
      <c r="K2907">
        <v>28.63</v>
      </c>
      <c r="L2907" t="s">
        <v>218</v>
      </c>
      <c r="M2907" t="s">
        <v>373</v>
      </c>
      <c r="N2907" s="5" t="s">
        <v>373</v>
      </c>
      <c r="O2907" t="s">
        <v>28</v>
      </c>
      <c r="P2907" t="s">
        <v>32</v>
      </c>
      <c r="Q2907" t="s">
        <v>56</v>
      </c>
      <c r="R2907">
        <v>0.76</v>
      </c>
      <c r="S2907" s="1">
        <v>40252</v>
      </c>
      <c r="T2907" t="str">
        <f t="shared" si="91"/>
        <v>15-Mar-2010</v>
      </c>
    </row>
    <row r="2908" spans="1:20" x14ac:dyDescent="0.3">
      <c r="A2908">
        <v>19943</v>
      </c>
      <c r="B2908" s="1">
        <v>40141</v>
      </c>
      <c r="C2908" t="s">
        <v>43</v>
      </c>
      <c r="D2908" t="str">
        <f t="shared" si="90"/>
        <v>24-Nov-2009</v>
      </c>
      <c r="E2908">
        <v>16</v>
      </c>
      <c r="F2908" s="13">
        <v>1959.92</v>
      </c>
      <c r="G2908">
        <v>7.0000000000000007E-2</v>
      </c>
      <c r="H2908" t="s">
        <v>24</v>
      </c>
      <c r="I2908" s="13">
        <v>-374.96</v>
      </c>
      <c r="J2908">
        <v>124.49</v>
      </c>
      <c r="K2908">
        <v>51.94</v>
      </c>
      <c r="L2908" t="s">
        <v>306</v>
      </c>
      <c r="M2908" t="s">
        <v>373</v>
      </c>
      <c r="N2908" s="5" t="s">
        <v>373</v>
      </c>
      <c r="O2908" t="s">
        <v>28</v>
      </c>
      <c r="P2908" t="s">
        <v>32</v>
      </c>
      <c r="Q2908" t="s">
        <v>46</v>
      </c>
      <c r="R2908">
        <v>0.63</v>
      </c>
      <c r="S2908" s="1">
        <v>40142</v>
      </c>
      <c r="T2908" t="str">
        <f t="shared" si="91"/>
        <v>25-Nov-2009</v>
      </c>
    </row>
    <row r="2909" spans="1:20" x14ac:dyDescent="0.3">
      <c r="A2909">
        <v>19041</v>
      </c>
      <c r="B2909" s="1">
        <v>40750</v>
      </c>
      <c r="C2909" t="s">
        <v>18</v>
      </c>
      <c r="D2909" t="str">
        <f t="shared" si="90"/>
        <v>26-Jul-2011</v>
      </c>
      <c r="E2909">
        <v>43</v>
      </c>
      <c r="F2909" s="13">
        <v>1849.8</v>
      </c>
      <c r="G2909">
        <v>0.04</v>
      </c>
      <c r="H2909" t="s">
        <v>19</v>
      </c>
      <c r="I2909" s="13">
        <v>530.22</v>
      </c>
      <c r="J2909">
        <v>42.98</v>
      </c>
      <c r="K2909">
        <v>4.62</v>
      </c>
      <c r="L2909" t="s">
        <v>267</v>
      </c>
      <c r="M2909" t="s">
        <v>373</v>
      </c>
      <c r="N2909" s="5" t="s">
        <v>373</v>
      </c>
      <c r="O2909" t="s">
        <v>28</v>
      </c>
      <c r="P2909" t="s">
        <v>21</v>
      </c>
      <c r="Q2909" t="s">
        <v>25</v>
      </c>
      <c r="R2909">
        <v>0.56000000000000005</v>
      </c>
      <c r="S2909" s="1">
        <v>40759</v>
      </c>
      <c r="T2909" t="str">
        <f t="shared" si="91"/>
        <v>04-Aug-2011</v>
      </c>
    </row>
    <row r="2910" spans="1:20" x14ac:dyDescent="0.3">
      <c r="A2910">
        <v>13991</v>
      </c>
      <c r="B2910" s="1">
        <v>40974</v>
      </c>
      <c r="C2910" t="s">
        <v>23</v>
      </c>
      <c r="D2910" t="str">
        <f t="shared" si="90"/>
        <v>06-Mar-2012</v>
      </c>
      <c r="E2910">
        <v>21</v>
      </c>
      <c r="F2910" s="13">
        <v>1839.4480000000001</v>
      </c>
      <c r="G2910">
        <v>7.0000000000000007E-2</v>
      </c>
      <c r="H2910" t="s">
        <v>19</v>
      </c>
      <c r="I2910" s="13">
        <v>-742.88</v>
      </c>
      <c r="J2910">
        <v>111.96</v>
      </c>
      <c r="K2910">
        <v>69</v>
      </c>
      <c r="L2910" t="s">
        <v>233</v>
      </c>
      <c r="M2910" t="s">
        <v>373</v>
      </c>
      <c r="N2910" s="5" t="s">
        <v>373</v>
      </c>
      <c r="O2910" t="s">
        <v>28</v>
      </c>
      <c r="P2910" t="s">
        <v>32</v>
      </c>
      <c r="Q2910" t="s">
        <v>46</v>
      </c>
      <c r="R2910">
        <v>0.63</v>
      </c>
      <c r="S2910" s="1">
        <v>40975</v>
      </c>
      <c r="T2910" t="str">
        <f t="shared" si="91"/>
        <v>07-Mar-2012</v>
      </c>
    </row>
    <row r="2911" spans="1:20" x14ac:dyDescent="0.3">
      <c r="A2911">
        <v>3328</v>
      </c>
      <c r="B2911" s="1">
        <v>41231</v>
      </c>
      <c r="C2911" t="s">
        <v>18</v>
      </c>
      <c r="D2911" t="str">
        <f t="shared" si="90"/>
        <v>18-Nov-2012</v>
      </c>
      <c r="E2911">
        <v>12</v>
      </c>
      <c r="F2911" s="13">
        <v>1736.41</v>
      </c>
      <c r="G2911">
        <v>0.1</v>
      </c>
      <c r="H2911" t="s">
        <v>24</v>
      </c>
      <c r="I2911" s="13">
        <v>-762.44</v>
      </c>
      <c r="J2911">
        <v>146.05000000000001</v>
      </c>
      <c r="K2911">
        <v>80.2</v>
      </c>
      <c r="L2911" t="s">
        <v>378</v>
      </c>
      <c r="M2911" t="s">
        <v>373</v>
      </c>
      <c r="N2911" s="5" t="s">
        <v>373</v>
      </c>
      <c r="O2911" t="s">
        <v>28</v>
      </c>
      <c r="P2911" t="s">
        <v>32</v>
      </c>
      <c r="Q2911" t="s">
        <v>46</v>
      </c>
      <c r="R2911">
        <v>0.71</v>
      </c>
      <c r="S2911" s="1">
        <v>41238</v>
      </c>
      <c r="T2911" t="str">
        <f t="shared" si="91"/>
        <v>25-Nov-2012</v>
      </c>
    </row>
    <row r="2912" spans="1:20" x14ac:dyDescent="0.3">
      <c r="A2912">
        <v>12486</v>
      </c>
      <c r="B2912" s="1">
        <v>40594</v>
      </c>
      <c r="C2912" t="s">
        <v>23</v>
      </c>
      <c r="D2912" t="str">
        <f t="shared" si="90"/>
        <v>20-Feb-2011</v>
      </c>
      <c r="E2912">
        <v>42</v>
      </c>
      <c r="F2912" s="13">
        <v>1692.56</v>
      </c>
      <c r="G2912">
        <v>0.04</v>
      </c>
      <c r="H2912" t="s">
        <v>19</v>
      </c>
      <c r="I2912" s="13">
        <v>275.5</v>
      </c>
      <c r="J2912">
        <v>40.98</v>
      </c>
      <c r="K2912">
        <v>7.2</v>
      </c>
      <c r="L2912" t="s">
        <v>383</v>
      </c>
      <c r="M2912" t="s">
        <v>373</v>
      </c>
      <c r="N2912" s="5" t="s">
        <v>373</v>
      </c>
      <c r="O2912" t="s">
        <v>28</v>
      </c>
      <c r="P2912" t="s">
        <v>21</v>
      </c>
      <c r="Q2912" t="s">
        <v>25</v>
      </c>
      <c r="R2912">
        <v>0.6</v>
      </c>
      <c r="S2912" s="1">
        <v>40595</v>
      </c>
      <c r="T2912" t="str">
        <f t="shared" si="91"/>
        <v>21-Feb-2011</v>
      </c>
    </row>
    <row r="2913" spans="1:20" x14ac:dyDescent="0.3">
      <c r="A2913">
        <v>8999</v>
      </c>
      <c r="B2913" s="1">
        <v>39976</v>
      </c>
      <c r="C2913" t="s">
        <v>23</v>
      </c>
      <c r="D2913" t="str">
        <f t="shared" si="90"/>
        <v>12-Jun-2009</v>
      </c>
      <c r="E2913">
        <v>28</v>
      </c>
      <c r="F2913" s="13">
        <v>1676.48</v>
      </c>
      <c r="G2913">
        <v>0</v>
      </c>
      <c r="H2913" t="s">
        <v>19</v>
      </c>
      <c r="I2913" s="13">
        <v>590.35</v>
      </c>
      <c r="J2913">
        <v>55.48</v>
      </c>
      <c r="K2913">
        <v>14.3</v>
      </c>
      <c r="L2913" t="s">
        <v>252</v>
      </c>
      <c r="M2913" t="s">
        <v>373</v>
      </c>
      <c r="N2913" s="5" t="s">
        <v>373</v>
      </c>
      <c r="O2913" t="s">
        <v>28</v>
      </c>
      <c r="P2913" t="s">
        <v>21</v>
      </c>
      <c r="Q2913" t="s">
        <v>37</v>
      </c>
      <c r="R2913">
        <v>0.37</v>
      </c>
      <c r="S2913" s="1">
        <v>39978</v>
      </c>
      <c r="T2913" t="str">
        <f t="shared" si="91"/>
        <v>14-Jun-2009</v>
      </c>
    </row>
    <row r="2914" spans="1:20" x14ac:dyDescent="0.3">
      <c r="A2914">
        <v>22913</v>
      </c>
      <c r="B2914" s="1">
        <v>40354</v>
      </c>
      <c r="C2914" t="s">
        <v>43</v>
      </c>
      <c r="D2914" t="str">
        <f t="shared" si="90"/>
        <v>25-Jun-2010</v>
      </c>
      <c r="E2914">
        <v>50</v>
      </c>
      <c r="F2914" s="13">
        <v>1579.028</v>
      </c>
      <c r="G2914">
        <v>0.02</v>
      </c>
      <c r="H2914" t="s">
        <v>19</v>
      </c>
      <c r="I2914" s="13">
        <v>624.98</v>
      </c>
      <c r="J2914">
        <v>35.99</v>
      </c>
      <c r="K2914">
        <v>5.99</v>
      </c>
      <c r="L2914" t="s">
        <v>229</v>
      </c>
      <c r="M2914" t="s">
        <v>373</v>
      </c>
      <c r="N2914" s="5" t="s">
        <v>373</v>
      </c>
      <c r="O2914" t="s">
        <v>28</v>
      </c>
      <c r="P2914" t="s">
        <v>29</v>
      </c>
      <c r="Q2914" t="s">
        <v>30</v>
      </c>
      <c r="R2914">
        <v>0.38</v>
      </c>
      <c r="S2914" s="1">
        <v>40355</v>
      </c>
      <c r="T2914" t="str">
        <f t="shared" si="91"/>
        <v>26-Jun-2010</v>
      </c>
    </row>
    <row r="2915" spans="1:20" x14ac:dyDescent="0.3">
      <c r="A2915">
        <v>21827</v>
      </c>
      <c r="B2915" s="1">
        <v>41222</v>
      </c>
      <c r="C2915" t="s">
        <v>31</v>
      </c>
      <c r="D2915" t="str">
        <f t="shared" si="90"/>
        <v>09-Nov-2012</v>
      </c>
      <c r="E2915">
        <v>21</v>
      </c>
      <c r="F2915" s="13">
        <v>1560.96</v>
      </c>
      <c r="G2915">
        <v>7.0000000000000007E-2</v>
      </c>
      <c r="H2915" t="s">
        <v>35</v>
      </c>
      <c r="I2915" s="13">
        <v>-120.27</v>
      </c>
      <c r="J2915">
        <v>73.98</v>
      </c>
      <c r="K2915">
        <v>4</v>
      </c>
      <c r="L2915" t="s">
        <v>245</v>
      </c>
      <c r="M2915" t="s">
        <v>373</v>
      </c>
      <c r="N2915" s="5" t="s">
        <v>373</v>
      </c>
      <c r="O2915" t="s">
        <v>28</v>
      </c>
      <c r="P2915" t="s">
        <v>29</v>
      </c>
      <c r="Q2915" t="s">
        <v>41</v>
      </c>
      <c r="R2915">
        <v>0.79</v>
      </c>
      <c r="S2915" s="1">
        <v>41223</v>
      </c>
      <c r="T2915" t="str">
        <f t="shared" si="91"/>
        <v>10-Nov-2012</v>
      </c>
    </row>
    <row r="2916" spans="1:20" x14ac:dyDescent="0.3">
      <c r="A2916">
        <v>18402</v>
      </c>
      <c r="B2916" s="1">
        <v>40054</v>
      </c>
      <c r="C2916" t="s">
        <v>18</v>
      </c>
      <c r="D2916" t="str">
        <f t="shared" si="90"/>
        <v>29-Aug-2009</v>
      </c>
      <c r="E2916">
        <v>5</v>
      </c>
      <c r="F2916" s="13">
        <v>1548.45</v>
      </c>
      <c r="G2916">
        <v>0.03</v>
      </c>
      <c r="H2916" t="s">
        <v>24</v>
      </c>
      <c r="I2916" s="13">
        <v>-224.2</v>
      </c>
      <c r="J2916">
        <v>284.98</v>
      </c>
      <c r="K2916">
        <v>69.55</v>
      </c>
      <c r="L2916" t="s">
        <v>245</v>
      </c>
      <c r="M2916" t="s">
        <v>373</v>
      </c>
      <c r="N2916" s="5" t="s">
        <v>373</v>
      </c>
      <c r="O2916" t="s">
        <v>28</v>
      </c>
      <c r="P2916" t="s">
        <v>32</v>
      </c>
      <c r="Q2916" t="s">
        <v>56</v>
      </c>
      <c r="R2916">
        <v>0.6</v>
      </c>
      <c r="S2916" s="1">
        <v>40061</v>
      </c>
      <c r="T2916" t="str">
        <f t="shared" si="91"/>
        <v>05-Sep-2009</v>
      </c>
    </row>
    <row r="2917" spans="1:20" x14ac:dyDescent="0.3">
      <c r="A2917">
        <v>28832</v>
      </c>
      <c r="B2917" s="1">
        <v>40445</v>
      </c>
      <c r="C2917" t="s">
        <v>38</v>
      </c>
      <c r="D2917" t="str">
        <f t="shared" si="90"/>
        <v>24-Sep-2010</v>
      </c>
      <c r="E2917">
        <v>46</v>
      </c>
      <c r="F2917" s="13">
        <v>1500.84</v>
      </c>
      <c r="G2917">
        <v>0.1</v>
      </c>
      <c r="H2917" t="s">
        <v>35</v>
      </c>
      <c r="I2917" s="13">
        <v>91.56</v>
      </c>
      <c r="J2917">
        <v>35.89</v>
      </c>
      <c r="K2917">
        <v>14.72</v>
      </c>
      <c r="L2917" t="s">
        <v>383</v>
      </c>
      <c r="M2917" t="s">
        <v>373</v>
      </c>
      <c r="N2917" s="5" t="s">
        <v>373</v>
      </c>
      <c r="O2917" t="s">
        <v>28</v>
      </c>
      <c r="P2917" t="s">
        <v>21</v>
      </c>
      <c r="Q2917" t="s">
        <v>42</v>
      </c>
      <c r="R2917">
        <v>0.4</v>
      </c>
      <c r="S2917" s="1">
        <v>40446</v>
      </c>
      <c r="T2917" t="str">
        <f t="shared" si="91"/>
        <v>25-Sep-2010</v>
      </c>
    </row>
    <row r="2918" spans="1:20" x14ac:dyDescent="0.3">
      <c r="A2918">
        <v>18530</v>
      </c>
      <c r="B2918" s="1">
        <v>40543</v>
      </c>
      <c r="C2918" t="s">
        <v>31</v>
      </c>
      <c r="D2918" t="str">
        <f t="shared" si="90"/>
        <v>31-Dec-2010</v>
      </c>
      <c r="E2918">
        <v>25</v>
      </c>
      <c r="F2918" s="13">
        <v>1491.5205000000001</v>
      </c>
      <c r="G2918">
        <v>0</v>
      </c>
      <c r="H2918" t="s">
        <v>19</v>
      </c>
      <c r="I2918" s="13">
        <v>286.36</v>
      </c>
      <c r="J2918">
        <v>65.989999999999995</v>
      </c>
      <c r="K2918">
        <v>5.99</v>
      </c>
      <c r="L2918" t="s">
        <v>267</v>
      </c>
      <c r="M2918" t="s">
        <v>373</v>
      </c>
      <c r="N2918" s="5" t="s">
        <v>373</v>
      </c>
      <c r="O2918" t="s">
        <v>28</v>
      </c>
      <c r="P2918" t="s">
        <v>29</v>
      </c>
      <c r="Q2918" t="s">
        <v>30</v>
      </c>
      <c r="R2918">
        <v>0.57999999999999996</v>
      </c>
      <c r="S2918" s="1">
        <v>40545</v>
      </c>
      <c r="T2918" t="str">
        <f t="shared" si="91"/>
        <v>02-Jan-2011</v>
      </c>
    </row>
    <row r="2919" spans="1:20" x14ac:dyDescent="0.3">
      <c r="A2919">
        <v>9091</v>
      </c>
      <c r="B2919" s="1">
        <v>40493</v>
      </c>
      <c r="C2919" t="s">
        <v>23</v>
      </c>
      <c r="D2919" t="str">
        <f t="shared" si="90"/>
        <v>11-Nov-2010</v>
      </c>
      <c r="E2919">
        <v>44</v>
      </c>
      <c r="F2919" s="13">
        <v>1480.91</v>
      </c>
      <c r="G2919">
        <v>0</v>
      </c>
      <c r="H2919" t="s">
        <v>19</v>
      </c>
      <c r="I2919" s="13">
        <v>489.14</v>
      </c>
      <c r="J2919">
        <v>30.98</v>
      </c>
      <c r="K2919">
        <v>8.74</v>
      </c>
      <c r="L2919" t="s">
        <v>378</v>
      </c>
      <c r="M2919" t="s">
        <v>373</v>
      </c>
      <c r="N2919" s="5" t="s">
        <v>373</v>
      </c>
      <c r="O2919" t="s">
        <v>28</v>
      </c>
      <c r="P2919" t="s">
        <v>21</v>
      </c>
      <c r="Q2919" t="s">
        <v>37</v>
      </c>
      <c r="R2919">
        <v>0.4</v>
      </c>
      <c r="S2919" s="1">
        <v>40494</v>
      </c>
      <c r="T2919" t="str">
        <f t="shared" si="91"/>
        <v>12-Nov-2010</v>
      </c>
    </row>
    <row r="2920" spans="1:20" x14ac:dyDescent="0.3">
      <c r="A2920">
        <v>31461</v>
      </c>
      <c r="B2920" s="1">
        <v>40721</v>
      </c>
      <c r="C2920" t="s">
        <v>38</v>
      </c>
      <c r="D2920" t="str">
        <f t="shared" si="90"/>
        <v>27-Jun-2011</v>
      </c>
      <c r="E2920">
        <v>26</v>
      </c>
      <c r="F2920" s="13">
        <v>1463.42</v>
      </c>
      <c r="G2920">
        <v>0.08</v>
      </c>
      <c r="H2920" t="s">
        <v>19</v>
      </c>
      <c r="I2920" s="13">
        <v>350.82</v>
      </c>
      <c r="J2920">
        <v>59.98</v>
      </c>
      <c r="K2920">
        <v>3.99</v>
      </c>
      <c r="L2920" t="s">
        <v>378</v>
      </c>
      <c r="M2920" t="s">
        <v>373</v>
      </c>
      <c r="N2920" s="5" t="s">
        <v>373</v>
      </c>
      <c r="O2920" t="s">
        <v>28</v>
      </c>
      <c r="P2920" t="s">
        <v>21</v>
      </c>
      <c r="Q2920" t="s">
        <v>25</v>
      </c>
      <c r="R2920">
        <v>0.56999999999999995</v>
      </c>
      <c r="S2920" s="1">
        <v>40723</v>
      </c>
      <c r="T2920" t="str">
        <f t="shared" si="91"/>
        <v>29-Jun-2011</v>
      </c>
    </row>
    <row r="2921" spans="1:20" x14ac:dyDescent="0.3">
      <c r="A2921">
        <v>14851</v>
      </c>
      <c r="B2921" s="1">
        <v>41040</v>
      </c>
      <c r="C2921" t="s">
        <v>31</v>
      </c>
      <c r="D2921" t="str">
        <f t="shared" si="90"/>
        <v>11-May-2012</v>
      </c>
      <c r="E2921">
        <v>26</v>
      </c>
      <c r="F2921" s="13">
        <v>1443.2660000000001</v>
      </c>
      <c r="G2921">
        <v>0.08</v>
      </c>
      <c r="H2921" t="s">
        <v>19</v>
      </c>
      <c r="I2921" s="13">
        <v>156.11000000000001</v>
      </c>
      <c r="J2921">
        <v>65.989999999999995</v>
      </c>
      <c r="K2921">
        <v>8.99</v>
      </c>
      <c r="L2921" t="s">
        <v>386</v>
      </c>
      <c r="M2921" t="s">
        <v>373</v>
      </c>
      <c r="N2921" s="5" t="s">
        <v>373</v>
      </c>
      <c r="O2921" t="s">
        <v>28</v>
      </c>
      <c r="P2921" t="s">
        <v>29</v>
      </c>
      <c r="Q2921" t="s">
        <v>30</v>
      </c>
      <c r="R2921">
        <v>0.56000000000000005</v>
      </c>
      <c r="S2921" s="1">
        <v>41042</v>
      </c>
      <c r="T2921" t="str">
        <f t="shared" si="91"/>
        <v>13-May-2012</v>
      </c>
    </row>
    <row r="2922" spans="1:20" x14ac:dyDescent="0.3">
      <c r="A2922">
        <v>14439</v>
      </c>
      <c r="B2922" s="1">
        <v>41151</v>
      </c>
      <c r="C2922" t="s">
        <v>23</v>
      </c>
      <c r="D2922" t="str">
        <f t="shared" si="90"/>
        <v>30-Aug-2012</v>
      </c>
      <c r="E2922">
        <v>27</v>
      </c>
      <c r="F2922" s="13">
        <v>1428.64</v>
      </c>
      <c r="G2922">
        <v>0.09</v>
      </c>
      <c r="H2922" t="s">
        <v>19</v>
      </c>
      <c r="I2922" s="13">
        <v>494.26</v>
      </c>
      <c r="J2922">
        <v>54.96</v>
      </c>
      <c r="K2922">
        <v>10.75</v>
      </c>
      <c r="L2922" t="s">
        <v>376</v>
      </c>
      <c r="M2922" t="s">
        <v>373</v>
      </c>
      <c r="N2922" s="5" t="s">
        <v>373</v>
      </c>
      <c r="O2922" t="s">
        <v>28</v>
      </c>
      <c r="P2922" t="s">
        <v>21</v>
      </c>
      <c r="Q2922" t="s">
        <v>37</v>
      </c>
      <c r="R2922">
        <v>0.36</v>
      </c>
      <c r="S2922" s="1">
        <v>41152</v>
      </c>
      <c r="T2922" t="str">
        <f t="shared" si="91"/>
        <v>31-Aug-2012</v>
      </c>
    </row>
    <row r="2923" spans="1:20" x14ac:dyDescent="0.3">
      <c r="A2923">
        <v>21827</v>
      </c>
      <c r="B2923" s="1">
        <v>41222</v>
      </c>
      <c r="C2923" t="s">
        <v>31</v>
      </c>
      <c r="D2923" t="str">
        <f t="shared" si="90"/>
        <v>09-Nov-2012</v>
      </c>
      <c r="E2923">
        <v>25</v>
      </c>
      <c r="F2923" s="13">
        <v>1351.78</v>
      </c>
      <c r="G2923">
        <v>0.06</v>
      </c>
      <c r="H2923" t="s">
        <v>19</v>
      </c>
      <c r="I2923" s="13">
        <v>109.92</v>
      </c>
      <c r="J2923">
        <v>56.96</v>
      </c>
      <c r="K2923">
        <v>13.22</v>
      </c>
      <c r="L2923" t="s">
        <v>245</v>
      </c>
      <c r="M2923" t="s">
        <v>373</v>
      </c>
      <c r="N2923" s="5" t="s">
        <v>373</v>
      </c>
      <c r="O2923" t="s">
        <v>28</v>
      </c>
      <c r="P2923" t="s">
        <v>21</v>
      </c>
      <c r="Q2923" t="s">
        <v>25</v>
      </c>
      <c r="R2923">
        <v>0.56000000000000005</v>
      </c>
      <c r="S2923" s="1">
        <v>41224</v>
      </c>
      <c r="T2923" t="str">
        <f t="shared" si="91"/>
        <v>11-Nov-2012</v>
      </c>
    </row>
    <row r="2924" spans="1:20" x14ac:dyDescent="0.3">
      <c r="A2924">
        <v>1637</v>
      </c>
      <c r="B2924" s="1">
        <v>40581</v>
      </c>
      <c r="C2924" t="s">
        <v>31</v>
      </c>
      <c r="D2924" t="str">
        <f t="shared" si="90"/>
        <v>07-Feb-2011</v>
      </c>
      <c r="E2924">
        <v>47</v>
      </c>
      <c r="F2924" s="13">
        <v>1348.57</v>
      </c>
      <c r="G2924">
        <v>0.08</v>
      </c>
      <c r="H2924" t="s">
        <v>19</v>
      </c>
      <c r="I2924" s="13">
        <v>19.57</v>
      </c>
      <c r="J2924">
        <v>30.98</v>
      </c>
      <c r="K2924">
        <v>8.99</v>
      </c>
      <c r="L2924" t="s">
        <v>353</v>
      </c>
      <c r="M2924" t="s">
        <v>373</v>
      </c>
      <c r="N2924" s="5" t="s">
        <v>373</v>
      </c>
      <c r="O2924" t="s">
        <v>28</v>
      </c>
      <c r="P2924" t="s">
        <v>21</v>
      </c>
      <c r="Q2924" t="s">
        <v>50</v>
      </c>
      <c r="R2924">
        <v>0.57999999999999996</v>
      </c>
      <c r="S2924" s="1">
        <v>40583</v>
      </c>
      <c r="T2924" t="str">
        <f t="shared" si="91"/>
        <v>09-Feb-2011</v>
      </c>
    </row>
    <row r="2925" spans="1:20" x14ac:dyDescent="0.3">
      <c r="A2925">
        <v>21988</v>
      </c>
      <c r="B2925" s="1">
        <v>40265</v>
      </c>
      <c r="C2925" t="s">
        <v>38</v>
      </c>
      <c r="D2925" t="str">
        <f t="shared" si="90"/>
        <v>28-Mar-2010</v>
      </c>
      <c r="E2925">
        <v>4</v>
      </c>
      <c r="F2925" s="13">
        <v>1337.19</v>
      </c>
      <c r="G2925">
        <v>0.06</v>
      </c>
      <c r="H2925" t="s">
        <v>24</v>
      </c>
      <c r="I2925" s="13">
        <v>-431.45</v>
      </c>
      <c r="J2925">
        <v>328.14</v>
      </c>
      <c r="K2925">
        <v>91.05</v>
      </c>
      <c r="L2925" t="s">
        <v>381</v>
      </c>
      <c r="M2925" t="s">
        <v>373</v>
      </c>
      <c r="N2925" s="5" t="s">
        <v>373</v>
      </c>
      <c r="O2925" t="s">
        <v>28</v>
      </c>
      <c r="P2925" t="s">
        <v>21</v>
      </c>
      <c r="Q2925" t="s">
        <v>25</v>
      </c>
      <c r="R2925">
        <v>0.56999999999999995</v>
      </c>
      <c r="S2925" s="1">
        <v>40267</v>
      </c>
      <c r="T2925" t="str">
        <f t="shared" si="91"/>
        <v>30-Mar-2010</v>
      </c>
    </row>
    <row r="2926" spans="1:20" x14ac:dyDescent="0.3">
      <c r="A2926">
        <v>23395</v>
      </c>
      <c r="B2926" s="1">
        <v>41209</v>
      </c>
      <c r="C2926" t="s">
        <v>38</v>
      </c>
      <c r="D2926" t="str">
        <f t="shared" si="90"/>
        <v>27-Oct-2012</v>
      </c>
      <c r="E2926">
        <v>31</v>
      </c>
      <c r="F2926" s="13">
        <v>1296.46</v>
      </c>
      <c r="G2926">
        <v>0.01</v>
      </c>
      <c r="H2926" t="s">
        <v>19</v>
      </c>
      <c r="I2926" s="13">
        <v>376.47</v>
      </c>
      <c r="J2926">
        <v>39.479999999999997</v>
      </c>
      <c r="K2926">
        <v>1.99</v>
      </c>
      <c r="L2926" t="s">
        <v>211</v>
      </c>
      <c r="M2926" t="s">
        <v>373</v>
      </c>
      <c r="N2926" s="5" t="s">
        <v>373</v>
      </c>
      <c r="O2926" t="s">
        <v>28</v>
      </c>
      <c r="P2926" t="s">
        <v>29</v>
      </c>
      <c r="Q2926" t="s">
        <v>41</v>
      </c>
      <c r="R2926">
        <v>0.54</v>
      </c>
      <c r="S2926" s="1">
        <v>41211</v>
      </c>
      <c r="T2926" t="str">
        <f t="shared" si="91"/>
        <v>29-Oct-2012</v>
      </c>
    </row>
    <row r="2927" spans="1:20" x14ac:dyDescent="0.3">
      <c r="A2927">
        <v>26464</v>
      </c>
      <c r="B2927" s="1">
        <v>40888</v>
      </c>
      <c r="C2927" t="s">
        <v>23</v>
      </c>
      <c r="D2927" t="str">
        <f t="shared" si="90"/>
        <v>11-Dec-2011</v>
      </c>
      <c r="E2927">
        <v>26</v>
      </c>
      <c r="F2927" s="13">
        <v>1280.6500000000001</v>
      </c>
      <c r="G2927">
        <v>0.06</v>
      </c>
      <c r="H2927" t="s">
        <v>19</v>
      </c>
      <c r="I2927" s="13">
        <v>75.36</v>
      </c>
      <c r="J2927">
        <v>50.98</v>
      </c>
      <c r="K2927">
        <v>22.24</v>
      </c>
      <c r="L2927" t="s">
        <v>380</v>
      </c>
      <c r="M2927" t="s">
        <v>373</v>
      </c>
      <c r="N2927" s="5" t="s">
        <v>373</v>
      </c>
      <c r="O2927" t="s">
        <v>28</v>
      </c>
      <c r="P2927" t="s">
        <v>32</v>
      </c>
      <c r="Q2927" t="s">
        <v>33</v>
      </c>
      <c r="R2927">
        <v>0.55000000000000004</v>
      </c>
      <c r="S2927" s="1">
        <v>40889</v>
      </c>
      <c r="T2927" t="str">
        <f t="shared" si="91"/>
        <v>12-Dec-2011</v>
      </c>
    </row>
    <row r="2928" spans="1:20" x14ac:dyDescent="0.3">
      <c r="A2928">
        <v>1888</v>
      </c>
      <c r="B2928" s="1">
        <v>40481</v>
      </c>
      <c r="C2928" t="s">
        <v>31</v>
      </c>
      <c r="D2928" t="str">
        <f t="shared" si="90"/>
        <v>30-Oct-2010</v>
      </c>
      <c r="E2928">
        <v>38</v>
      </c>
      <c r="F2928" s="13">
        <v>1264.46</v>
      </c>
      <c r="G2928">
        <v>0</v>
      </c>
      <c r="H2928" t="s">
        <v>24</v>
      </c>
      <c r="I2928" s="13">
        <v>-1249.3900000000001</v>
      </c>
      <c r="J2928">
        <v>31.76</v>
      </c>
      <c r="K2928">
        <v>45.51</v>
      </c>
      <c r="L2928" t="s">
        <v>311</v>
      </c>
      <c r="M2928" t="s">
        <v>373</v>
      </c>
      <c r="N2928" s="5" t="s">
        <v>373</v>
      </c>
      <c r="O2928" t="s">
        <v>28</v>
      </c>
      <c r="P2928" t="s">
        <v>32</v>
      </c>
      <c r="Q2928" t="s">
        <v>46</v>
      </c>
      <c r="R2928">
        <v>0.65</v>
      </c>
      <c r="S2928" s="1">
        <v>40481</v>
      </c>
      <c r="T2928" t="str">
        <f t="shared" si="91"/>
        <v>30-Oct-2010</v>
      </c>
    </row>
    <row r="2929" spans="1:20" x14ac:dyDescent="0.3">
      <c r="A2929">
        <v>1637</v>
      </c>
      <c r="B2929" s="1">
        <v>40581</v>
      </c>
      <c r="C2929" t="s">
        <v>31</v>
      </c>
      <c r="D2929" t="str">
        <f t="shared" si="90"/>
        <v>07-Feb-2011</v>
      </c>
      <c r="E2929">
        <v>36</v>
      </c>
      <c r="F2929" s="13">
        <v>1225.52</v>
      </c>
      <c r="G2929">
        <v>0.1</v>
      </c>
      <c r="H2929" t="s">
        <v>35</v>
      </c>
      <c r="I2929" s="13">
        <v>-1191.1300000000001</v>
      </c>
      <c r="J2929">
        <v>35.479999999999997</v>
      </c>
      <c r="K2929">
        <v>35</v>
      </c>
      <c r="L2929" t="s">
        <v>353</v>
      </c>
      <c r="M2929" t="s">
        <v>373</v>
      </c>
      <c r="N2929" s="5" t="s">
        <v>373</v>
      </c>
      <c r="O2929" t="s">
        <v>28</v>
      </c>
      <c r="P2929" t="s">
        <v>21</v>
      </c>
      <c r="Q2929" t="s">
        <v>22</v>
      </c>
      <c r="R2929">
        <v>0.85</v>
      </c>
      <c r="S2929" s="1">
        <v>40581</v>
      </c>
      <c r="T2929" t="str">
        <f t="shared" si="91"/>
        <v>07-Feb-2011</v>
      </c>
    </row>
    <row r="2930" spans="1:20" x14ac:dyDescent="0.3">
      <c r="A2930">
        <v>448</v>
      </c>
      <c r="B2930" s="1">
        <v>40775</v>
      </c>
      <c r="C2930" t="s">
        <v>38</v>
      </c>
      <c r="D2930" t="str">
        <f t="shared" si="90"/>
        <v>20-Aug-2011</v>
      </c>
      <c r="E2930">
        <v>22</v>
      </c>
      <c r="F2930" s="13">
        <v>1162.4005</v>
      </c>
      <c r="G2930">
        <v>0.09</v>
      </c>
      <c r="H2930" t="s">
        <v>19</v>
      </c>
      <c r="I2930" s="13">
        <v>-284.63</v>
      </c>
      <c r="J2930">
        <v>65.989999999999995</v>
      </c>
      <c r="K2930">
        <v>19.989999999999998</v>
      </c>
      <c r="L2930" t="s">
        <v>232</v>
      </c>
      <c r="M2930" t="s">
        <v>373</v>
      </c>
      <c r="N2930" s="5" t="s">
        <v>373</v>
      </c>
      <c r="O2930" t="s">
        <v>28</v>
      </c>
      <c r="P2930" t="s">
        <v>29</v>
      </c>
      <c r="Q2930" t="s">
        <v>30</v>
      </c>
      <c r="R2930">
        <v>0.59</v>
      </c>
      <c r="S2930" s="1">
        <v>40777</v>
      </c>
      <c r="T2930" t="str">
        <f t="shared" si="91"/>
        <v>22-Aug-2011</v>
      </c>
    </row>
    <row r="2931" spans="1:20" x14ac:dyDescent="0.3">
      <c r="A2931">
        <v>12930</v>
      </c>
      <c r="B2931" s="1">
        <v>40871</v>
      </c>
      <c r="C2931" t="s">
        <v>23</v>
      </c>
      <c r="D2931" t="str">
        <f t="shared" si="90"/>
        <v>24-Nov-2011</v>
      </c>
      <c r="E2931">
        <v>49</v>
      </c>
      <c r="F2931" s="13">
        <v>1147.6400000000001</v>
      </c>
      <c r="G2931">
        <v>0.06</v>
      </c>
      <c r="H2931" t="s">
        <v>19</v>
      </c>
      <c r="I2931" s="13">
        <v>261.87</v>
      </c>
      <c r="J2931">
        <v>22.98</v>
      </c>
      <c r="K2931">
        <v>4.5</v>
      </c>
      <c r="L2931" t="s">
        <v>267</v>
      </c>
      <c r="M2931" t="s">
        <v>373</v>
      </c>
      <c r="N2931" s="5" t="s">
        <v>373</v>
      </c>
      <c r="O2931" t="s">
        <v>28</v>
      </c>
      <c r="P2931" t="s">
        <v>21</v>
      </c>
      <c r="Q2931" t="s">
        <v>25</v>
      </c>
      <c r="R2931">
        <v>0.55000000000000004</v>
      </c>
      <c r="S2931" s="1">
        <v>40872</v>
      </c>
      <c r="T2931" t="str">
        <f t="shared" si="91"/>
        <v>25-Nov-2011</v>
      </c>
    </row>
    <row r="2932" spans="1:20" x14ac:dyDescent="0.3">
      <c r="A2932">
        <v>18819</v>
      </c>
      <c r="B2932" s="1">
        <v>39869</v>
      </c>
      <c r="C2932" t="s">
        <v>18</v>
      </c>
      <c r="D2932" t="str">
        <f t="shared" si="90"/>
        <v>25-Feb-2009</v>
      </c>
      <c r="E2932">
        <v>22</v>
      </c>
      <c r="F2932" s="13">
        <v>1102.3</v>
      </c>
      <c r="G2932">
        <v>0.1</v>
      </c>
      <c r="H2932" t="s">
        <v>19</v>
      </c>
      <c r="I2932" s="13">
        <v>98.12</v>
      </c>
      <c r="J2932">
        <v>50.98</v>
      </c>
      <c r="K2932">
        <v>22.24</v>
      </c>
      <c r="L2932" t="s">
        <v>226</v>
      </c>
      <c r="M2932" t="s">
        <v>373</v>
      </c>
      <c r="N2932" s="5" t="s">
        <v>373</v>
      </c>
      <c r="O2932" t="s">
        <v>28</v>
      </c>
      <c r="P2932" t="s">
        <v>32</v>
      </c>
      <c r="Q2932" t="s">
        <v>33</v>
      </c>
      <c r="R2932">
        <v>0.55000000000000004</v>
      </c>
      <c r="S2932" s="1">
        <v>39871</v>
      </c>
      <c r="T2932" t="str">
        <f t="shared" si="91"/>
        <v>27-Feb-2009</v>
      </c>
    </row>
    <row r="2933" spans="1:20" x14ac:dyDescent="0.3">
      <c r="A2933">
        <v>5472</v>
      </c>
      <c r="B2933" s="1">
        <v>40278</v>
      </c>
      <c r="C2933" t="s">
        <v>18</v>
      </c>
      <c r="D2933" t="str">
        <f t="shared" si="90"/>
        <v>10-Apr-2010</v>
      </c>
      <c r="E2933">
        <v>12</v>
      </c>
      <c r="F2933" s="13">
        <v>1098.1489999999999</v>
      </c>
      <c r="G2933">
        <v>0.09</v>
      </c>
      <c r="H2933" t="s">
        <v>19</v>
      </c>
      <c r="I2933" s="13">
        <v>-182.97</v>
      </c>
      <c r="J2933">
        <v>115.99</v>
      </c>
      <c r="K2933">
        <v>5.92</v>
      </c>
      <c r="L2933" t="s">
        <v>219</v>
      </c>
      <c r="M2933" t="s">
        <v>373</v>
      </c>
      <c r="N2933" s="5" t="s">
        <v>373</v>
      </c>
      <c r="O2933" t="s">
        <v>28</v>
      </c>
      <c r="P2933" t="s">
        <v>29</v>
      </c>
      <c r="Q2933" t="s">
        <v>30</v>
      </c>
      <c r="R2933">
        <v>0.57999999999999996</v>
      </c>
      <c r="S2933" s="1">
        <v>40280</v>
      </c>
      <c r="T2933" t="str">
        <f t="shared" si="91"/>
        <v>12-Apr-2010</v>
      </c>
    </row>
    <row r="2934" spans="1:20" x14ac:dyDescent="0.3">
      <c r="A2934">
        <v>1637</v>
      </c>
      <c r="B2934" s="1">
        <v>40581</v>
      </c>
      <c r="C2934" t="s">
        <v>31</v>
      </c>
      <c r="D2934" t="str">
        <f t="shared" si="90"/>
        <v>07-Feb-2011</v>
      </c>
      <c r="E2934">
        <v>10</v>
      </c>
      <c r="F2934" s="13">
        <v>1024.29</v>
      </c>
      <c r="G2934">
        <v>7.0000000000000007E-2</v>
      </c>
      <c r="H2934" t="s">
        <v>19</v>
      </c>
      <c r="I2934" s="13">
        <v>-95.52</v>
      </c>
      <c r="J2934">
        <v>99.99</v>
      </c>
      <c r="K2934">
        <v>19.989999999999998</v>
      </c>
      <c r="L2934" t="s">
        <v>353</v>
      </c>
      <c r="M2934" t="s">
        <v>373</v>
      </c>
      <c r="N2934" s="5" t="s">
        <v>373</v>
      </c>
      <c r="O2934" t="s">
        <v>28</v>
      </c>
      <c r="P2934" t="s">
        <v>29</v>
      </c>
      <c r="Q2934" t="s">
        <v>41</v>
      </c>
      <c r="R2934">
        <v>0.52</v>
      </c>
      <c r="S2934" s="1">
        <v>40581</v>
      </c>
      <c r="T2934" t="str">
        <f t="shared" si="91"/>
        <v>07-Feb-2011</v>
      </c>
    </row>
    <row r="2935" spans="1:20" x14ac:dyDescent="0.3">
      <c r="A2935">
        <v>10562</v>
      </c>
      <c r="B2935" s="1">
        <v>40128</v>
      </c>
      <c r="C2935" t="s">
        <v>31</v>
      </c>
      <c r="D2935" t="str">
        <f t="shared" si="90"/>
        <v>11-Nov-2009</v>
      </c>
      <c r="E2935">
        <v>10</v>
      </c>
      <c r="F2935" s="13">
        <v>994.04</v>
      </c>
      <c r="G2935">
        <v>0.03</v>
      </c>
      <c r="H2935" t="s">
        <v>19</v>
      </c>
      <c r="I2935" s="13">
        <v>-335.06</v>
      </c>
      <c r="J2935">
        <v>95.99</v>
      </c>
      <c r="K2935">
        <v>35</v>
      </c>
      <c r="L2935" t="s">
        <v>231</v>
      </c>
      <c r="M2935" t="s">
        <v>373</v>
      </c>
      <c r="N2935" s="5" t="s">
        <v>373</v>
      </c>
      <c r="O2935" t="s">
        <v>28</v>
      </c>
      <c r="P2935" t="s">
        <v>21</v>
      </c>
      <c r="Q2935" t="s">
        <v>22</v>
      </c>
      <c r="S2935" s="1">
        <v>40129</v>
      </c>
      <c r="T2935" t="str">
        <f t="shared" si="91"/>
        <v>12-Nov-2009</v>
      </c>
    </row>
    <row r="2936" spans="1:20" x14ac:dyDescent="0.3">
      <c r="A2936">
        <v>31460</v>
      </c>
      <c r="B2936" s="1">
        <v>41147</v>
      </c>
      <c r="C2936" t="s">
        <v>23</v>
      </c>
      <c r="D2936" t="str">
        <f t="shared" si="90"/>
        <v>26-Aug-2012</v>
      </c>
      <c r="E2936">
        <v>9</v>
      </c>
      <c r="F2936" s="13">
        <v>990.67</v>
      </c>
      <c r="G2936">
        <v>0.08</v>
      </c>
      <c r="H2936" t="s">
        <v>19</v>
      </c>
      <c r="I2936" s="13">
        <v>-365.32</v>
      </c>
      <c r="J2936">
        <v>110.98</v>
      </c>
      <c r="K2936">
        <v>35</v>
      </c>
      <c r="L2936" t="s">
        <v>306</v>
      </c>
      <c r="M2936" t="s">
        <v>373</v>
      </c>
      <c r="N2936" s="5" t="s">
        <v>373</v>
      </c>
      <c r="O2936" t="s">
        <v>28</v>
      </c>
      <c r="P2936" t="s">
        <v>21</v>
      </c>
      <c r="Q2936" t="s">
        <v>22</v>
      </c>
      <c r="R2936">
        <v>0.82</v>
      </c>
      <c r="S2936" s="1">
        <v>41149</v>
      </c>
      <c r="T2936" t="str">
        <f t="shared" si="91"/>
        <v>28-Aug-2012</v>
      </c>
    </row>
    <row r="2937" spans="1:20" x14ac:dyDescent="0.3">
      <c r="A2937">
        <v>15111</v>
      </c>
      <c r="B2937" s="1">
        <v>40164</v>
      </c>
      <c r="C2937" t="s">
        <v>31</v>
      </c>
      <c r="D2937" t="str">
        <f t="shared" si="90"/>
        <v>17-Dec-2009</v>
      </c>
      <c r="E2937">
        <v>13</v>
      </c>
      <c r="F2937" s="13">
        <v>970.47</v>
      </c>
      <c r="G2937">
        <v>0.1</v>
      </c>
      <c r="H2937" t="s">
        <v>19</v>
      </c>
      <c r="I2937" s="13">
        <v>192.38</v>
      </c>
      <c r="J2937">
        <v>81.319999999999993</v>
      </c>
      <c r="K2937">
        <v>0.99</v>
      </c>
      <c r="L2937" t="s">
        <v>386</v>
      </c>
      <c r="M2937" t="s">
        <v>373</v>
      </c>
      <c r="N2937" s="5" t="s">
        <v>373</v>
      </c>
      <c r="O2937" t="s">
        <v>28</v>
      </c>
      <c r="P2937" t="s">
        <v>21</v>
      </c>
      <c r="Q2937" t="s">
        <v>25</v>
      </c>
      <c r="R2937">
        <v>0.56999999999999995</v>
      </c>
      <c r="S2937" s="1">
        <v>40166</v>
      </c>
      <c r="T2937" t="str">
        <f t="shared" si="91"/>
        <v>19-Dec-2009</v>
      </c>
    </row>
    <row r="2938" spans="1:20" x14ac:dyDescent="0.3">
      <c r="A2938">
        <v>25797</v>
      </c>
      <c r="B2938" s="1">
        <v>41153</v>
      </c>
      <c r="C2938" t="s">
        <v>31</v>
      </c>
      <c r="D2938" t="str">
        <f t="shared" si="90"/>
        <v>01-Sep-2012</v>
      </c>
      <c r="E2938">
        <v>28</v>
      </c>
      <c r="F2938" s="13">
        <v>925.43</v>
      </c>
      <c r="G2938">
        <v>0</v>
      </c>
      <c r="H2938" t="s">
        <v>19</v>
      </c>
      <c r="I2938" s="13">
        <v>368.86</v>
      </c>
      <c r="J2938">
        <v>31.78</v>
      </c>
      <c r="K2938">
        <v>1.99</v>
      </c>
      <c r="L2938" t="s">
        <v>379</v>
      </c>
      <c r="M2938" t="s">
        <v>373</v>
      </c>
      <c r="N2938" s="5" t="s">
        <v>373</v>
      </c>
      <c r="O2938" t="s">
        <v>28</v>
      </c>
      <c r="P2938" t="s">
        <v>29</v>
      </c>
      <c r="Q2938" t="s">
        <v>41</v>
      </c>
      <c r="R2938">
        <v>0.42</v>
      </c>
      <c r="S2938" s="1">
        <v>41155</v>
      </c>
      <c r="T2938" t="str">
        <f t="shared" si="91"/>
        <v>03-Sep-2012</v>
      </c>
    </row>
    <row r="2939" spans="1:20" x14ac:dyDescent="0.3">
      <c r="A2939">
        <v>5189</v>
      </c>
      <c r="B2939" s="1">
        <v>40507</v>
      </c>
      <c r="C2939" t="s">
        <v>18</v>
      </c>
      <c r="D2939" t="str">
        <f t="shared" si="90"/>
        <v>25-Nov-2010</v>
      </c>
      <c r="E2939">
        <v>12</v>
      </c>
      <c r="F2939" s="13">
        <v>900.06</v>
      </c>
      <c r="G2939">
        <v>0.05</v>
      </c>
      <c r="H2939" t="s">
        <v>19</v>
      </c>
      <c r="I2939" s="13">
        <v>-221.12</v>
      </c>
      <c r="J2939">
        <v>73.98</v>
      </c>
      <c r="K2939">
        <v>14.52</v>
      </c>
      <c r="L2939" t="s">
        <v>241</v>
      </c>
      <c r="M2939" t="s">
        <v>373</v>
      </c>
      <c r="N2939" s="5" t="s">
        <v>373</v>
      </c>
      <c r="O2939" t="s">
        <v>28</v>
      </c>
      <c r="P2939" t="s">
        <v>29</v>
      </c>
      <c r="Q2939" t="s">
        <v>41</v>
      </c>
      <c r="R2939">
        <v>0.65</v>
      </c>
      <c r="S2939" s="1">
        <v>40514</v>
      </c>
      <c r="T2939" t="str">
        <f t="shared" si="91"/>
        <v>02-Dec-2010</v>
      </c>
    </row>
    <row r="2940" spans="1:20" x14ac:dyDescent="0.3">
      <c r="A2940">
        <v>50978</v>
      </c>
      <c r="B2940" s="1">
        <v>40999</v>
      </c>
      <c r="C2940" t="s">
        <v>23</v>
      </c>
      <c r="D2940" t="str">
        <f t="shared" si="90"/>
        <v>31-Mar-2012</v>
      </c>
      <c r="E2940">
        <v>4</v>
      </c>
      <c r="F2940" s="13">
        <v>816.09</v>
      </c>
      <c r="G2940">
        <v>0.05</v>
      </c>
      <c r="H2940" t="s">
        <v>19</v>
      </c>
      <c r="I2940" s="13">
        <v>-150.29</v>
      </c>
      <c r="J2940">
        <v>210.55</v>
      </c>
      <c r="K2940">
        <v>9.99</v>
      </c>
      <c r="L2940" t="s">
        <v>376</v>
      </c>
      <c r="M2940" t="s">
        <v>373</v>
      </c>
      <c r="N2940" s="5" t="s">
        <v>373</v>
      </c>
      <c r="O2940" t="s">
        <v>28</v>
      </c>
      <c r="P2940" t="s">
        <v>21</v>
      </c>
      <c r="Q2940" t="s">
        <v>22</v>
      </c>
      <c r="R2940">
        <v>0.6</v>
      </c>
      <c r="S2940" s="1">
        <v>41001</v>
      </c>
      <c r="T2940" t="str">
        <f t="shared" si="91"/>
        <v>02-Apr-2012</v>
      </c>
    </row>
    <row r="2941" spans="1:20" x14ac:dyDescent="0.3">
      <c r="A2941">
        <v>6566</v>
      </c>
      <c r="B2941" s="1">
        <v>40684</v>
      </c>
      <c r="C2941" t="s">
        <v>43</v>
      </c>
      <c r="D2941" t="str">
        <f t="shared" si="90"/>
        <v>21-May-2011</v>
      </c>
      <c r="E2941">
        <v>21</v>
      </c>
      <c r="F2941" s="13">
        <v>748.83</v>
      </c>
      <c r="G2941">
        <v>0.01</v>
      </c>
      <c r="H2941" t="s">
        <v>19</v>
      </c>
      <c r="I2941" s="13">
        <v>250.01</v>
      </c>
      <c r="J2941">
        <v>33.979999999999997</v>
      </c>
      <c r="K2941">
        <v>1.99</v>
      </c>
      <c r="L2941" t="s">
        <v>311</v>
      </c>
      <c r="M2941" t="s">
        <v>373</v>
      </c>
      <c r="N2941" s="5" t="s">
        <v>373</v>
      </c>
      <c r="O2941" t="s">
        <v>28</v>
      </c>
      <c r="P2941" t="s">
        <v>29</v>
      </c>
      <c r="Q2941" t="s">
        <v>41</v>
      </c>
      <c r="R2941">
        <v>0.45</v>
      </c>
      <c r="S2941" s="1">
        <v>40684</v>
      </c>
      <c r="T2941" t="str">
        <f t="shared" si="91"/>
        <v>21-May-2011</v>
      </c>
    </row>
    <row r="2942" spans="1:20" x14ac:dyDescent="0.3">
      <c r="A2942">
        <v>13602</v>
      </c>
      <c r="B2942" s="1">
        <v>39826</v>
      </c>
      <c r="C2942" t="s">
        <v>18</v>
      </c>
      <c r="D2942" t="str">
        <f t="shared" si="90"/>
        <v>13-Jan-2009</v>
      </c>
      <c r="E2942">
        <v>13</v>
      </c>
      <c r="F2942" s="13">
        <v>660.99</v>
      </c>
      <c r="G2942">
        <v>0.02</v>
      </c>
      <c r="H2942" t="s">
        <v>19</v>
      </c>
      <c r="I2942" s="13">
        <v>267.67</v>
      </c>
      <c r="J2942">
        <v>48.04</v>
      </c>
      <c r="K2942">
        <v>5.09</v>
      </c>
      <c r="L2942" t="s">
        <v>205</v>
      </c>
      <c r="M2942" t="s">
        <v>373</v>
      </c>
      <c r="N2942" s="5" t="s">
        <v>373</v>
      </c>
      <c r="O2942" t="s">
        <v>28</v>
      </c>
      <c r="P2942" t="s">
        <v>21</v>
      </c>
      <c r="Q2942" t="s">
        <v>37</v>
      </c>
      <c r="R2942">
        <v>0.37</v>
      </c>
      <c r="S2942" s="1">
        <v>39826</v>
      </c>
      <c r="T2942" t="str">
        <f t="shared" si="91"/>
        <v>13-Jan-2009</v>
      </c>
    </row>
    <row r="2943" spans="1:20" x14ac:dyDescent="0.3">
      <c r="A2943">
        <v>6054</v>
      </c>
      <c r="B2943" s="1">
        <v>40794</v>
      </c>
      <c r="C2943" t="s">
        <v>18</v>
      </c>
      <c r="D2943" t="str">
        <f t="shared" si="90"/>
        <v>08-Sep-2011</v>
      </c>
      <c r="E2943">
        <v>43</v>
      </c>
      <c r="F2943" s="13">
        <v>643.30999999999995</v>
      </c>
      <c r="G2943">
        <v>0.08</v>
      </c>
      <c r="H2943" t="s">
        <v>35</v>
      </c>
      <c r="I2943" s="13">
        <v>-231.34</v>
      </c>
      <c r="J2943">
        <v>15.42</v>
      </c>
      <c r="K2943">
        <v>10.68</v>
      </c>
      <c r="L2943" t="s">
        <v>353</v>
      </c>
      <c r="M2943" t="s">
        <v>373</v>
      </c>
      <c r="N2943" s="5" t="s">
        <v>373</v>
      </c>
      <c r="O2943" t="s">
        <v>28</v>
      </c>
      <c r="P2943" t="s">
        <v>21</v>
      </c>
      <c r="Q2943" t="s">
        <v>22</v>
      </c>
      <c r="R2943">
        <v>0.57999999999999996</v>
      </c>
      <c r="S2943" s="1">
        <v>40799</v>
      </c>
      <c r="T2943" t="str">
        <f t="shared" si="91"/>
        <v>13-Sep-2011</v>
      </c>
    </row>
    <row r="2944" spans="1:20" x14ac:dyDescent="0.3">
      <c r="A2944">
        <v>10080</v>
      </c>
      <c r="B2944" s="1">
        <v>40221</v>
      </c>
      <c r="C2944" t="s">
        <v>18</v>
      </c>
      <c r="D2944" t="str">
        <f t="shared" si="90"/>
        <v>12-Feb-2010</v>
      </c>
      <c r="E2944">
        <v>20</v>
      </c>
      <c r="F2944" s="13">
        <v>637.04</v>
      </c>
      <c r="G2944">
        <v>0</v>
      </c>
      <c r="H2944" t="s">
        <v>19</v>
      </c>
      <c r="I2944" s="13">
        <v>-26.83</v>
      </c>
      <c r="J2944">
        <v>30.73</v>
      </c>
      <c r="K2944">
        <v>4</v>
      </c>
      <c r="L2944" t="s">
        <v>267</v>
      </c>
      <c r="M2944" t="s">
        <v>373</v>
      </c>
      <c r="N2944" s="5" t="s">
        <v>373</v>
      </c>
      <c r="O2944" t="s">
        <v>28</v>
      </c>
      <c r="P2944" t="s">
        <v>29</v>
      </c>
      <c r="Q2944" t="s">
        <v>41</v>
      </c>
      <c r="R2944">
        <v>0.75</v>
      </c>
      <c r="S2944" s="1">
        <v>40228</v>
      </c>
      <c r="T2944" t="str">
        <f t="shared" si="91"/>
        <v>19-Feb-2010</v>
      </c>
    </row>
    <row r="2945" spans="1:20" x14ac:dyDescent="0.3">
      <c r="A2945">
        <v>9091</v>
      </c>
      <c r="B2945" s="1">
        <v>40493</v>
      </c>
      <c r="C2945" t="s">
        <v>23</v>
      </c>
      <c r="D2945" t="str">
        <f t="shared" si="90"/>
        <v>11-Nov-2010</v>
      </c>
      <c r="E2945">
        <v>42</v>
      </c>
      <c r="F2945" s="13">
        <v>605.77</v>
      </c>
      <c r="G2945">
        <v>0.05</v>
      </c>
      <c r="H2945" t="s">
        <v>19</v>
      </c>
      <c r="I2945" s="13">
        <v>129.33000000000001</v>
      </c>
      <c r="J2945">
        <v>14.34</v>
      </c>
      <c r="K2945">
        <v>5</v>
      </c>
      <c r="L2945" t="s">
        <v>378</v>
      </c>
      <c r="M2945" t="s">
        <v>373</v>
      </c>
      <c r="N2945" s="5" t="s">
        <v>373</v>
      </c>
      <c r="O2945" t="s">
        <v>28</v>
      </c>
      <c r="P2945" t="s">
        <v>32</v>
      </c>
      <c r="Q2945" t="s">
        <v>33</v>
      </c>
      <c r="R2945">
        <v>0.49</v>
      </c>
      <c r="S2945" s="1">
        <v>40494</v>
      </c>
      <c r="T2945" t="str">
        <f t="shared" si="91"/>
        <v>12-Nov-2010</v>
      </c>
    </row>
    <row r="2946" spans="1:20" x14ac:dyDescent="0.3">
      <c r="A2946">
        <v>9092</v>
      </c>
      <c r="B2946" s="1">
        <v>40018</v>
      </c>
      <c r="C2946" t="s">
        <v>31</v>
      </c>
      <c r="D2946" t="str">
        <f t="shared" ref="D2946:D3009" si="92">TEXT(B2946, "dd-mmm-yyyy" )</f>
        <v>24-Jul-2009</v>
      </c>
      <c r="E2946">
        <v>8</v>
      </c>
      <c r="F2946" s="13">
        <v>599.20749999999998</v>
      </c>
      <c r="G2946">
        <v>0.1</v>
      </c>
      <c r="H2946" t="s">
        <v>19</v>
      </c>
      <c r="I2946" s="13">
        <v>-268.66000000000003</v>
      </c>
      <c r="J2946">
        <v>95.99</v>
      </c>
      <c r="K2946">
        <v>4.9000000000000004</v>
      </c>
      <c r="L2946" t="s">
        <v>381</v>
      </c>
      <c r="M2946" t="s">
        <v>373</v>
      </c>
      <c r="N2946" s="5" t="s">
        <v>373</v>
      </c>
      <c r="O2946" t="s">
        <v>28</v>
      </c>
      <c r="P2946" t="s">
        <v>29</v>
      </c>
      <c r="Q2946" t="s">
        <v>30</v>
      </c>
      <c r="R2946">
        <v>0.56000000000000005</v>
      </c>
      <c r="S2946" s="1">
        <v>40019</v>
      </c>
      <c r="T2946" t="str">
        <f t="shared" ref="T2946:T3009" si="93">TEXT(S2946, "dd-mmm-yyyy")</f>
        <v>25-Jul-2009</v>
      </c>
    </row>
    <row r="2947" spans="1:20" x14ac:dyDescent="0.3">
      <c r="A2947">
        <v>10146</v>
      </c>
      <c r="B2947" s="1">
        <v>39934</v>
      </c>
      <c r="C2947" t="s">
        <v>18</v>
      </c>
      <c r="D2947" t="str">
        <f t="shared" si="92"/>
        <v>01-May-2009</v>
      </c>
      <c r="E2947">
        <v>19</v>
      </c>
      <c r="F2947" s="13">
        <v>596.21</v>
      </c>
      <c r="G2947">
        <v>0.1</v>
      </c>
      <c r="H2947" t="s">
        <v>19</v>
      </c>
      <c r="I2947" s="13">
        <v>211.59</v>
      </c>
      <c r="J2947">
        <v>34.229999999999997</v>
      </c>
      <c r="K2947">
        <v>5.0199999999999996</v>
      </c>
      <c r="L2947" t="s">
        <v>241</v>
      </c>
      <c r="M2947" t="s">
        <v>373</v>
      </c>
      <c r="N2947" s="5" t="s">
        <v>373</v>
      </c>
      <c r="O2947" t="s">
        <v>28</v>
      </c>
      <c r="P2947" t="s">
        <v>32</v>
      </c>
      <c r="Q2947" t="s">
        <v>33</v>
      </c>
      <c r="R2947">
        <v>0.55000000000000004</v>
      </c>
      <c r="S2947" s="1">
        <v>39939</v>
      </c>
      <c r="T2947" t="str">
        <f t="shared" si="93"/>
        <v>06-May-2009</v>
      </c>
    </row>
    <row r="2948" spans="1:20" x14ac:dyDescent="0.3">
      <c r="A2948">
        <v>59072</v>
      </c>
      <c r="B2948" s="1">
        <v>39958</v>
      </c>
      <c r="C2948" t="s">
        <v>31</v>
      </c>
      <c r="D2948" t="str">
        <f t="shared" si="92"/>
        <v>25-May-2009</v>
      </c>
      <c r="E2948">
        <v>22</v>
      </c>
      <c r="F2948" s="13">
        <v>576.89</v>
      </c>
      <c r="G2948">
        <v>0.08</v>
      </c>
      <c r="H2948" t="s">
        <v>19</v>
      </c>
      <c r="I2948" s="13">
        <v>175.03</v>
      </c>
      <c r="J2948">
        <v>26.38</v>
      </c>
      <c r="K2948">
        <v>5.58</v>
      </c>
      <c r="L2948" t="s">
        <v>375</v>
      </c>
      <c r="M2948" t="s">
        <v>373</v>
      </c>
      <c r="N2948" s="5" t="s">
        <v>373</v>
      </c>
      <c r="O2948" t="s">
        <v>28</v>
      </c>
      <c r="P2948" t="s">
        <v>21</v>
      </c>
      <c r="Q2948" t="s">
        <v>37</v>
      </c>
      <c r="R2948">
        <v>0.39</v>
      </c>
      <c r="S2948" s="1">
        <v>39959</v>
      </c>
      <c r="T2948" t="str">
        <f t="shared" si="93"/>
        <v>26-May-2009</v>
      </c>
    </row>
    <row r="2949" spans="1:20" x14ac:dyDescent="0.3">
      <c r="A2949">
        <v>13569</v>
      </c>
      <c r="B2949" s="1">
        <v>40643</v>
      </c>
      <c r="C2949" t="s">
        <v>43</v>
      </c>
      <c r="D2949" t="str">
        <f t="shared" si="92"/>
        <v>10-Apr-2011</v>
      </c>
      <c r="E2949">
        <v>13</v>
      </c>
      <c r="F2949" s="13">
        <v>563.17999999999995</v>
      </c>
      <c r="G2949">
        <v>0.02</v>
      </c>
      <c r="H2949" t="s">
        <v>35</v>
      </c>
      <c r="I2949" s="13">
        <v>67.98</v>
      </c>
      <c r="J2949">
        <v>40.98</v>
      </c>
      <c r="K2949">
        <v>7.2</v>
      </c>
      <c r="L2949" t="s">
        <v>218</v>
      </c>
      <c r="M2949" t="s">
        <v>373</v>
      </c>
      <c r="N2949" s="5" t="s">
        <v>373</v>
      </c>
      <c r="O2949" t="s">
        <v>28</v>
      </c>
      <c r="P2949" t="s">
        <v>21</v>
      </c>
      <c r="Q2949" t="s">
        <v>25</v>
      </c>
      <c r="R2949">
        <v>0.6</v>
      </c>
      <c r="S2949" s="1">
        <v>40645</v>
      </c>
      <c r="T2949" t="str">
        <f t="shared" si="93"/>
        <v>12-Apr-2011</v>
      </c>
    </row>
    <row r="2950" spans="1:20" x14ac:dyDescent="0.3">
      <c r="A2950">
        <v>40098</v>
      </c>
      <c r="B2950" s="1">
        <v>40944</v>
      </c>
      <c r="C2950" t="s">
        <v>18</v>
      </c>
      <c r="D2950" t="str">
        <f t="shared" si="92"/>
        <v>05-Feb-2012</v>
      </c>
      <c r="E2950">
        <v>46</v>
      </c>
      <c r="F2950" s="13">
        <v>557.35</v>
      </c>
      <c r="G2950">
        <v>0</v>
      </c>
      <c r="H2950" t="s">
        <v>19</v>
      </c>
      <c r="I2950" s="13">
        <v>-9.19</v>
      </c>
      <c r="J2950">
        <v>11.5</v>
      </c>
      <c r="K2950">
        <v>7.19</v>
      </c>
      <c r="L2950" t="s">
        <v>375</v>
      </c>
      <c r="M2950" t="s">
        <v>373</v>
      </c>
      <c r="N2950" s="5" t="s">
        <v>373</v>
      </c>
      <c r="O2950" t="s">
        <v>28</v>
      </c>
      <c r="P2950" t="s">
        <v>21</v>
      </c>
      <c r="Q2950" t="s">
        <v>26</v>
      </c>
      <c r="R2950">
        <v>0.4</v>
      </c>
      <c r="S2950" s="1">
        <v>40946</v>
      </c>
      <c r="T2950" t="str">
        <f t="shared" si="93"/>
        <v>07-Feb-2012</v>
      </c>
    </row>
    <row r="2951" spans="1:20" x14ac:dyDescent="0.3">
      <c r="A2951">
        <v>25157</v>
      </c>
      <c r="B2951" s="1">
        <v>40323</v>
      </c>
      <c r="C2951" t="s">
        <v>31</v>
      </c>
      <c r="D2951" t="str">
        <f t="shared" si="92"/>
        <v>25-May-2010</v>
      </c>
      <c r="E2951">
        <v>24</v>
      </c>
      <c r="F2951" s="13">
        <v>545.38</v>
      </c>
      <c r="G2951">
        <v>0.02</v>
      </c>
      <c r="H2951" t="s">
        <v>19</v>
      </c>
      <c r="I2951" s="13">
        <v>89.6</v>
      </c>
      <c r="J2951">
        <v>22.84</v>
      </c>
      <c r="K2951">
        <v>8.18</v>
      </c>
      <c r="L2951" t="s">
        <v>244</v>
      </c>
      <c r="M2951" t="s">
        <v>373</v>
      </c>
      <c r="N2951" s="5" t="s">
        <v>373</v>
      </c>
      <c r="O2951" t="s">
        <v>28</v>
      </c>
      <c r="P2951" t="s">
        <v>21</v>
      </c>
      <c r="Q2951" t="s">
        <v>37</v>
      </c>
      <c r="R2951">
        <v>0.39</v>
      </c>
      <c r="S2951" s="1">
        <v>40325</v>
      </c>
      <c r="T2951" t="str">
        <f t="shared" si="93"/>
        <v>27-May-2010</v>
      </c>
    </row>
    <row r="2952" spans="1:20" x14ac:dyDescent="0.3">
      <c r="A2952">
        <v>8576</v>
      </c>
      <c r="B2952" s="1">
        <v>39822</v>
      </c>
      <c r="C2952" t="s">
        <v>23</v>
      </c>
      <c r="D2952" t="str">
        <f t="shared" si="92"/>
        <v>09-Jan-2009</v>
      </c>
      <c r="E2952">
        <v>43</v>
      </c>
      <c r="F2952" s="13">
        <v>541.45000000000005</v>
      </c>
      <c r="G2952">
        <v>0</v>
      </c>
      <c r="H2952" t="s">
        <v>35</v>
      </c>
      <c r="I2952" s="13">
        <v>-164.25</v>
      </c>
      <c r="J2952">
        <v>11.66</v>
      </c>
      <c r="K2952">
        <v>8.99</v>
      </c>
      <c r="L2952" t="s">
        <v>233</v>
      </c>
      <c r="M2952" t="s">
        <v>373</v>
      </c>
      <c r="N2952" s="5" t="s">
        <v>373</v>
      </c>
      <c r="O2952" t="s">
        <v>28</v>
      </c>
      <c r="P2952" t="s">
        <v>21</v>
      </c>
      <c r="Q2952" t="s">
        <v>50</v>
      </c>
      <c r="R2952">
        <v>0.59</v>
      </c>
      <c r="S2952" s="1">
        <v>39824</v>
      </c>
      <c r="T2952" t="str">
        <f t="shared" si="93"/>
        <v>11-Jan-2009</v>
      </c>
    </row>
    <row r="2953" spans="1:20" x14ac:dyDescent="0.3">
      <c r="A2953">
        <v>18849</v>
      </c>
      <c r="B2953" s="1">
        <v>41126</v>
      </c>
      <c r="C2953" t="s">
        <v>23</v>
      </c>
      <c r="D2953" t="str">
        <f t="shared" si="92"/>
        <v>05-Aug-2012</v>
      </c>
      <c r="E2953">
        <v>39</v>
      </c>
      <c r="F2953" s="13">
        <v>539.6</v>
      </c>
      <c r="G2953">
        <v>0.06</v>
      </c>
      <c r="H2953" t="s">
        <v>19</v>
      </c>
      <c r="I2953" s="13">
        <v>-6.5</v>
      </c>
      <c r="J2953">
        <v>13.79</v>
      </c>
      <c r="K2953">
        <v>8.7799999999999994</v>
      </c>
      <c r="L2953" t="s">
        <v>245</v>
      </c>
      <c r="M2953" t="s">
        <v>373</v>
      </c>
      <c r="N2953" s="5" t="s">
        <v>373</v>
      </c>
      <c r="O2953" t="s">
        <v>28</v>
      </c>
      <c r="P2953" t="s">
        <v>32</v>
      </c>
      <c r="Q2953" t="s">
        <v>33</v>
      </c>
      <c r="R2953">
        <v>0.43</v>
      </c>
      <c r="S2953" s="1">
        <v>41128</v>
      </c>
      <c r="T2953" t="str">
        <f t="shared" si="93"/>
        <v>07-Aug-2012</v>
      </c>
    </row>
    <row r="2954" spans="1:20" x14ac:dyDescent="0.3">
      <c r="A2954">
        <v>224</v>
      </c>
      <c r="B2954" s="1">
        <v>39981</v>
      </c>
      <c r="C2954" t="s">
        <v>31</v>
      </c>
      <c r="D2954" t="str">
        <f t="shared" si="92"/>
        <v>17-Jun-2009</v>
      </c>
      <c r="E2954">
        <v>33</v>
      </c>
      <c r="F2954" s="13">
        <v>528.5</v>
      </c>
      <c r="G2954">
        <v>0.04</v>
      </c>
      <c r="H2954" t="s">
        <v>19</v>
      </c>
      <c r="I2954" s="13">
        <v>-149.91999999999999</v>
      </c>
      <c r="J2954">
        <v>15.42</v>
      </c>
      <c r="K2954">
        <v>10.68</v>
      </c>
      <c r="L2954" t="s">
        <v>270</v>
      </c>
      <c r="M2954" t="s">
        <v>373</v>
      </c>
      <c r="N2954" s="5" t="s">
        <v>373</v>
      </c>
      <c r="O2954" t="s">
        <v>28</v>
      </c>
      <c r="P2954" t="s">
        <v>21</v>
      </c>
      <c r="Q2954" t="s">
        <v>22</v>
      </c>
      <c r="R2954">
        <v>0.57999999999999996</v>
      </c>
      <c r="S2954" s="1">
        <v>39982</v>
      </c>
      <c r="T2954" t="str">
        <f t="shared" si="93"/>
        <v>18-Jun-2009</v>
      </c>
    </row>
    <row r="2955" spans="1:20" x14ac:dyDescent="0.3">
      <c r="A2955">
        <v>10052</v>
      </c>
      <c r="B2955" s="1">
        <v>40063</v>
      </c>
      <c r="C2955" t="s">
        <v>31</v>
      </c>
      <c r="D2955" t="str">
        <f t="shared" si="92"/>
        <v>07-Sep-2009</v>
      </c>
      <c r="E2955">
        <v>28</v>
      </c>
      <c r="F2955" s="13">
        <v>517.91</v>
      </c>
      <c r="G2955">
        <v>0.08</v>
      </c>
      <c r="H2955" t="s">
        <v>19</v>
      </c>
      <c r="I2955" s="13">
        <v>107.11</v>
      </c>
      <c r="J2955">
        <v>19.899999999999999</v>
      </c>
      <c r="K2955">
        <v>5.29</v>
      </c>
      <c r="L2955" t="s">
        <v>226</v>
      </c>
      <c r="M2955" t="s">
        <v>373</v>
      </c>
      <c r="N2955" s="5" t="s">
        <v>373</v>
      </c>
      <c r="O2955" t="s">
        <v>28</v>
      </c>
      <c r="P2955" t="s">
        <v>21</v>
      </c>
      <c r="Q2955" t="s">
        <v>25</v>
      </c>
      <c r="R2955">
        <v>0.4</v>
      </c>
      <c r="S2955" s="1">
        <v>40065</v>
      </c>
      <c r="T2955" t="str">
        <f t="shared" si="93"/>
        <v>09-Sep-2009</v>
      </c>
    </row>
    <row r="2956" spans="1:20" x14ac:dyDescent="0.3">
      <c r="A2956">
        <v>13218</v>
      </c>
      <c r="B2956" s="1">
        <v>39949</v>
      </c>
      <c r="C2956" t="s">
        <v>23</v>
      </c>
      <c r="D2956" t="str">
        <f t="shared" si="92"/>
        <v>16-May-2009</v>
      </c>
      <c r="E2956">
        <v>18</v>
      </c>
      <c r="F2956" s="13">
        <v>513.08000000000004</v>
      </c>
      <c r="G2956">
        <v>0.03</v>
      </c>
      <c r="H2956" t="s">
        <v>19</v>
      </c>
      <c r="I2956" s="13">
        <v>198.94</v>
      </c>
      <c r="J2956">
        <v>28.53</v>
      </c>
      <c r="K2956">
        <v>1.49</v>
      </c>
      <c r="L2956" t="s">
        <v>382</v>
      </c>
      <c r="M2956" t="s">
        <v>373</v>
      </c>
      <c r="N2956" s="5" t="s">
        <v>373</v>
      </c>
      <c r="O2956" t="s">
        <v>28</v>
      </c>
      <c r="P2956" t="s">
        <v>21</v>
      </c>
      <c r="Q2956" t="s">
        <v>26</v>
      </c>
      <c r="R2956">
        <v>0.38</v>
      </c>
      <c r="S2956" s="1">
        <v>39950</v>
      </c>
      <c r="T2956" t="str">
        <f t="shared" si="93"/>
        <v>17-May-2009</v>
      </c>
    </row>
    <row r="2957" spans="1:20" x14ac:dyDescent="0.3">
      <c r="A2957">
        <v>28354</v>
      </c>
      <c r="B2957" s="1">
        <v>39899</v>
      </c>
      <c r="C2957" t="s">
        <v>18</v>
      </c>
      <c r="D2957" t="str">
        <f t="shared" si="92"/>
        <v>27-Mar-2009</v>
      </c>
      <c r="E2957">
        <v>34</v>
      </c>
      <c r="F2957" s="13">
        <v>507.66</v>
      </c>
      <c r="G2957">
        <v>0.1</v>
      </c>
      <c r="H2957" t="s">
        <v>19</v>
      </c>
      <c r="I2957" s="13">
        <v>106.71</v>
      </c>
      <c r="J2957">
        <v>15.98</v>
      </c>
      <c r="K2957">
        <v>4</v>
      </c>
      <c r="L2957" t="s">
        <v>383</v>
      </c>
      <c r="M2957" t="s">
        <v>373</v>
      </c>
      <c r="N2957" s="5" t="s">
        <v>373</v>
      </c>
      <c r="O2957" t="s">
        <v>28</v>
      </c>
      <c r="P2957" t="s">
        <v>29</v>
      </c>
      <c r="Q2957" t="s">
        <v>41</v>
      </c>
      <c r="R2957">
        <v>0.37</v>
      </c>
      <c r="S2957" s="1">
        <v>39904</v>
      </c>
      <c r="T2957" t="str">
        <f t="shared" si="93"/>
        <v>01-Apr-2009</v>
      </c>
    </row>
    <row r="2958" spans="1:20" x14ac:dyDescent="0.3">
      <c r="A2958">
        <v>23297</v>
      </c>
      <c r="B2958" s="1">
        <v>41092</v>
      </c>
      <c r="C2958" t="s">
        <v>43</v>
      </c>
      <c r="D2958" t="str">
        <f t="shared" si="92"/>
        <v>02-Jul-2012</v>
      </c>
      <c r="E2958">
        <v>20</v>
      </c>
      <c r="F2958" s="13">
        <v>498.68</v>
      </c>
      <c r="G2958">
        <v>0.06</v>
      </c>
      <c r="H2958" t="s">
        <v>19</v>
      </c>
      <c r="I2958" s="13">
        <v>79.52</v>
      </c>
      <c r="J2958">
        <v>25.98</v>
      </c>
      <c r="K2958">
        <v>5.37</v>
      </c>
      <c r="L2958" t="s">
        <v>378</v>
      </c>
      <c r="M2958" t="s">
        <v>373</v>
      </c>
      <c r="N2958" s="5" t="s">
        <v>373</v>
      </c>
      <c r="O2958" t="s">
        <v>28</v>
      </c>
      <c r="P2958" t="s">
        <v>21</v>
      </c>
      <c r="Q2958" t="s">
        <v>25</v>
      </c>
      <c r="R2958">
        <v>0.5</v>
      </c>
      <c r="S2958" s="1">
        <v>41094</v>
      </c>
      <c r="T2958" t="str">
        <f t="shared" si="93"/>
        <v>04-Jul-2012</v>
      </c>
    </row>
    <row r="2959" spans="1:20" x14ac:dyDescent="0.3">
      <c r="A2959">
        <v>40098</v>
      </c>
      <c r="B2959" s="1">
        <v>40944</v>
      </c>
      <c r="C2959" t="s">
        <v>18</v>
      </c>
      <c r="D2959" t="str">
        <f t="shared" si="92"/>
        <v>05-Feb-2012</v>
      </c>
      <c r="E2959">
        <v>50</v>
      </c>
      <c r="F2959" s="13">
        <v>490.87</v>
      </c>
      <c r="G2959">
        <v>0</v>
      </c>
      <c r="H2959" t="s">
        <v>19</v>
      </c>
      <c r="I2959" s="13">
        <v>190.93</v>
      </c>
      <c r="J2959">
        <v>9.68</v>
      </c>
      <c r="K2959">
        <v>2.0299999999999998</v>
      </c>
      <c r="L2959" t="s">
        <v>375</v>
      </c>
      <c r="M2959" t="s">
        <v>373</v>
      </c>
      <c r="N2959" s="5" t="s">
        <v>373</v>
      </c>
      <c r="O2959" t="s">
        <v>28</v>
      </c>
      <c r="P2959" t="s">
        <v>21</v>
      </c>
      <c r="Q2959" t="s">
        <v>37</v>
      </c>
      <c r="R2959">
        <v>0.37</v>
      </c>
      <c r="S2959" s="1">
        <v>40948</v>
      </c>
      <c r="T2959" t="str">
        <f t="shared" si="93"/>
        <v>09-Feb-2012</v>
      </c>
    </row>
    <row r="2960" spans="1:20" x14ac:dyDescent="0.3">
      <c r="A2960">
        <v>7812</v>
      </c>
      <c r="B2960" s="1">
        <v>40653</v>
      </c>
      <c r="C2960" t="s">
        <v>18</v>
      </c>
      <c r="D2960" t="str">
        <f t="shared" si="92"/>
        <v>20-Apr-2011</v>
      </c>
      <c r="E2960">
        <v>17</v>
      </c>
      <c r="F2960" s="13">
        <v>475.9</v>
      </c>
      <c r="G2960">
        <v>0.04</v>
      </c>
      <c r="H2960" t="s">
        <v>19</v>
      </c>
      <c r="I2960" s="13">
        <v>-5.18</v>
      </c>
      <c r="J2960">
        <v>27.42</v>
      </c>
      <c r="K2960">
        <v>19.46</v>
      </c>
      <c r="L2960" t="s">
        <v>219</v>
      </c>
      <c r="M2960" t="s">
        <v>373</v>
      </c>
      <c r="N2960" s="5" t="s">
        <v>373</v>
      </c>
      <c r="O2960" t="s">
        <v>28</v>
      </c>
      <c r="P2960" t="s">
        <v>32</v>
      </c>
      <c r="Q2960" t="s">
        <v>33</v>
      </c>
      <c r="R2960">
        <v>0.44</v>
      </c>
      <c r="S2960" s="1">
        <v>40660</v>
      </c>
      <c r="T2960" t="str">
        <f t="shared" si="93"/>
        <v>27-Apr-2011</v>
      </c>
    </row>
    <row r="2961" spans="1:20" x14ac:dyDescent="0.3">
      <c r="A2961">
        <v>18849</v>
      </c>
      <c r="B2961" s="1">
        <v>41126</v>
      </c>
      <c r="C2961" t="s">
        <v>23</v>
      </c>
      <c r="D2961" t="str">
        <f t="shared" si="92"/>
        <v>05-Aug-2012</v>
      </c>
      <c r="E2961">
        <v>43</v>
      </c>
      <c r="F2961" s="13">
        <v>471.87</v>
      </c>
      <c r="G2961">
        <v>0.05</v>
      </c>
      <c r="H2961" t="s">
        <v>19</v>
      </c>
      <c r="I2961" s="13">
        <v>52.27</v>
      </c>
      <c r="J2961">
        <v>11.09</v>
      </c>
      <c r="K2961">
        <v>5.25</v>
      </c>
      <c r="L2961" t="s">
        <v>245</v>
      </c>
      <c r="M2961" t="s">
        <v>373</v>
      </c>
      <c r="N2961" s="5" t="s">
        <v>373</v>
      </c>
      <c r="O2961" t="s">
        <v>28</v>
      </c>
      <c r="P2961" t="s">
        <v>21</v>
      </c>
      <c r="Q2961" t="s">
        <v>42</v>
      </c>
      <c r="R2961">
        <v>0.36</v>
      </c>
      <c r="S2961" s="1">
        <v>41126</v>
      </c>
      <c r="T2961" t="str">
        <f t="shared" si="93"/>
        <v>05-Aug-2012</v>
      </c>
    </row>
    <row r="2962" spans="1:20" x14ac:dyDescent="0.3">
      <c r="A2962">
        <v>10213</v>
      </c>
      <c r="B2962" s="1">
        <v>40591</v>
      </c>
      <c r="C2962" t="s">
        <v>23</v>
      </c>
      <c r="D2962" t="str">
        <f t="shared" si="92"/>
        <v>17-Feb-2011</v>
      </c>
      <c r="E2962">
        <v>12</v>
      </c>
      <c r="F2962" s="13">
        <v>464.57</v>
      </c>
      <c r="G2962">
        <v>0.04</v>
      </c>
      <c r="H2962" t="s">
        <v>19</v>
      </c>
      <c r="I2962" s="13">
        <v>-79.180000000000007</v>
      </c>
      <c r="J2962">
        <v>39.979999999999997</v>
      </c>
      <c r="K2962">
        <v>4</v>
      </c>
      <c r="L2962" t="s">
        <v>375</v>
      </c>
      <c r="M2962" t="s">
        <v>373</v>
      </c>
      <c r="N2962" s="5" t="s">
        <v>373</v>
      </c>
      <c r="O2962" t="s">
        <v>28</v>
      </c>
      <c r="P2962" t="s">
        <v>29</v>
      </c>
      <c r="Q2962" t="s">
        <v>41</v>
      </c>
      <c r="R2962">
        <v>0.7</v>
      </c>
      <c r="S2962" s="1">
        <v>40593</v>
      </c>
      <c r="T2962" t="str">
        <f t="shared" si="93"/>
        <v>19-Feb-2011</v>
      </c>
    </row>
    <row r="2963" spans="1:20" x14ac:dyDescent="0.3">
      <c r="A2963">
        <v>4804</v>
      </c>
      <c r="B2963" s="1">
        <v>40935</v>
      </c>
      <c r="C2963" t="s">
        <v>23</v>
      </c>
      <c r="D2963" t="str">
        <f t="shared" si="92"/>
        <v>27-Jan-2012</v>
      </c>
      <c r="E2963">
        <v>13</v>
      </c>
      <c r="F2963" s="13">
        <v>463.83</v>
      </c>
      <c r="G2963">
        <v>0</v>
      </c>
      <c r="H2963" t="s">
        <v>19</v>
      </c>
      <c r="I2963" s="13">
        <v>103.26</v>
      </c>
      <c r="J2963">
        <v>33.979999999999997</v>
      </c>
      <c r="K2963">
        <v>1.99</v>
      </c>
      <c r="L2963" t="s">
        <v>311</v>
      </c>
      <c r="M2963" t="s">
        <v>373</v>
      </c>
      <c r="N2963" s="5" t="s">
        <v>373</v>
      </c>
      <c r="O2963" t="s">
        <v>28</v>
      </c>
      <c r="P2963" t="s">
        <v>29</v>
      </c>
      <c r="Q2963" t="s">
        <v>41</v>
      </c>
      <c r="R2963">
        <v>0.45</v>
      </c>
      <c r="S2963" s="1">
        <v>40936</v>
      </c>
      <c r="T2963" t="str">
        <f t="shared" si="93"/>
        <v>28-Jan-2012</v>
      </c>
    </row>
    <row r="2964" spans="1:20" x14ac:dyDescent="0.3">
      <c r="A2964">
        <v>13602</v>
      </c>
      <c r="B2964" s="1">
        <v>39826</v>
      </c>
      <c r="C2964" t="s">
        <v>18</v>
      </c>
      <c r="D2964" t="str">
        <f t="shared" si="92"/>
        <v>13-Jan-2009</v>
      </c>
      <c r="E2964">
        <v>3</v>
      </c>
      <c r="F2964" s="13">
        <v>445.34</v>
      </c>
      <c r="G2964">
        <v>0.03</v>
      </c>
      <c r="H2964" t="s">
        <v>24</v>
      </c>
      <c r="I2964" s="13">
        <v>-377.9</v>
      </c>
      <c r="J2964">
        <v>145.44999999999999</v>
      </c>
      <c r="K2964">
        <v>17.850000000000001</v>
      </c>
      <c r="L2964" t="s">
        <v>205</v>
      </c>
      <c r="M2964" t="s">
        <v>373</v>
      </c>
      <c r="N2964" s="5" t="s">
        <v>373</v>
      </c>
      <c r="O2964" t="s">
        <v>28</v>
      </c>
      <c r="P2964" t="s">
        <v>29</v>
      </c>
      <c r="Q2964" t="s">
        <v>74</v>
      </c>
      <c r="R2964">
        <v>0.56000000000000005</v>
      </c>
      <c r="S2964" s="1">
        <v>39831</v>
      </c>
      <c r="T2964" t="str">
        <f t="shared" si="93"/>
        <v>18-Jan-2009</v>
      </c>
    </row>
    <row r="2965" spans="1:20" x14ac:dyDescent="0.3">
      <c r="A2965">
        <v>23427</v>
      </c>
      <c r="B2965" s="1">
        <v>40763</v>
      </c>
      <c r="C2965" t="s">
        <v>18</v>
      </c>
      <c r="D2965" t="str">
        <f t="shared" si="92"/>
        <v>08-Aug-2011</v>
      </c>
      <c r="E2965">
        <v>30</v>
      </c>
      <c r="F2965" s="13">
        <v>442.76</v>
      </c>
      <c r="G2965">
        <v>0.09</v>
      </c>
      <c r="H2965" t="s">
        <v>19</v>
      </c>
      <c r="I2965" s="13">
        <v>-17.11</v>
      </c>
      <c r="J2965">
        <v>15.01</v>
      </c>
      <c r="K2965">
        <v>8.4</v>
      </c>
      <c r="L2965" t="s">
        <v>374</v>
      </c>
      <c r="M2965" t="s">
        <v>373</v>
      </c>
      <c r="N2965" s="5" t="s">
        <v>373</v>
      </c>
      <c r="O2965" t="s">
        <v>28</v>
      </c>
      <c r="P2965" t="s">
        <v>21</v>
      </c>
      <c r="Q2965" t="s">
        <v>26</v>
      </c>
      <c r="R2965">
        <v>0.39</v>
      </c>
      <c r="S2965" s="1">
        <v>40770</v>
      </c>
      <c r="T2965" t="str">
        <f t="shared" si="93"/>
        <v>15-Aug-2011</v>
      </c>
    </row>
    <row r="2966" spans="1:20" x14ac:dyDescent="0.3">
      <c r="A2966">
        <v>22466</v>
      </c>
      <c r="B2966" s="1">
        <v>40996</v>
      </c>
      <c r="C2966" t="s">
        <v>18</v>
      </c>
      <c r="D2966" t="str">
        <f t="shared" si="92"/>
        <v>28-Mar-2012</v>
      </c>
      <c r="E2966">
        <v>40</v>
      </c>
      <c r="F2966" s="13">
        <v>430.19</v>
      </c>
      <c r="G2966">
        <v>0.02</v>
      </c>
      <c r="H2966" t="s">
        <v>19</v>
      </c>
      <c r="I2966" s="13">
        <v>181.26</v>
      </c>
      <c r="J2966">
        <v>10.31</v>
      </c>
      <c r="K2966">
        <v>1.79</v>
      </c>
      <c r="L2966" t="s">
        <v>380</v>
      </c>
      <c r="M2966" t="s">
        <v>373</v>
      </c>
      <c r="N2966" s="5" t="s">
        <v>373</v>
      </c>
      <c r="O2966" t="s">
        <v>28</v>
      </c>
      <c r="P2966" t="s">
        <v>21</v>
      </c>
      <c r="Q2966" t="s">
        <v>37</v>
      </c>
      <c r="R2966">
        <v>0.38</v>
      </c>
      <c r="S2966" s="1">
        <v>41003</v>
      </c>
      <c r="T2966" t="str">
        <f t="shared" si="93"/>
        <v>04-Apr-2012</v>
      </c>
    </row>
    <row r="2967" spans="1:20" x14ac:dyDescent="0.3">
      <c r="A2967">
        <v>36640</v>
      </c>
      <c r="B2967" s="1">
        <v>40865</v>
      </c>
      <c r="C2967" t="s">
        <v>31</v>
      </c>
      <c r="D2967" t="str">
        <f t="shared" si="92"/>
        <v>18-Nov-2011</v>
      </c>
      <c r="E2967">
        <v>18</v>
      </c>
      <c r="F2967" s="13">
        <v>416.39</v>
      </c>
      <c r="G2967">
        <v>0.06</v>
      </c>
      <c r="H2967" t="s">
        <v>35</v>
      </c>
      <c r="I2967" s="13">
        <v>119.47</v>
      </c>
      <c r="J2967">
        <v>22.24</v>
      </c>
      <c r="K2967">
        <v>1.99</v>
      </c>
      <c r="L2967" t="s">
        <v>306</v>
      </c>
      <c r="M2967" t="s">
        <v>373</v>
      </c>
      <c r="N2967" s="5" t="s">
        <v>373</v>
      </c>
      <c r="O2967" t="s">
        <v>28</v>
      </c>
      <c r="P2967" t="s">
        <v>29</v>
      </c>
      <c r="Q2967" t="s">
        <v>41</v>
      </c>
      <c r="R2967">
        <v>0.43</v>
      </c>
      <c r="S2967" s="1">
        <v>40867</v>
      </c>
      <c r="T2967" t="str">
        <f t="shared" si="93"/>
        <v>20-Nov-2011</v>
      </c>
    </row>
    <row r="2968" spans="1:20" x14ac:dyDescent="0.3">
      <c r="A2968">
        <v>4230</v>
      </c>
      <c r="B2968" s="1">
        <v>40971</v>
      </c>
      <c r="C2968" t="s">
        <v>43</v>
      </c>
      <c r="D2968" t="str">
        <f t="shared" si="92"/>
        <v>03-Mar-2012</v>
      </c>
      <c r="E2968">
        <v>18</v>
      </c>
      <c r="F2968" s="13">
        <v>409.16</v>
      </c>
      <c r="G2968">
        <v>0.05</v>
      </c>
      <c r="H2968" t="s">
        <v>19</v>
      </c>
      <c r="I2968" s="13">
        <v>21.96</v>
      </c>
      <c r="J2968">
        <v>22.72</v>
      </c>
      <c r="K2968">
        <v>8.99</v>
      </c>
      <c r="L2968" t="s">
        <v>380</v>
      </c>
      <c r="M2968" t="s">
        <v>373</v>
      </c>
      <c r="N2968" s="5" t="s">
        <v>373</v>
      </c>
      <c r="O2968" t="s">
        <v>28</v>
      </c>
      <c r="P2968" t="s">
        <v>32</v>
      </c>
      <c r="Q2968" t="s">
        <v>33</v>
      </c>
      <c r="R2968">
        <v>0.44</v>
      </c>
      <c r="S2968" s="1">
        <v>40972</v>
      </c>
      <c r="T2968" t="str">
        <f t="shared" si="93"/>
        <v>04-Mar-2012</v>
      </c>
    </row>
    <row r="2969" spans="1:20" x14ac:dyDescent="0.3">
      <c r="A2969">
        <v>15616</v>
      </c>
      <c r="B2969" s="1">
        <v>40991</v>
      </c>
      <c r="C2969" t="s">
        <v>43</v>
      </c>
      <c r="D2969" t="str">
        <f t="shared" si="92"/>
        <v>23-Mar-2012</v>
      </c>
      <c r="E2969">
        <v>12</v>
      </c>
      <c r="F2969" s="13">
        <v>386.71</v>
      </c>
      <c r="G2969">
        <v>0.01</v>
      </c>
      <c r="H2969" t="s">
        <v>35</v>
      </c>
      <c r="I2969" s="13">
        <v>-84.12</v>
      </c>
      <c r="J2969">
        <v>30.98</v>
      </c>
      <c r="K2969">
        <v>6.5</v>
      </c>
      <c r="L2969" t="s">
        <v>218</v>
      </c>
      <c r="M2969" t="s">
        <v>373</v>
      </c>
      <c r="N2969" s="5" t="s">
        <v>373</v>
      </c>
      <c r="O2969" t="s">
        <v>28</v>
      </c>
      <c r="P2969" t="s">
        <v>29</v>
      </c>
      <c r="Q2969" t="s">
        <v>41</v>
      </c>
      <c r="R2969">
        <v>0.64</v>
      </c>
      <c r="S2969" s="1">
        <v>40992</v>
      </c>
      <c r="T2969" t="str">
        <f t="shared" si="93"/>
        <v>24-Mar-2012</v>
      </c>
    </row>
    <row r="2970" spans="1:20" x14ac:dyDescent="0.3">
      <c r="A2970">
        <v>26274</v>
      </c>
      <c r="B2970" s="1">
        <v>41072</v>
      </c>
      <c r="C2970" t="s">
        <v>31</v>
      </c>
      <c r="D2970" t="str">
        <f t="shared" si="92"/>
        <v>12-Jun-2012</v>
      </c>
      <c r="E2970">
        <v>41</v>
      </c>
      <c r="F2970" s="13">
        <v>377.83</v>
      </c>
      <c r="G2970">
        <v>0.06</v>
      </c>
      <c r="H2970" t="s">
        <v>19</v>
      </c>
      <c r="I2970" s="13">
        <v>122.06</v>
      </c>
      <c r="J2970">
        <v>9.11</v>
      </c>
      <c r="K2970">
        <v>2.15</v>
      </c>
      <c r="L2970" t="s">
        <v>309</v>
      </c>
      <c r="M2970" t="s">
        <v>373</v>
      </c>
      <c r="N2970" s="5" t="s">
        <v>373</v>
      </c>
      <c r="O2970" t="s">
        <v>28</v>
      </c>
      <c r="P2970" t="s">
        <v>21</v>
      </c>
      <c r="Q2970" t="s">
        <v>37</v>
      </c>
      <c r="R2970">
        <v>0.4</v>
      </c>
      <c r="S2970" s="1">
        <v>41073</v>
      </c>
      <c r="T2970" t="str">
        <f t="shared" si="93"/>
        <v>13-Jun-2012</v>
      </c>
    </row>
    <row r="2971" spans="1:20" x14ac:dyDescent="0.3">
      <c r="A2971">
        <v>23943</v>
      </c>
      <c r="B2971" s="1">
        <v>40717</v>
      </c>
      <c r="C2971" t="s">
        <v>43</v>
      </c>
      <c r="D2971" t="str">
        <f t="shared" si="92"/>
        <v>23-Jun-2011</v>
      </c>
      <c r="E2971">
        <v>24</v>
      </c>
      <c r="F2971" s="13">
        <v>376.53</v>
      </c>
      <c r="G2971">
        <v>0.03</v>
      </c>
      <c r="H2971" t="s">
        <v>19</v>
      </c>
      <c r="I2971" s="13">
        <v>3.44</v>
      </c>
      <c r="J2971">
        <v>15.94</v>
      </c>
      <c r="K2971">
        <v>5.45</v>
      </c>
      <c r="L2971" t="s">
        <v>376</v>
      </c>
      <c r="M2971" t="s">
        <v>373</v>
      </c>
      <c r="N2971" s="5" t="s">
        <v>373</v>
      </c>
      <c r="O2971" t="s">
        <v>28</v>
      </c>
      <c r="P2971" t="s">
        <v>21</v>
      </c>
      <c r="Q2971" t="s">
        <v>50</v>
      </c>
      <c r="R2971">
        <v>0.55000000000000004</v>
      </c>
      <c r="S2971" s="1">
        <v>40719</v>
      </c>
      <c r="T2971" t="str">
        <f t="shared" si="93"/>
        <v>25-Jun-2011</v>
      </c>
    </row>
    <row r="2972" spans="1:20" x14ac:dyDescent="0.3">
      <c r="A2972">
        <v>23361</v>
      </c>
      <c r="B2972" s="1">
        <v>40362</v>
      </c>
      <c r="C2972" t="s">
        <v>43</v>
      </c>
      <c r="D2972" t="str">
        <f t="shared" si="92"/>
        <v>03-Jul-2010</v>
      </c>
      <c r="E2972">
        <v>7</v>
      </c>
      <c r="F2972" s="13">
        <v>373.27749999999997</v>
      </c>
      <c r="G2972">
        <v>7.0000000000000007E-2</v>
      </c>
      <c r="H2972" t="s">
        <v>19</v>
      </c>
      <c r="I2972" s="13">
        <v>-204.93</v>
      </c>
      <c r="J2972">
        <v>65.989999999999995</v>
      </c>
      <c r="K2972">
        <v>5.26</v>
      </c>
      <c r="L2972" t="s">
        <v>306</v>
      </c>
      <c r="M2972" t="s">
        <v>373</v>
      </c>
      <c r="N2972" s="5" t="s">
        <v>373</v>
      </c>
      <c r="O2972" t="s">
        <v>28</v>
      </c>
      <c r="P2972" t="s">
        <v>29</v>
      </c>
      <c r="Q2972" t="s">
        <v>30</v>
      </c>
      <c r="R2972">
        <v>0.56000000000000005</v>
      </c>
      <c r="S2972" s="1">
        <v>40362</v>
      </c>
      <c r="T2972" t="str">
        <f t="shared" si="93"/>
        <v>03-Jul-2010</v>
      </c>
    </row>
    <row r="2973" spans="1:20" x14ac:dyDescent="0.3">
      <c r="A2973">
        <v>14630</v>
      </c>
      <c r="B2973" s="1">
        <v>41198</v>
      </c>
      <c r="C2973" t="s">
        <v>18</v>
      </c>
      <c r="D2973" t="str">
        <f t="shared" si="92"/>
        <v>16-Oct-2012</v>
      </c>
      <c r="E2973">
        <v>17</v>
      </c>
      <c r="F2973" s="13">
        <v>363.54</v>
      </c>
      <c r="G2973">
        <v>0.08</v>
      </c>
      <c r="H2973" t="s">
        <v>19</v>
      </c>
      <c r="I2973" s="13">
        <v>4.75</v>
      </c>
      <c r="J2973">
        <v>22.01</v>
      </c>
      <c r="K2973">
        <v>5.53</v>
      </c>
      <c r="L2973" t="s">
        <v>223</v>
      </c>
      <c r="M2973" t="s">
        <v>373</v>
      </c>
      <c r="N2973" s="5" t="s">
        <v>373</v>
      </c>
      <c r="O2973" t="s">
        <v>28</v>
      </c>
      <c r="P2973" t="s">
        <v>21</v>
      </c>
      <c r="Q2973" t="s">
        <v>50</v>
      </c>
      <c r="R2973">
        <v>0.59</v>
      </c>
      <c r="S2973" s="1">
        <v>41198</v>
      </c>
      <c r="T2973" t="str">
        <f t="shared" si="93"/>
        <v>16-Oct-2012</v>
      </c>
    </row>
    <row r="2974" spans="1:20" x14ac:dyDescent="0.3">
      <c r="A2974">
        <v>5472</v>
      </c>
      <c r="B2974" s="1">
        <v>40278</v>
      </c>
      <c r="C2974" t="s">
        <v>18</v>
      </c>
      <c r="D2974" t="str">
        <f t="shared" si="92"/>
        <v>10-Apr-2010</v>
      </c>
      <c r="E2974">
        <v>27</v>
      </c>
      <c r="F2974" s="13">
        <v>339.03</v>
      </c>
      <c r="G2974">
        <v>0.09</v>
      </c>
      <c r="H2974" t="s">
        <v>19</v>
      </c>
      <c r="I2974" s="13">
        <v>-24.44</v>
      </c>
      <c r="J2974">
        <v>13.48</v>
      </c>
      <c r="K2974">
        <v>4.51</v>
      </c>
      <c r="L2974" t="s">
        <v>219</v>
      </c>
      <c r="M2974" t="s">
        <v>373</v>
      </c>
      <c r="N2974" s="5" t="s">
        <v>373</v>
      </c>
      <c r="O2974" t="s">
        <v>28</v>
      </c>
      <c r="P2974" t="s">
        <v>21</v>
      </c>
      <c r="Q2974" t="s">
        <v>22</v>
      </c>
      <c r="R2974">
        <v>0.59</v>
      </c>
      <c r="S2974" s="1">
        <v>40282</v>
      </c>
      <c r="T2974" t="str">
        <f t="shared" si="93"/>
        <v>14-Apr-2010</v>
      </c>
    </row>
    <row r="2975" spans="1:20" x14ac:dyDescent="0.3">
      <c r="A2975">
        <v>50118</v>
      </c>
      <c r="B2975" s="1">
        <v>40255</v>
      </c>
      <c r="C2975" t="s">
        <v>31</v>
      </c>
      <c r="D2975" t="str">
        <f t="shared" si="92"/>
        <v>18-Mar-2010</v>
      </c>
      <c r="E2975">
        <v>19</v>
      </c>
      <c r="F2975" s="13">
        <v>337.38</v>
      </c>
      <c r="G2975">
        <v>0</v>
      </c>
      <c r="H2975" t="s">
        <v>24</v>
      </c>
      <c r="I2975" s="13">
        <v>-409.79</v>
      </c>
      <c r="J2975">
        <v>15.23</v>
      </c>
      <c r="K2975">
        <v>27.75</v>
      </c>
      <c r="L2975" t="s">
        <v>375</v>
      </c>
      <c r="M2975" t="s">
        <v>373</v>
      </c>
      <c r="N2975" s="5" t="s">
        <v>373</v>
      </c>
      <c r="O2975" t="s">
        <v>28</v>
      </c>
      <c r="P2975" t="s">
        <v>32</v>
      </c>
      <c r="Q2975" t="s">
        <v>46</v>
      </c>
      <c r="R2975">
        <v>0.76</v>
      </c>
      <c r="S2975" s="1">
        <v>40256</v>
      </c>
      <c r="T2975" t="str">
        <f t="shared" si="93"/>
        <v>19-Mar-2010</v>
      </c>
    </row>
    <row r="2976" spans="1:20" x14ac:dyDescent="0.3">
      <c r="A2976">
        <v>7458</v>
      </c>
      <c r="B2976" s="1">
        <v>41003</v>
      </c>
      <c r="C2976" t="s">
        <v>43</v>
      </c>
      <c r="D2976" t="str">
        <f t="shared" si="92"/>
        <v>04-Apr-2012</v>
      </c>
      <c r="E2976">
        <v>9</v>
      </c>
      <c r="F2976" s="13">
        <v>337.34</v>
      </c>
      <c r="G2976">
        <v>0.06</v>
      </c>
      <c r="H2976" t="s">
        <v>19</v>
      </c>
      <c r="I2976" s="13">
        <v>-69.84</v>
      </c>
      <c r="J2976">
        <v>39.479999999999997</v>
      </c>
      <c r="K2976">
        <v>1.99</v>
      </c>
      <c r="L2976" t="s">
        <v>238</v>
      </c>
      <c r="M2976" t="s">
        <v>373</v>
      </c>
      <c r="N2976" s="5" t="s">
        <v>373</v>
      </c>
      <c r="O2976" t="s">
        <v>28</v>
      </c>
      <c r="P2976" t="s">
        <v>29</v>
      </c>
      <c r="Q2976" t="s">
        <v>41</v>
      </c>
      <c r="R2976">
        <v>0.54</v>
      </c>
      <c r="S2976" s="1">
        <v>41005</v>
      </c>
      <c r="T2976" t="str">
        <f t="shared" si="93"/>
        <v>06-Apr-2012</v>
      </c>
    </row>
    <row r="2977" spans="1:20" x14ac:dyDescent="0.3">
      <c r="A2977">
        <v>22914</v>
      </c>
      <c r="B2977" s="1">
        <v>40921</v>
      </c>
      <c r="C2977" t="s">
        <v>43</v>
      </c>
      <c r="D2977" t="str">
        <f t="shared" si="92"/>
        <v>13-Jan-2012</v>
      </c>
      <c r="E2977">
        <v>30</v>
      </c>
      <c r="F2977" s="13">
        <v>336.65</v>
      </c>
      <c r="G2977">
        <v>7.0000000000000007E-2</v>
      </c>
      <c r="H2977" t="s">
        <v>19</v>
      </c>
      <c r="I2977" s="13">
        <v>-71.05</v>
      </c>
      <c r="J2977">
        <v>11.7</v>
      </c>
      <c r="K2977">
        <v>6.96</v>
      </c>
      <c r="L2977" t="s">
        <v>378</v>
      </c>
      <c r="M2977" t="s">
        <v>373</v>
      </c>
      <c r="N2977" s="5" t="s">
        <v>373</v>
      </c>
      <c r="O2977" t="s">
        <v>28</v>
      </c>
      <c r="P2977" t="s">
        <v>21</v>
      </c>
      <c r="Q2977" t="s">
        <v>25</v>
      </c>
      <c r="R2977">
        <v>0.5</v>
      </c>
      <c r="S2977" s="1">
        <v>40922</v>
      </c>
      <c r="T2977" t="str">
        <f t="shared" si="93"/>
        <v>14-Jan-2012</v>
      </c>
    </row>
    <row r="2978" spans="1:20" x14ac:dyDescent="0.3">
      <c r="A2978">
        <v>2436</v>
      </c>
      <c r="B2978" s="1">
        <v>40796</v>
      </c>
      <c r="C2978" t="s">
        <v>31</v>
      </c>
      <c r="D2978" t="str">
        <f t="shared" si="92"/>
        <v>10-Sep-2011</v>
      </c>
      <c r="E2978">
        <v>14</v>
      </c>
      <c r="F2978" s="13">
        <v>330.21</v>
      </c>
      <c r="G2978">
        <v>7.0000000000000007E-2</v>
      </c>
      <c r="H2978" t="s">
        <v>35</v>
      </c>
      <c r="I2978" s="13">
        <v>83.24</v>
      </c>
      <c r="J2978">
        <v>22.84</v>
      </c>
      <c r="K2978">
        <v>5.47</v>
      </c>
      <c r="L2978" t="s">
        <v>378</v>
      </c>
      <c r="M2978" t="s">
        <v>373</v>
      </c>
      <c r="N2978" s="5" t="s">
        <v>373</v>
      </c>
      <c r="O2978" t="s">
        <v>28</v>
      </c>
      <c r="P2978" t="s">
        <v>21</v>
      </c>
      <c r="Q2978" t="s">
        <v>37</v>
      </c>
      <c r="R2978">
        <v>0.39</v>
      </c>
      <c r="S2978" s="1">
        <v>40799</v>
      </c>
      <c r="T2978" t="str">
        <f t="shared" si="93"/>
        <v>13-Sep-2011</v>
      </c>
    </row>
    <row r="2979" spans="1:20" x14ac:dyDescent="0.3">
      <c r="A2979">
        <v>18275</v>
      </c>
      <c r="B2979" s="1">
        <v>40918</v>
      </c>
      <c r="C2979" t="s">
        <v>18</v>
      </c>
      <c r="D2979" t="str">
        <f t="shared" si="92"/>
        <v>10-Jan-2012</v>
      </c>
      <c r="E2979">
        <v>25</v>
      </c>
      <c r="F2979" s="13">
        <v>322.73</v>
      </c>
      <c r="G2979">
        <v>7.0000000000000007E-2</v>
      </c>
      <c r="H2979" t="s">
        <v>19</v>
      </c>
      <c r="I2979" s="13">
        <v>101.83</v>
      </c>
      <c r="J2979">
        <v>13.4</v>
      </c>
      <c r="K2979">
        <v>4.95</v>
      </c>
      <c r="L2979" t="s">
        <v>155</v>
      </c>
      <c r="M2979" t="s">
        <v>373</v>
      </c>
      <c r="N2979" s="5" t="s">
        <v>373</v>
      </c>
      <c r="O2979" t="s">
        <v>28</v>
      </c>
      <c r="P2979" t="s">
        <v>32</v>
      </c>
      <c r="Q2979" t="s">
        <v>33</v>
      </c>
      <c r="R2979">
        <v>0.37</v>
      </c>
      <c r="S2979" s="1">
        <v>40922</v>
      </c>
      <c r="T2979" t="str">
        <f t="shared" si="93"/>
        <v>14-Jan-2012</v>
      </c>
    </row>
    <row r="2980" spans="1:20" x14ac:dyDescent="0.3">
      <c r="A2980">
        <v>10563</v>
      </c>
      <c r="B2980" s="1">
        <v>40450</v>
      </c>
      <c r="C2980" t="s">
        <v>43</v>
      </c>
      <c r="D2980" t="str">
        <f t="shared" si="92"/>
        <v>29-Sep-2010</v>
      </c>
      <c r="E2980">
        <v>50</v>
      </c>
      <c r="F2980" s="13">
        <v>312.42</v>
      </c>
      <c r="G2980">
        <v>0.08</v>
      </c>
      <c r="H2980" t="s">
        <v>19</v>
      </c>
      <c r="I2980" s="13">
        <v>-90.42</v>
      </c>
      <c r="J2980">
        <v>6.48</v>
      </c>
      <c r="K2980">
        <v>5.4</v>
      </c>
      <c r="L2980" t="s">
        <v>252</v>
      </c>
      <c r="M2980" t="s">
        <v>373</v>
      </c>
      <c r="N2980" s="5" t="s">
        <v>373</v>
      </c>
      <c r="O2980" t="s">
        <v>28</v>
      </c>
      <c r="P2980" t="s">
        <v>21</v>
      </c>
      <c r="Q2980" t="s">
        <v>37</v>
      </c>
      <c r="R2980">
        <v>0.37</v>
      </c>
      <c r="S2980" s="1">
        <v>40452</v>
      </c>
      <c r="T2980" t="str">
        <f t="shared" si="93"/>
        <v>01-Oct-2010</v>
      </c>
    </row>
    <row r="2981" spans="1:20" x14ac:dyDescent="0.3">
      <c r="A2981">
        <v>12099</v>
      </c>
      <c r="B2981" s="1">
        <v>40067</v>
      </c>
      <c r="C2981" t="s">
        <v>43</v>
      </c>
      <c r="D2981" t="str">
        <f t="shared" si="92"/>
        <v>11-Sep-2009</v>
      </c>
      <c r="E2981">
        <v>48</v>
      </c>
      <c r="F2981" s="13">
        <v>308.81</v>
      </c>
      <c r="G2981">
        <v>0.01</v>
      </c>
      <c r="H2981" t="s">
        <v>19</v>
      </c>
      <c r="I2981" s="13">
        <v>128.28</v>
      </c>
      <c r="J2981">
        <v>6.35</v>
      </c>
      <c r="K2981">
        <v>1.02</v>
      </c>
      <c r="L2981" t="s">
        <v>376</v>
      </c>
      <c r="M2981" t="s">
        <v>373</v>
      </c>
      <c r="N2981" s="5" t="s">
        <v>373</v>
      </c>
      <c r="O2981" t="s">
        <v>28</v>
      </c>
      <c r="P2981" t="s">
        <v>21</v>
      </c>
      <c r="Q2981" t="s">
        <v>37</v>
      </c>
      <c r="R2981">
        <v>0.39</v>
      </c>
      <c r="S2981" s="1">
        <v>40069</v>
      </c>
      <c r="T2981" t="str">
        <f t="shared" si="93"/>
        <v>13-Sep-2009</v>
      </c>
    </row>
    <row r="2982" spans="1:20" x14ac:dyDescent="0.3">
      <c r="A2982">
        <v>30469</v>
      </c>
      <c r="B2982" s="1">
        <v>41268</v>
      </c>
      <c r="C2982" t="s">
        <v>31</v>
      </c>
      <c r="D2982" t="str">
        <f t="shared" si="92"/>
        <v>25-Dec-2012</v>
      </c>
      <c r="E2982">
        <v>46</v>
      </c>
      <c r="F2982" s="13">
        <v>304.26</v>
      </c>
      <c r="G2982">
        <v>0.1</v>
      </c>
      <c r="H2982" t="s">
        <v>19</v>
      </c>
      <c r="I2982" s="13">
        <v>28.93</v>
      </c>
      <c r="J2982">
        <v>7.08</v>
      </c>
      <c r="K2982">
        <v>2.35</v>
      </c>
      <c r="L2982" t="s">
        <v>374</v>
      </c>
      <c r="M2982" t="s">
        <v>373</v>
      </c>
      <c r="N2982" s="5" t="s">
        <v>373</v>
      </c>
      <c r="O2982" t="s">
        <v>28</v>
      </c>
      <c r="P2982" t="s">
        <v>21</v>
      </c>
      <c r="Q2982" t="s">
        <v>50</v>
      </c>
      <c r="R2982">
        <v>0.47</v>
      </c>
      <c r="S2982" s="1">
        <v>41270</v>
      </c>
      <c r="T2982" t="str">
        <f t="shared" si="93"/>
        <v>27-Dec-2012</v>
      </c>
    </row>
    <row r="2983" spans="1:20" x14ac:dyDescent="0.3">
      <c r="A2983">
        <v>23366</v>
      </c>
      <c r="B2983" s="1">
        <v>40501</v>
      </c>
      <c r="C2983" t="s">
        <v>31</v>
      </c>
      <c r="D2983" t="str">
        <f t="shared" si="92"/>
        <v>19-Nov-2010</v>
      </c>
      <c r="E2983">
        <v>5</v>
      </c>
      <c r="F2983" s="13">
        <v>297.85000000000002</v>
      </c>
      <c r="G2983">
        <v>0.04</v>
      </c>
      <c r="H2983" t="s">
        <v>19</v>
      </c>
      <c r="I2983" s="13">
        <v>-69.89</v>
      </c>
      <c r="J2983">
        <v>54.1</v>
      </c>
      <c r="K2983">
        <v>19.989999999999998</v>
      </c>
      <c r="L2983" t="s">
        <v>385</v>
      </c>
      <c r="M2983" t="s">
        <v>373</v>
      </c>
      <c r="N2983" s="5" t="s">
        <v>373</v>
      </c>
      <c r="O2983" t="s">
        <v>28</v>
      </c>
      <c r="P2983" t="s">
        <v>21</v>
      </c>
      <c r="Q2983" t="s">
        <v>22</v>
      </c>
      <c r="R2983">
        <v>0.59</v>
      </c>
      <c r="S2983" s="1">
        <v>40501</v>
      </c>
      <c r="T2983" t="str">
        <f t="shared" si="93"/>
        <v>19-Nov-2010</v>
      </c>
    </row>
    <row r="2984" spans="1:20" x14ac:dyDescent="0.3">
      <c r="A2984">
        <v>26786</v>
      </c>
      <c r="B2984" s="1">
        <v>40275</v>
      </c>
      <c r="C2984" t="s">
        <v>38</v>
      </c>
      <c r="D2984" t="str">
        <f t="shared" si="92"/>
        <v>07-Apr-2010</v>
      </c>
      <c r="E2984">
        <v>29</v>
      </c>
      <c r="F2984" s="13">
        <v>296.94</v>
      </c>
      <c r="G2984">
        <v>0.08</v>
      </c>
      <c r="H2984" t="s">
        <v>19</v>
      </c>
      <c r="I2984" s="13">
        <v>-25.41</v>
      </c>
      <c r="J2984">
        <v>10.98</v>
      </c>
      <c r="K2984">
        <v>3.99</v>
      </c>
      <c r="L2984" t="s">
        <v>241</v>
      </c>
      <c r="M2984" t="s">
        <v>373</v>
      </c>
      <c r="N2984" s="5" t="s">
        <v>373</v>
      </c>
      <c r="O2984" t="s">
        <v>28</v>
      </c>
      <c r="P2984" t="s">
        <v>21</v>
      </c>
      <c r="Q2984" t="s">
        <v>25</v>
      </c>
      <c r="R2984">
        <v>0.57999999999999996</v>
      </c>
      <c r="S2984" s="1">
        <v>40276</v>
      </c>
      <c r="T2984" t="str">
        <f t="shared" si="93"/>
        <v>08-Apr-2010</v>
      </c>
    </row>
    <row r="2985" spans="1:20" x14ac:dyDescent="0.3">
      <c r="A2985">
        <v>23555</v>
      </c>
      <c r="B2985" s="1">
        <v>41254</v>
      </c>
      <c r="C2985" t="s">
        <v>23</v>
      </c>
      <c r="D2985" t="str">
        <f t="shared" si="92"/>
        <v>11-Dec-2012</v>
      </c>
      <c r="E2985">
        <v>5</v>
      </c>
      <c r="F2985" s="13">
        <v>284.45249999999999</v>
      </c>
      <c r="G2985">
        <v>0.06</v>
      </c>
      <c r="H2985" t="s">
        <v>19</v>
      </c>
      <c r="I2985" s="13">
        <v>-254.78</v>
      </c>
      <c r="J2985">
        <v>65.989999999999995</v>
      </c>
      <c r="K2985">
        <v>8.99</v>
      </c>
      <c r="L2985" t="s">
        <v>378</v>
      </c>
      <c r="M2985" t="s">
        <v>373</v>
      </c>
      <c r="N2985" s="5" t="s">
        <v>373</v>
      </c>
      <c r="O2985" t="s">
        <v>28</v>
      </c>
      <c r="P2985" t="s">
        <v>29</v>
      </c>
      <c r="Q2985" t="s">
        <v>30</v>
      </c>
      <c r="R2985">
        <v>0.57999999999999996</v>
      </c>
      <c r="S2985" s="1">
        <v>41255</v>
      </c>
      <c r="T2985" t="str">
        <f t="shared" si="93"/>
        <v>12-Dec-2012</v>
      </c>
    </row>
    <row r="2986" spans="1:20" x14ac:dyDescent="0.3">
      <c r="A2986">
        <v>18466</v>
      </c>
      <c r="B2986" s="1">
        <v>41050</v>
      </c>
      <c r="C2986" t="s">
        <v>18</v>
      </c>
      <c r="D2986" t="str">
        <f t="shared" si="92"/>
        <v>21-May-2012</v>
      </c>
      <c r="E2986">
        <v>25</v>
      </c>
      <c r="F2986" s="13">
        <v>270.16000000000003</v>
      </c>
      <c r="G2986">
        <v>0.09</v>
      </c>
      <c r="H2986" t="s">
        <v>19</v>
      </c>
      <c r="I2986" s="13">
        <v>16.920000000000002</v>
      </c>
      <c r="J2986">
        <v>11.09</v>
      </c>
      <c r="K2986">
        <v>5.25</v>
      </c>
      <c r="L2986" t="s">
        <v>245</v>
      </c>
      <c r="M2986" t="s">
        <v>373</v>
      </c>
      <c r="N2986" s="5" t="s">
        <v>373</v>
      </c>
      <c r="O2986" t="s">
        <v>28</v>
      </c>
      <c r="P2986" t="s">
        <v>21</v>
      </c>
      <c r="Q2986" t="s">
        <v>42</v>
      </c>
      <c r="R2986">
        <v>0.36</v>
      </c>
      <c r="S2986" s="1">
        <v>41059</v>
      </c>
      <c r="T2986" t="str">
        <f t="shared" si="93"/>
        <v>30-May-2012</v>
      </c>
    </row>
    <row r="2987" spans="1:20" x14ac:dyDescent="0.3">
      <c r="A2987">
        <v>24548</v>
      </c>
      <c r="B2987" s="1">
        <v>40616</v>
      </c>
      <c r="C2987" t="s">
        <v>23</v>
      </c>
      <c r="D2987" t="str">
        <f t="shared" si="92"/>
        <v>14-Mar-2011</v>
      </c>
      <c r="E2987">
        <v>32</v>
      </c>
      <c r="F2987" s="13">
        <v>269.3</v>
      </c>
      <c r="G2987">
        <v>0.04</v>
      </c>
      <c r="H2987" t="s">
        <v>35</v>
      </c>
      <c r="I2987" s="13">
        <v>22.38</v>
      </c>
      <c r="J2987">
        <v>7.96</v>
      </c>
      <c r="K2987">
        <v>4.95</v>
      </c>
      <c r="L2987" t="s">
        <v>245</v>
      </c>
      <c r="M2987" t="s">
        <v>373</v>
      </c>
      <c r="N2987" s="5" t="s">
        <v>373</v>
      </c>
      <c r="O2987" t="s">
        <v>28</v>
      </c>
      <c r="P2987" t="s">
        <v>32</v>
      </c>
      <c r="Q2987" t="s">
        <v>33</v>
      </c>
      <c r="R2987">
        <v>0.41</v>
      </c>
      <c r="S2987" s="1">
        <v>40617</v>
      </c>
      <c r="T2987" t="str">
        <f t="shared" si="93"/>
        <v>15-Mar-2011</v>
      </c>
    </row>
    <row r="2988" spans="1:20" x14ac:dyDescent="0.3">
      <c r="A2988">
        <v>26464</v>
      </c>
      <c r="B2988" s="1">
        <v>40888</v>
      </c>
      <c r="C2988" t="s">
        <v>23</v>
      </c>
      <c r="D2988" t="str">
        <f t="shared" si="92"/>
        <v>11-Dec-2011</v>
      </c>
      <c r="E2988">
        <v>25</v>
      </c>
      <c r="F2988" s="13">
        <v>268.58</v>
      </c>
      <c r="G2988">
        <v>0.03</v>
      </c>
      <c r="H2988" t="s">
        <v>19</v>
      </c>
      <c r="I2988" s="13">
        <v>-26.33</v>
      </c>
      <c r="J2988">
        <v>10.89</v>
      </c>
      <c r="K2988">
        <v>4.5</v>
      </c>
      <c r="L2988" t="s">
        <v>380</v>
      </c>
      <c r="M2988" t="s">
        <v>373</v>
      </c>
      <c r="N2988" s="5" t="s">
        <v>373</v>
      </c>
      <c r="O2988" t="s">
        <v>28</v>
      </c>
      <c r="P2988" t="s">
        <v>21</v>
      </c>
      <c r="Q2988" t="s">
        <v>25</v>
      </c>
      <c r="R2988">
        <v>0.59</v>
      </c>
      <c r="S2988" s="1">
        <v>40888</v>
      </c>
      <c r="T2988" t="str">
        <f t="shared" si="93"/>
        <v>11-Dec-2011</v>
      </c>
    </row>
    <row r="2989" spans="1:20" x14ac:dyDescent="0.3">
      <c r="A2989">
        <v>224</v>
      </c>
      <c r="B2989" s="1">
        <v>39981</v>
      </c>
      <c r="C2989" t="s">
        <v>31</v>
      </c>
      <c r="D2989" t="str">
        <f t="shared" si="92"/>
        <v>17-Jun-2009</v>
      </c>
      <c r="E2989">
        <v>44</v>
      </c>
      <c r="F2989" s="13">
        <v>267.85000000000002</v>
      </c>
      <c r="G2989">
        <v>0.04</v>
      </c>
      <c r="H2989" t="s">
        <v>19</v>
      </c>
      <c r="I2989" s="13">
        <v>-65.430000000000007</v>
      </c>
      <c r="J2989">
        <v>5.98</v>
      </c>
      <c r="K2989">
        <v>5.15</v>
      </c>
      <c r="L2989" t="s">
        <v>270</v>
      </c>
      <c r="M2989" t="s">
        <v>373</v>
      </c>
      <c r="N2989" s="5" t="s">
        <v>373</v>
      </c>
      <c r="O2989" t="s">
        <v>28</v>
      </c>
      <c r="P2989" t="s">
        <v>21</v>
      </c>
      <c r="Q2989" t="s">
        <v>37</v>
      </c>
      <c r="R2989">
        <v>0.36</v>
      </c>
      <c r="S2989" s="1">
        <v>39982</v>
      </c>
      <c r="T2989" t="str">
        <f t="shared" si="93"/>
        <v>18-Jun-2009</v>
      </c>
    </row>
    <row r="2990" spans="1:20" x14ac:dyDescent="0.3">
      <c r="A2990">
        <v>26437</v>
      </c>
      <c r="B2990" s="1">
        <v>40875</v>
      </c>
      <c r="C2990" t="s">
        <v>43</v>
      </c>
      <c r="D2990" t="str">
        <f t="shared" si="92"/>
        <v>28-Nov-2011</v>
      </c>
      <c r="E2990">
        <v>48</v>
      </c>
      <c r="F2990" s="13">
        <v>254.51</v>
      </c>
      <c r="G2990">
        <v>0.08</v>
      </c>
      <c r="H2990" t="s">
        <v>19</v>
      </c>
      <c r="I2990" s="13">
        <v>49.05</v>
      </c>
      <c r="J2990">
        <v>5.58</v>
      </c>
      <c r="K2990">
        <v>0.7</v>
      </c>
      <c r="L2990" t="s">
        <v>236</v>
      </c>
      <c r="M2990" t="s">
        <v>373</v>
      </c>
      <c r="N2990" s="5" t="s">
        <v>373</v>
      </c>
      <c r="O2990" t="s">
        <v>28</v>
      </c>
      <c r="P2990" t="s">
        <v>21</v>
      </c>
      <c r="Q2990" t="s">
        <v>50</v>
      </c>
      <c r="R2990">
        <v>0.6</v>
      </c>
      <c r="S2990" s="1">
        <v>40877</v>
      </c>
      <c r="T2990" t="str">
        <f t="shared" si="93"/>
        <v>30-Nov-2011</v>
      </c>
    </row>
    <row r="2991" spans="1:20" x14ac:dyDescent="0.3">
      <c r="A2991">
        <v>20864</v>
      </c>
      <c r="B2991" s="1">
        <v>40883</v>
      </c>
      <c r="C2991" t="s">
        <v>23</v>
      </c>
      <c r="D2991" t="str">
        <f t="shared" si="92"/>
        <v>06-Dec-2011</v>
      </c>
      <c r="E2991">
        <v>19</v>
      </c>
      <c r="F2991" s="13">
        <v>251.45</v>
      </c>
      <c r="G2991">
        <v>0.06</v>
      </c>
      <c r="H2991" t="s">
        <v>19</v>
      </c>
      <c r="I2991" s="13">
        <v>90</v>
      </c>
      <c r="J2991">
        <v>13.4</v>
      </c>
      <c r="K2991">
        <v>4.95</v>
      </c>
      <c r="L2991" t="s">
        <v>375</v>
      </c>
      <c r="M2991" t="s">
        <v>373</v>
      </c>
      <c r="N2991" s="5" t="s">
        <v>373</v>
      </c>
      <c r="O2991" t="s">
        <v>28</v>
      </c>
      <c r="P2991" t="s">
        <v>32</v>
      </c>
      <c r="Q2991" t="s">
        <v>33</v>
      </c>
      <c r="R2991">
        <v>0.37</v>
      </c>
      <c r="S2991" s="1">
        <v>40885</v>
      </c>
      <c r="T2991" t="str">
        <f t="shared" si="93"/>
        <v>08-Dec-2011</v>
      </c>
    </row>
    <row r="2992" spans="1:20" x14ac:dyDescent="0.3">
      <c r="A2992">
        <v>27712</v>
      </c>
      <c r="B2992" s="1">
        <v>40241</v>
      </c>
      <c r="C2992" t="s">
        <v>18</v>
      </c>
      <c r="D2992" t="str">
        <f t="shared" si="92"/>
        <v>04-Mar-2010</v>
      </c>
      <c r="E2992">
        <v>20</v>
      </c>
      <c r="F2992" s="13">
        <v>246.63</v>
      </c>
      <c r="G2992">
        <v>0.08</v>
      </c>
      <c r="H2992" t="s">
        <v>19</v>
      </c>
      <c r="I2992" s="13">
        <v>31.54</v>
      </c>
      <c r="J2992">
        <v>12.28</v>
      </c>
      <c r="K2992">
        <v>4.8600000000000003</v>
      </c>
      <c r="L2992" t="s">
        <v>268</v>
      </c>
      <c r="M2992" t="s">
        <v>373</v>
      </c>
      <c r="N2992" s="5" t="s">
        <v>373</v>
      </c>
      <c r="O2992" t="s">
        <v>28</v>
      </c>
      <c r="P2992" t="s">
        <v>21</v>
      </c>
      <c r="Q2992" t="s">
        <v>37</v>
      </c>
      <c r="R2992">
        <v>0.38</v>
      </c>
      <c r="S2992" s="1">
        <v>40248</v>
      </c>
      <c r="T2992" t="str">
        <f t="shared" si="93"/>
        <v>11-Mar-2010</v>
      </c>
    </row>
    <row r="2993" spans="1:20" x14ac:dyDescent="0.3">
      <c r="A2993">
        <v>22752</v>
      </c>
      <c r="B2993" s="1">
        <v>41250</v>
      </c>
      <c r="C2993" t="s">
        <v>18</v>
      </c>
      <c r="D2993" t="str">
        <f t="shared" si="92"/>
        <v>07-Dec-2012</v>
      </c>
      <c r="E2993">
        <v>2</v>
      </c>
      <c r="F2993" s="13">
        <v>238.76</v>
      </c>
      <c r="G2993">
        <v>0.1</v>
      </c>
      <c r="H2993" t="s">
        <v>19</v>
      </c>
      <c r="I2993" s="13">
        <v>-235.21</v>
      </c>
      <c r="J2993">
        <v>110.98</v>
      </c>
      <c r="K2993">
        <v>35</v>
      </c>
      <c r="L2993" t="s">
        <v>66</v>
      </c>
      <c r="M2993" t="s">
        <v>373</v>
      </c>
      <c r="N2993" s="5" t="s">
        <v>373</v>
      </c>
      <c r="O2993" t="s">
        <v>28</v>
      </c>
      <c r="P2993" t="s">
        <v>21</v>
      </c>
      <c r="Q2993" t="s">
        <v>22</v>
      </c>
      <c r="R2993">
        <v>0.82</v>
      </c>
      <c r="S2993" s="1">
        <v>41255</v>
      </c>
      <c r="T2993" t="str">
        <f t="shared" si="93"/>
        <v>12-Dec-2012</v>
      </c>
    </row>
    <row r="2994" spans="1:20" x14ac:dyDescent="0.3">
      <c r="A2994">
        <v>30885</v>
      </c>
      <c r="B2994" s="1">
        <v>40350</v>
      </c>
      <c r="C2994" t="s">
        <v>23</v>
      </c>
      <c r="D2994" t="str">
        <f t="shared" si="92"/>
        <v>21-Jun-2010</v>
      </c>
      <c r="E2994">
        <v>24</v>
      </c>
      <c r="F2994" s="13">
        <v>234.24</v>
      </c>
      <c r="G2994">
        <v>0.09</v>
      </c>
      <c r="H2994" t="s">
        <v>19</v>
      </c>
      <c r="I2994" s="13">
        <v>-151.80000000000001</v>
      </c>
      <c r="J2994">
        <v>9.7100000000000009</v>
      </c>
      <c r="K2994">
        <v>9.4499999999999993</v>
      </c>
      <c r="L2994" t="s">
        <v>382</v>
      </c>
      <c r="M2994" t="s">
        <v>373</v>
      </c>
      <c r="N2994" s="5" t="s">
        <v>373</v>
      </c>
      <c r="O2994" t="s">
        <v>28</v>
      </c>
      <c r="P2994" t="s">
        <v>21</v>
      </c>
      <c r="Q2994" t="s">
        <v>22</v>
      </c>
      <c r="R2994">
        <v>0.6</v>
      </c>
      <c r="S2994" s="1">
        <v>40351</v>
      </c>
      <c r="T2994" t="str">
        <f t="shared" si="93"/>
        <v>22-Jun-2010</v>
      </c>
    </row>
    <row r="2995" spans="1:20" x14ac:dyDescent="0.3">
      <c r="A2995">
        <v>26631</v>
      </c>
      <c r="B2995" s="1">
        <v>40483</v>
      </c>
      <c r="C2995" t="s">
        <v>43</v>
      </c>
      <c r="D2995" t="str">
        <f t="shared" si="92"/>
        <v>01-Nov-2010</v>
      </c>
      <c r="E2995">
        <v>37</v>
      </c>
      <c r="F2995" s="13">
        <v>231.65</v>
      </c>
      <c r="G2995">
        <v>0</v>
      </c>
      <c r="H2995" t="s">
        <v>19</v>
      </c>
      <c r="I2995" s="13">
        <v>-241.28</v>
      </c>
      <c r="J2995">
        <v>5.98</v>
      </c>
      <c r="K2995">
        <v>10.39</v>
      </c>
      <c r="L2995" t="s">
        <v>381</v>
      </c>
      <c r="M2995" t="s">
        <v>373</v>
      </c>
      <c r="N2995" s="5" t="s">
        <v>373</v>
      </c>
      <c r="O2995" t="s">
        <v>28</v>
      </c>
      <c r="P2995" t="s">
        <v>21</v>
      </c>
      <c r="Q2995" t="s">
        <v>37</v>
      </c>
      <c r="R2995">
        <v>0.4</v>
      </c>
      <c r="S2995" s="1">
        <v>40483</v>
      </c>
      <c r="T2995" t="str">
        <f t="shared" si="93"/>
        <v>01-Nov-2010</v>
      </c>
    </row>
    <row r="2996" spans="1:20" x14ac:dyDescent="0.3">
      <c r="A2996">
        <v>929</v>
      </c>
      <c r="B2996" s="1">
        <v>41183</v>
      </c>
      <c r="C2996" t="s">
        <v>23</v>
      </c>
      <c r="D2996" t="str">
        <f t="shared" si="92"/>
        <v>01-Oct-2012</v>
      </c>
      <c r="E2996">
        <v>21</v>
      </c>
      <c r="F2996" s="13">
        <v>227.66</v>
      </c>
      <c r="G2996">
        <v>0.04</v>
      </c>
      <c r="H2996" t="s">
        <v>19</v>
      </c>
      <c r="I2996" s="13">
        <v>-100.16</v>
      </c>
      <c r="J2996">
        <v>10.97</v>
      </c>
      <c r="K2996">
        <v>6.5</v>
      </c>
      <c r="L2996" t="s">
        <v>256</v>
      </c>
      <c r="M2996" t="s">
        <v>373</v>
      </c>
      <c r="N2996" s="5" t="s">
        <v>373</v>
      </c>
      <c r="O2996" t="s">
        <v>28</v>
      </c>
      <c r="P2996" t="s">
        <v>29</v>
      </c>
      <c r="Q2996" t="s">
        <v>41</v>
      </c>
      <c r="R2996">
        <v>0.64</v>
      </c>
      <c r="S2996" s="1">
        <v>41186</v>
      </c>
      <c r="T2996" t="str">
        <f t="shared" si="93"/>
        <v>04-Oct-2012</v>
      </c>
    </row>
    <row r="2997" spans="1:20" x14ac:dyDescent="0.3">
      <c r="A2997">
        <v>5472</v>
      </c>
      <c r="B2997" s="1">
        <v>40278</v>
      </c>
      <c r="C2997" t="s">
        <v>18</v>
      </c>
      <c r="D2997" t="str">
        <f t="shared" si="92"/>
        <v>10-Apr-2010</v>
      </c>
      <c r="E2997">
        <v>32</v>
      </c>
      <c r="F2997" s="13">
        <v>216.08</v>
      </c>
      <c r="G2997">
        <v>0</v>
      </c>
      <c r="H2997" t="s">
        <v>19</v>
      </c>
      <c r="I2997" s="13">
        <v>-84.33</v>
      </c>
      <c r="J2997">
        <v>6.48</v>
      </c>
      <c r="K2997">
        <v>6.65</v>
      </c>
      <c r="L2997" t="s">
        <v>219</v>
      </c>
      <c r="M2997" t="s">
        <v>373</v>
      </c>
      <c r="N2997" s="5" t="s">
        <v>373</v>
      </c>
      <c r="O2997" t="s">
        <v>28</v>
      </c>
      <c r="P2997" t="s">
        <v>21</v>
      </c>
      <c r="Q2997" t="s">
        <v>37</v>
      </c>
      <c r="R2997">
        <v>0.36</v>
      </c>
      <c r="S2997" s="1">
        <v>40280</v>
      </c>
      <c r="T2997" t="str">
        <f t="shared" si="93"/>
        <v>12-Apr-2010</v>
      </c>
    </row>
    <row r="2998" spans="1:20" x14ac:dyDescent="0.3">
      <c r="A2998">
        <v>25509</v>
      </c>
      <c r="B2998" s="1">
        <v>39955</v>
      </c>
      <c r="C2998" t="s">
        <v>43</v>
      </c>
      <c r="D2998" t="str">
        <f t="shared" si="92"/>
        <v>22-May-2009</v>
      </c>
      <c r="E2998">
        <v>43</v>
      </c>
      <c r="F2998" s="13">
        <v>212.28</v>
      </c>
      <c r="G2998">
        <v>0.06</v>
      </c>
      <c r="H2998" t="s">
        <v>19</v>
      </c>
      <c r="I2998" s="13">
        <v>-103.22</v>
      </c>
      <c r="J2998">
        <v>4.9800000000000004</v>
      </c>
      <c r="K2998">
        <v>4.95</v>
      </c>
      <c r="L2998" t="s">
        <v>315</v>
      </c>
      <c r="M2998" t="s">
        <v>373</v>
      </c>
      <c r="N2998" s="5" t="s">
        <v>373</v>
      </c>
      <c r="O2998" t="s">
        <v>28</v>
      </c>
      <c r="P2998" t="s">
        <v>21</v>
      </c>
      <c r="Q2998" t="s">
        <v>26</v>
      </c>
      <c r="R2998">
        <v>0.37</v>
      </c>
      <c r="S2998" s="1">
        <v>39957</v>
      </c>
      <c r="T2998" t="str">
        <f t="shared" si="93"/>
        <v>24-May-2009</v>
      </c>
    </row>
    <row r="2999" spans="1:20" x14ac:dyDescent="0.3">
      <c r="A2999">
        <v>19040</v>
      </c>
      <c r="B2999" s="1">
        <v>40896</v>
      </c>
      <c r="C2999" t="s">
        <v>23</v>
      </c>
      <c r="D2999" t="str">
        <f t="shared" si="92"/>
        <v>19-Dec-2011</v>
      </c>
      <c r="E2999">
        <v>10</v>
      </c>
      <c r="F2999" s="13">
        <v>211.97</v>
      </c>
      <c r="G2999">
        <v>0.06</v>
      </c>
      <c r="H2999" t="s">
        <v>19</v>
      </c>
      <c r="I2999" s="13">
        <v>-46.83</v>
      </c>
      <c r="J2999">
        <v>21.38</v>
      </c>
      <c r="K2999">
        <v>8.99</v>
      </c>
      <c r="L2999" t="s">
        <v>378</v>
      </c>
      <c r="M2999" t="s">
        <v>373</v>
      </c>
      <c r="N2999" s="5" t="s">
        <v>373</v>
      </c>
      <c r="O2999" t="s">
        <v>28</v>
      </c>
      <c r="P2999" t="s">
        <v>21</v>
      </c>
      <c r="Q2999" t="s">
        <v>50</v>
      </c>
      <c r="R2999">
        <v>0.59</v>
      </c>
      <c r="S2999" s="1">
        <v>40897</v>
      </c>
      <c r="T2999" t="str">
        <f t="shared" si="93"/>
        <v>20-Dec-2011</v>
      </c>
    </row>
    <row r="3000" spans="1:20" x14ac:dyDescent="0.3">
      <c r="A3000">
        <v>26689</v>
      </c>
      <c r="B3000" s="1">
        <v>40085</v>
      </c>
      <c r="C3000" t="s">
        <v>23</v>
      </c>
      <c r="D3000" t="str">
        <f t="shared" si="92"/>
        <v>29-Sep-2009</v>
      </c>
      <c r="E3000">
        <v>2</v>
      </c>
      <c r="F3000" s="13">
        <v>198.44</v>
      </c>
      <c r="G3000">
        <v>0.01</v>
      </c>
      <c r="H3000" t="s">
        <v>19</v>
      </c>
      <c r="I3000" s="13">
        <v>-87.46</v>
      </c>
      <c r="J3000">
        <v>99.23</v>
      </c>
      <c r="K3000">
        <v>8.99</v>
      </c>
      <c r="L3000" t="s">
        <v>380</v>
      </c>
      <c r="M3000" t="s">
        <v>373</v>
      </c>
      <c r="N3000" s="5" t="s">
        <v>373</v>
      </c>
      <c r="O3000" t="s">
        <v>28</v>
      </c>
      <c r="P3000" t="s">
        <v>32</v>
      </c>
      <c r="Q3000" t="s">
        <v>33</v>
      </c>
      <c r="R3000">
        <v>0.35</v>
      </c>
      <c r="S3000" s="1">
        <v>40088</v>
      </c>
      <c r="T3000" t="str">
        <f t="shared" si="93"/>
        <v>02-Oct-2009</v>
      </c>
    </row>
    <row r="3001" spans="1:20" x14ac:dyDescent="0.3">
      <c r="A3001">
        <v>10948</v>
      </c>
      <c r="B3001" s="1">
        <v>41134</v>
      </c>
      <c r="C3001" t="s">
        <v>38</v>
      </c>
      <c r="D3001" t="str">
        <f t="shared" si="92"/>
        <v>13-Aug-2012</v>
      </c>
      <c r="E3001">
        <v>50</v>
      </c>
      <c r="F3001" s="13">
        <v>193.11</v>
      </c>
      <c r="G3001">
        <v>0.08</v>
      </c>
      <c r="H3001" t="s">
        <v>19</v>
      </c>
      <c r="I3001" s="13">
        <v>-263.76</v>
      </c>
      <c r="J3001">
        <v>3.89</v>
      </c>
      <c r="K3001">
        <v>7.01</v>
      </c>
      <c r="L3001" t="s">
        <v>226</v>
      </c>
      <c r="M3001" t="s">
        <v>373</v>
      </c>
      <c r="N3001" s="5" t="s">
        <v>373</v>
      </c>
      <c r="O3001" t="s">
        <v>28</v>
      </c>
      <c r="P3001" t="s">
        <v>21</v>
      </c>
      <c r="Q3001" t="s">
        <v>26</v>
      </c>
      <c r="R3001">
        <v>0.37</v>
      </c>
      <c r="S3001" s="1">
        <v>41134</v>
      </c>
      <c r="T3001" t="str">
        <f t="shared" si="93"/>
        <v>13-Aug-2012</v>
      </c>
    </row>
    <row r="3002" spans="1:20" x14ac:dyDescent="0.3">
      <c r="A3002">
        <v>14311</v>
      </c>
      <c r="B3002" s="1">
        <v>40026</v>
      </c>
      <c r="C3002" t="s">
        <v>43</v>
      </c>
      <c r="D3002" t="str">
        <f t="shared" si="92"/>
        <v>01-Aug-2009</v>
      </c>
      <c r="E3002">
        <v>30</v>
      </c>
      <c r="F3002" s="13">
        <v>192.41</v>
      </c>
      <c r="G3002">
        <v>0.03</v>
      </c>
      <c r="H3002" t="s">
        <v>19</v>
      </c>
      <c r="I3002" s="13">
        <v>-55.95</v>
      </c>
      <c r="J3002">
        <v>6.37</v>
      </c>
      <c r="K3002">
        <v>5.19</v>
      </c>
      <c r="L3002" t="s">
        <v>205</v>
      </c>
      <c r="M3002" t="s">
        <v>373</v>
      </c>
      <c r="N3002" s="5" t="s">
        <v>373</v>
      </c>
      <c r="O3002" t="s">
        <v>28</v>
      </c>
      <c r="P3002" t="s">
        <v>21</v>
      </c>
      <c r="Q3002" t="s">
        <v>26</v>
      </c>
      <c r="R3002">
        <v>0.38</v>
      </c>
      <c r="S3002" s="1">
        <v>40027</v>
      </c>
      <c r="T3002" t="str">
        <f t="shared" si="93"/>
        <v>02-Aug-2009</v>
      </c>
    </row>
    <row r="3003" spans="1:20" x14ac:dyDescent="0.3">
      <c r="A3003">
        <v>8868</v>
      </c>
      <c r="B3003" s="1">
        <v>39841</v>
      </c>
      <c r="C3003" t="s">
        <v>18</v>
      </c>
      <c r="D3003" t="str">
        <f t="shared" si="92"/>
        <v>28-Jan-2009</v>
      </c>
      <c r="E3003">
        <v>3</v>
      </c>
      <c r="F3003" s="13">
        <v>190.45</v>
      </c>
      <c r="G3003">
        <v>0.02</v>
      </c>
      <c r="H3003" t="s">
        <v>19</v>
      </c>
      <c r="I3003" s="13">
        <v>-44.05</v>
      </c>
      <c r="J3003">
        <v>59.98</v>
      </c>
      <c r="K3003">
        <v>3.99</v>
      </c>
      <c r="L3003" t="s">
        <v>374</v>
      </c>
      <c r="M3003" t="s">
        <v>373</v>
      </c>
      <c r="N3003" s="5" t="s">
        <v>373</v>
      </c>
      <c r="O3003" t="s">
        <v>28</v>
      </c>
      <c r="P3003" t="s">
        <v>21</v>
      </c>
      <c r="Q3003" t="s">
        <v>25</v>
      </c>
      <c r="R3003">
        <v>0.56999999999999995</v>
      </c>
      <c r="S3003" s="1">
        <v>39850</v>
      </c>
      <c r="T3003" t="str">
        <f t="shared" si="93"/>
        <v>06-Feb-2009</v>
      </c>
    </row>
    <row r="3004" spans="1:20" x14ac:dyDescent="0.3">
      <c r="A3004">
        <v>224</v>
      </c>
      <c r="B3004" s="1">
        <v>39981</v>
      </c>
      <c r="C3004" t="s">
        <v>31</v>
      </c>
      <c r="D3004" t="str">
        <f t="shared" si="92"/>
        <v>17-Jun-2009</v>
      </c>
      <c r="E3004">
        <v>25</v>
      </c>
      <c r="F3004" s="13">
        <v>184.86</v>
      </c>
      <c r="G3004">
        <v>0.09</v>
      </c>
      <c r="H3004" t="s">
        <v>19</v>
      </c>
      <c r="I3004" s="13">
        <v>-33.950000000000003</v>
      </c>
      <c r="J3004">
        <v>7.38</v>
      </c>
      <c r="K3004">
        <v>5.21</v>
      </c>
      <c r="L3004" t="s">
        <v>270</v>
      </c>
      <c r="M3004" t="s">
        <v>373</v>
      </c>
      <c r="N3004" s="5" t="s">
        <v>373</v>
      </c>
      <c r="O3004" t="s">
        <v>28</v>
      </c>
      <c r="P3004" t="s">
        <v>32</v>
      </c>
      <c r="Q3004" t="s">
        <v>33</v>
      </c>
      <c r="R3004">
        <v>0.56000000000000005</v>
      </c>
      <c r="S3004" s="1">
        <v>39982</v>
      </c>
      <c r="T3004" t="str">
        <f t="shared" si="93"/>
        <v>18-Jun-2009</v>
      </c>
    </row>
    <row r="3005" spans="1:20" x14ac:dyDescent="0.3">
      <c r="A3005">
        <v>39111</v>
      </c>
      <c r="B3005" s="1">
        <v>40749</v>
      </c>
      <c r="C3005" t="s">
        <v>38</v>
      </c>
      <c r="D3005" t="str">
        <f t="shared" si="92"/>
        <v>25-Jul-2011</v>
      </c>
      <c r="E3005">
        <v>1</v>
      </c>
      <c r="F3005" s="13">
        <v>182.4</v>
      </c>
      <c r="G3005">
        <v>0.09</v>
      </c>
      <c r="H3005" t="s">
        <v>19</v>
      </c>
      <c r="I3005" s="13">
        <v>-114.22</v>
      </c>
      <c r="J3005">
        <v>178.47</v>
      </c>
      <c r="K3005">
        <v>19.989999999999998</v>
      </c>
      <c r="L3005" t="s">
        <v>376</v>
      </c>
      <c r="M3005" t="s">
        <v>373</v>
      </c>
      <c r="N3005" s="5" t="s">
        <v>373</v>
      </c>
      <c r="O3005" t="s">
        <v>28</v>
      </c>
      <c r="P3005" t="s">
        <v>21</v>
      </c>
      <c r="Q3005" t="s">
        <v>22</v>
      </c>
      <c r="R3005">
        <v>0.55000000000000004</v>
      </c>
      <c r="S3005" s="1">
        <v>40752</v>
      </c>
      <c r="T3005" t="str">
        <f t="shared" si="93"/>
        <v>28-Jul-2011</v>
      </c>
    </row>
    <row r="3006" spans="1:20" x14ac:dyDescent="0.3">
      <c r="A3006">
        <v>8868</v>
      </c>
      <c r="B3006" s="1">
        <v>39841</v>
      </c>
      <c r="C3006" t="s">
        <v>18</v>
      </c>
      <c r="D3006" t="str">
        <f t="shared" si="92"/>
        <v>28-Jan-2009</v>
      </c>
      <c r="E3006">
        <v>34</v>
      </c>
      <c r="F3006" s="13">
        <v>179.99</v>
      </c>
      <c r="G3006">
        <v>0.03</v>
      </c>
      <c r="H3006" t="s">
        <v>19</v>
      </c>
      <c r="I3006" s="13">
        <v>-102.27</v>
      </c>
      <c r="J3006">
        <v>5.18</v>
      </c>
      <c r="K3006">
        <v>5.74</v>
      </c>
      <c r="L3006" t="s">
        <v>374</v>
      </c>
      <c r="M3006" t="s">
        <v>373</v>
      </c>
      <c r="N3006" s="5" t="s">
        <v>373</v>
      </c>
      <c r="O3006" t="s">
        <v>28</v>
      </c>
      <c r="P3006" t="s">
        <v>21</v>
      </c>
      <c r="Q3006" t="s">
        <v>26</v>
      </c>
      <c r="R3006">
        <v>0.36</v>
      </c>
      <c r="S3006" s="1">
        <v>39845</v>
      </c>
      <c r="T3006" t="str">
        <f t="shared" si="93"/>
        <v>01-Feb-2009</v>
      </c>
    </row>
    <row r="3007" spans="1:20" x14ac:dyDescent="0.3">
      <c r="A3007">
        <v>22913</v>
      </c>
      <c r="B3007" s="1">
        <v>40354</v>
      </c>
      <c r="C3007" t="s">
        <v>43</v>
      </c>
      <c r="D3007" t="str">
        <f t="shared" si="92"/>
        <v>25-Jun-2010</v>
      </c>
      <c r="E3007">
        <v>32</v>
      </c>
      <c r="F3007" s="13">
        <v>176.77</v>
      </c>
      <c r="G3007">
        <v>0.06</v>
      </c>
      <c r="H3007" t="s">
        <v>35</v>
      </c>
      <c r="I3007" s="13">
        <v>-41.6</v>
      </c>
      <c r="J3007">
        <v>4.9800000000000004</v>
      </c>
      <c r="K3007">
        <v>4.72</v>
      </c>
      <c r="L3007" t="s">
        <v>229</v>
      </c>
      <c r="M3007" t="s">
        <v>373</v>
      </c>
      <c r="N3007" s="5" t="s">
        <v>373</v>
      </c>
      <c r="O3007" t="s">
        <v>28</v>
      </c>
      <c r="P3007" t="s">
        <v>21</v>
      </c>
      <c r="Q3007" t="s">
        <v>37</v>
      </c>
      <c r="R3007">
        <v>0.36</v>
      </c>
      <c r="S3007" s="1">
        <v>40355</v>
      </c>
      <c r="T3007" t="str">
        <f t="shared" si="93"/>
        <v>26-Jun-2010</v>
      </c>
    </row>
    <row r="3008" spans="1:20" x14ac:dyDescent="0.3">
      <c r="A3008">
        <v>13991</v>
      </c>
      <c r="B3008" s="1">
        <v>40974</v>
      </c>
      <c r="C3008" t="s">
        <v>23</v>
      </c>
      <c r="D3008" t="str">
        <f t="shared" si="92"/>
        <v>06-Mar-2012</v>
      </c>
      <c r="E3008">
        <v>24</v>
      </c>
      <c r="F3008" s="13">
        <v>170.7</v>
      </c>
      <c r="G3008">
        <v>0</v>
      </c>
      <c r="H3008" t="s">
        <v>19</v>
      </c>
      <c r="I3008" s="13">
        <v>-37.880000000000003</v>
      </c>
      <c r="J3008">
        <v>6.48</v>
      </c>
      <c r="K3008">
        <v>2.74</v>
      </c>
      <c r="L3008" t="s">
        <v>233</v>
      </c>
      <c r="M3008" t="s">
        <v>373</v>
      </c>
      <c r="N3008" s="5" t="s">
        <v>373</v>
      </c>
      <c r="O3008" t="s">
        <v>28</v>
      </c>
      <c r="P3008" t="s">
        <v>29</v>
      </c>
      <c r="Q3008" t="s">
        <v>41</v>
      </c>
      <c r="R3008">
        <v>0.71</v>
      </c>
      <c r="S3008" s="1">
        <v>40976</v>
      </c>
      <c r="T3008" t="str">
        <f t="shared" si="93"/>
        <v>08-Mar-2012</v>
      </c>
    </row>
    <row r="3009" spans="1:20" x14ac:dyDescent="0.3">
      <c r="A3009">
        <v>39938</v>
      </c>
      <c r="B3009" s="1">
        <v>41070</v>
      </c>
      <c r="C3009" t="s">
        <v>23</v>
      </c>
      <c r="D3009" t="str">
        <f t="shared" si="92"/>
        <v>10-Jun-2012</v>
      </c>
      <c r="E3009">
        <v>5</v>
      </c>
      <c r="F3009" s="13">
        <v>169.27</v>
      </c>
      <c r="G3009">
        <v>0.1</v>
      </c>
      <c r="H3009" t="s">
        <v>19</v>
      </c>
      <c r="I3009" s="13">
        <v>-41.66</v>
      </c>
      <c r="J3009">
        <v>34.58</v>
      </c>
      <c r="K3009">
        <v>8.99</v>
      </c>
      <c r="L3009" t="s">
        <v>374</v>
      </c>
      <c r="M3009" t="s">
        <v>373</v>
      </c>
      <c r="N3009" s="5" t="s">
        <v>373</v>
      </c>
      <c r="O3009" t="s">
        <v>28</v>
      </c>
      <c r="P3009" t="s">
        <v>21</v>
      </c>
      <c r="Q3009" t="s">
        <v>50</v>
      </c>
      <c r="R3009">
        <v>0.56000000000000005</v>
      </c>
      <c r="S3009" s="1">
        <v>41071</v>
      </c>
      <c r="T3009" t="str">
        <f t="shared" si="93"/>
        <v>11-Jun-2012</v>
      </c>
    </row>
    <row r="3010" spans="1:20" x14ac:dyDescent="0.3">
      <c r="A3010">
        <v>4931</v>
      </c>
      <c r="B3010" s="1">
        <v>40133</v>
      </c>
      <c r="C3010" t="s">
        <v>43</v>
      </c>
      <c r="D3010" t="str">
        <f t="shared" ref="D3010:D3077" si="94">TEXT(B3010, "dd-mmm-yyyy" )</f>
        <v>16-Nov-2009</v>
      </c>
      <c r="E3010">
        <v>22</v>
      </c>
      <c r="F3010" s="13">
        <v>168.31</v>
      </c>
      <c r="G3010">
        <v>0.1</v>
      </c>
      <c r="H3010" t="s">
        <v>19</v>
      </c>
      <c r="I3010" s="13">
        <v>46.49</v>
      </c>
      <c r="J3010">
        <v>8.17</v>
      </c>
      <c r="K3010">
        <v>1.69</v>
      </c>
      <c r="L3010" t="s">
        <v>229</v>
      </c>
      <c r="M3010" t="s">
        <v>373</v>
      </c>
      <c r="N3010" s="5" t="s">
        <v>373</v>
      </c>
      <c r="O3010" t="s">
        <v>28</v>
      </c>
      <c r="P3010" t="s">
        <v>21</v>
      </c>
      <c r="Q3010" t="s">
        <v>37</v>
      </c>
      <c r="R3010">
        <v>0.38</v>
      </c>
      <c r="S3010" s="1">
        <v>40133</v>
      </c>
      <c r="T3010" t="str">
        <f t="shared" ref="T3010:T3073" si="95">TEXT(S3010, "dd-mmm-yyyy")</f>
        <v>16-Nov-2009</v>
      </c>
    </row>
    <row r="3011" spans="1:20" x14ac:dyDescent="0.3">
      <c r="A3011">
        <v>28224</v>
      </c>
      <c r="B3011" s="1">
        <v>41262</v>
      </c>
      <c r="C3011" t="s">
        <v>43</v>
      </c>
      <c r="D3011" t="str">
        <f t="shared" si="94"/>
        <v>19-Dec-2012</v>
      </c>
      <c r="E3011">
        <v>25</v>
      </c>
      <c r="F3011" s="13">
        <v>163.41</v>
      </c>
      <c r="G3011">
        <v>7.0000000000000007E-2</v>
      </c>
      <c r="H3011" t="s">
        <v>19</v>
      </c>
      <c r="I3011" s="13">
        <v>-91.28</v>
      </c>
      <c r="J3011">
        <v>6.23</v>
      </c>
      <c r="K3011">
        <v>6.97</v>
      </c>
      <c r="L3011" t="s">
        <v>311</v>
      </c>
      <c r="M3011" t="s">
        <v>373</v>
      </c>
      <c r="N3011" s="5" t="s">
        <v>373</v>
      </c>
      <c r="O3011" t="s">
        <v>28</v>
      </c>
      <c r="P3011" t="s">
        <v>21</v>
      </c>
      <c r="Q3011" t="s">
        <v>26</v>
      </c>
      <c r="R3011">
        <v>0.36</v>
      </c>
      <c r="S3011" s="1">
        <v>41263</v>
      </c>
      <c r="T3011" t="str">
        <f t="shared" si="95"/>
        <v>20-Dec-2012</v>
      </c>
    </row>
    <row r="3012" spans="1:20" x14ac:dyDescent="0.3">
      <c r="A3012">
        <v>10052</v>
      </c>
      <c r="B3012" s="1">
        <v>40063</v>
      </c>
      <c r="C3012" t="s">
        <v>31</v>
      </c>
      <c r="D3012" t="str">
        <f t="shared" si="94"/>
        <v>07-Sep-2009</v>
      </c>
      <c r="E3012">
        <v>46</v>
      </c>
      <c r="F3012" s="13">
        <v>162.28</v>
      </c>
      <c r="G3012">
        <v>0.02</v>
      </c>
      <c r="H3012" t="s">
        <v>19</v>
      </c>
      <c r="I3012" s="13">
        <v>-216.15</v>
      </c>
      <c r="J3012">
        <v>3.36</v>
      </c>
      <c r="K3012">
        <v>6.27</v>
      </c>
      <c r="L3012" t="s">
        <v>226</v>
      </c>
      <c r="M3012" t="s">
        <v>373</v>
      </c>
      <c r="N3012" s="5" t="s">
        <v>373</v>
      </c>
      <c r="O3012" t="s">
        <v>28</v>
      </c>
      <c r="P3012" t="s">
        <v>21</v>
      </c>
      <c r="Q3012" t="s">
        <v>26</v>
      </c>
      <c r="R3012">
        <v>0.4</v>
      </c>
      <c r="S3012" s="1">
        <v>40065</v>
      </c>
      <c r="T3012" t="str">
        <f t="shared" si="95"/>
        <v>09-Sep-2009</v>
      </c>
    </row>
    <row r="3013" spans="1:20" x14ac:dyDescent="0.3">
      <c r="A3013">
        <v>12708</v>
      </c>
      <c r="B3013" s="1">
        <v>40185</v>
      </c>
      <c r="C3013" t="s">
        <v>18</v>
      </c>
      <c r="D3013" t="str">
        <f t="shared" si="94"/>
        <v>07-Jan-2010</v>
      </c>
      <c r="E3013">
        <v>44</v>
      </c>
      <c r="F3013" s="13">
        <v>159.41</v>
      </c>
      <c r="G3013">
        <v>0</v>
      </c>
      <c r="H3013" t="s">
        <v>35</v>
      </c>
      <c r="I3013" s="13">
        <v>34.68</v>
      </c>
      <c r="J3013">
        <v>3.28</v>
      </c>
      <c r="K3013">
        <v>0.98</v>
      </c>
      <c r="L3013" t="s">
        <v>231</v>
      </c>
      <c r="M3013" t="s">
        <v>373</v>
      </c>
      <c r="N3013" s="5" t="s">
        <v>373</v>
      </c>
      <c r="O3013" t="s">
        <v>28</v>
      </c>
      <c r="P3013" t="s">
        <v>21</v>
      </c>
      <c r="Q3013" t="s">
        <v>50</v>
      </c>
      <c r="R3013">
        <v>0.52</v>
      </c>
      <c r="S3013" s="1">
        <v>40190</v>
      </c>
      <c r="T3013" t="str">
        <f t="shared" si="95"/>
        <v>12-Jan-2010</v>
      </c>
    </row>
    <row r="3014" spans="1:20" x14ac:dyDescent="0.3">
      <c r="A3014">
        <v>11014</v>
      </c>
      <c r="B3014" s="1">
        <v>40428</v>
      </c>
      <c r="C3014" t="s">
        <v>23</v>
      </c>
      <c r="D3014" t="str">
        <f t="shared" si="94"/>
        <v>07-Sep-2010</v>
      </c>
      <c r="E3014">
        <v>13</v>
      </c>
      <c r="F3014" s="13">
        <v>158.79</v>
      </c>
      <c r="G3014">
        <v>0.05</v>
      </c>
      <c r="H3014" t="s">
        <v>19</v>
      </c>
      <c r="I3014" s="13">
        <v>1.1599999999999999</v>
      </c>
      <c r="J3014">
        <v>11.7</v>
      </c>
      <c r="K3014">
        <v>5.63</v>
      </c>
      <c r="L3014" t="s">
        <v>382</v>
      </c>
      <c r="M3014" t="s">
        <v>373</v>
      </c>
      <c r="N3014" s="5" t="s">
        <v>373</v>
      </c>
      <c r="O3014" t="s">
        <v>28</v>
      </c>
      <c r="P3014" t="s">
        <v>21</v>
      </c>
      <c r="Q3014" t="s">
        <v>26</v>
      </c>
      <c r="R3014">
        <v>0.4</v>
      </c>
      <c r="S3014" s="1">
        <v>40430</v>
      </c>
      <c r="T3014" t="str">
        <f t="shared" si="95"/>
        <v>09-Sep-2010</v>
      </c>
    </row>
    <row r="3015" spans="1:20" x14ac:dyDescent="0.3">
      <c r="A3015">
        <v>1888</v>
      </c>
      <c r="B3015" s="1">
        <v>40481</v>
      </c>
      <c r="C3015" t="s">
        <v>31</v>
      </c>
      <c r="D3015" t="str">
        <f t="shared" si="94"/>
        <v>30-Oct-2010</v>
      </c>
      <c r="E3015">
        <v>35</v>
      </c>
      <c r="F3015" s="13">
        <v>158.25</v>
      </c>
      <c r="G3015">
        <v>0.09</v>
      </c>
      <c r="H3015" t="s">
        <v>19</v>
      </c>
      <c r="I3015" s="13">
        <v>-114.74</v>
      </c>
      <c r="J3015">
        <v>4.57</v>
      </c>
      <c r="K3015">
        <v>5.42</v>
      </c>
      <c r="L3015" t="s">
        <v>311</v>
      </c>
      <c r="M3015" t="s">
        <v>373</v>
      </c>
      <c r="N3015" s="5" t="s">
        <v>373</v>
      </c>
      <c r="O3015" t="s">
        <v>28</v>
      </c>
      <c r="P3015" t="s">
        <v>21</v>
      </c>
      <c r="Q3015" t="s">
        <v>26</v>
      </c>
      <c r="R3015">
        <v>0.37</v>
      </c>
      <c r="S3015" s="1">
        <v>40482</v>
      </c>
      <c r="T3015" t="str">
        <f t="shared" si="95"/>
        <v>31-Oct-2010</v>
      </c>
    </row>
    <row r="3016" spans="1:20" x14ac:dyDescent="0.3">
      <c r="A3016">
        <v>16356</v>
      </c>
      <c r="B3016" s="1">
        <v>40757</v>
      </c>
      <c r="C3016" t="s">
        <v>43</v>
      </c>
      <c r="D3016" t="str">
        <f t="shared" si="94"/>
        <v>02-Aug-2011</v>
      </c>
      <c r="E3016">
        <v>6</v>
      </c>
      <c r="F3016" s="13">
        <v>157.94</v>
      </c>
      <c r="G3016">
        <v>0.04</v>
      </c>
      <c r="H3016" t="s">
        <v>35</v>
      </c>
      <c r="I3016" s="13">
        <v>9.15</v>
      </c>
      <c r="J3016">
        <v>22.98</v>
      </c>
      <c r="K3016">
        <v>4.5</v>
      </c>
      <c r="L3016" t="s">
        <v>382</v>
      </c>
      <c r="M3016" t="s">
        <v>373</v>
      </c>
      <c r="N3016" s="5" t="s">
        <v>373</v>
      </c>
      <c r="O3016" t="s">
        <v>28</v>
      </c>
      <c r="P3016" t="s">
        <v>21</v>
      </c>
      <c r="Q3016" t="s">
        <v>25</v>
      </c>
      <c r="R3016">
        <v>0.55000000000000004</v>
      </c>
      <c r="S3016" s="1">
        <v>40758</v>
      </c>
      <c r="T3016" t="str">
        <f t="shared" si="95"/>
        <v>03-Aug-2011</v>
      </c>
    </row>
    <row r="3017" spans="1:20" x14ac:dyDescent="0.3">
      <c r="A3017">
        <v>28933</v>
      </c>
      <c r="B3017" s="1">
        <v>40003</v>
      </c>
      <c r="C3017" t="s">
        <v>43</v>
      </c>
      <c r="D3017" t="str">
        <f t="shared" si="94"/>
        <v>09-Jul-2009</v>
      </c>
      <c r="E3017">
        <v>38</v>
      </c>
      <c r="F3017" s="13">
        <v>156.19999999999999</v>
      </c>
      <c r="G3017">
        <v>0.03</v>
      </c>
      <c r="H3017" t="s">
        <v>19</v>
      </c>
      <c r="I3017" s="13">
        <v>43</v>
      </c>
      <c r="J3017">
        <v>3.98</v>
      </c>
      <c r="K3017">
        <v>0.7</v>
      </c>
      <c r="L3017" t="s">
        <v>242</v>
      </c>
      <c r="M3017" t="s">
        <v>373</v>
      </c>
      <c r="N3017" s="5" t="s">
        <v>373</v>
      </c>
      <c r="O3017" t="s">
        <v>28</v>
      </c>
      <c r="P3017" t="s">
        <v>21</v>
      </c>
      <c r="Q3017" t="s">
        <v>50</v>
      </c>
      <c r="R3017">
        <v>0.52</v>
      </c>
      <c r="S3017" s="1">
        <v>40004</v>
      </c>
      <c r="T3017" t="str">
        <f t="shared" si="95"/>
        <v>10-Jul-2009</v>
      </c>
    </row>
    <row r="3018" spans="1:20" x14ac:dyDescent="0.3">
      <c r="A3018">
        <v>5989</v>
      </c>
      <c r="B3018" s="1">
        <v>40830</v>
      </c>
      <c r="C3018" t="s">
        <v>38</v>
      </c>
      <c r="D3018" t="str">
        <f t="shared" si="94"/>
        <v>14-Oct-2011</v>
      </c>
      <c r="E3018">
        <v>6</v>
      </c>
      <c r="F3018" s="13">
        <v>155.47999999999999</v>
      </c>
      <c r="G3018">
        <v>0.1</v>
      </c>
      <c r="H3018" t="s">
        <v>19</v>
      </c>
      <c r="I3018" s="13">
        <v>-6.64</v>
      </c>
      <c r="J3018">
        <v>25.98</v>
      </c>
      <c r="K3018">
        <v>5.37</v>
      </c>
      <c r="L3018" t="s">
        <v>269</v>
      </c>
      <c r="M3018" t="s">
        <v>373</v>
      </c>
      <c r="N3018" s="5" t="s">
        <v>373</v>
      </c>
      <c r="O3018" t="s">
        <v>28</v>
      </c>
      <c r="P3018" t="s">
        <v>21</v>
      </c>
      <c r="Q3018" t="s">
        <v>25</v>
      </c>
      <c r="R3018">
        <v>0.5</v>
      </c>
      <c r="S3018" s="1">
        <v>40832</v>
      </c>
      <c r="T3018" t="str">
        <f t="shared" si="95"/>
        <v>16-Oct-2011</v>
      </c>
    </row>
    <row r="3019" spans="1:20" x14ac:dyDescent="0.3">
      <c r="A3019">
        <v>12007</v>
      </c>
      <c r="B3019" s="1">
        <v>40083</v>
      </c>
      <c r="C3019" t="s">
        <v>31</v>
      </c>
      <c r="D3019" t="str">
        <f t="shared" si="94"/>
        <v>27-Sep-2009</v>
      </c>
      <c r="E3019">
        <v>42</v>
      </c>
      <c r="F3019" s="13">
        <v>152.26</v>
      </c>
      <c r="G3019">
        <v>0.04</v>
      </c>
      <c r="H3019" t="s">
        <v>19</v>
      </c>
      <c r="I3019" s="13">
        <v>64.989999999999995</v>
      </c>
      <c r="J3019">
        <v>3.69</v>
      </c>
      <c r="K3019">
        <v>0.5</v>
      </c>
      <c r="L3019" t="s">
        <v>382</v>
      </c>
      <c r="M3019" t="s">
        <v>373</v>
      </c>
      <c r="N3019" s="5" t="s">
        <v>373</v>
      </c>
      <c r="O3019" t="s">
        <v>28</v>
      </c>
      <c r="P3019" t="s">
        <v>21</v>
      </c>
      <c r="Q3019" t="s">
        <v>48</v>
      </c>
      <c r="R3019">
        <v>0.38</v>
      </c>
      <c r="S3019" s="1">
        <v>40085</v>
      </c>
      <c r="T3019" t="str">
        <f t="shared" si="95"/>
        <v>29-Sep-2009</v>
      </c>
    </row>
    <row r="3020" spans="1:20" x14ac:dyDescent="0.3">
      <c r="A3020">
        <v>35200</v>
      </c>
      <c r="B3020" s="1">
        <v>39849</v>
      </c>
      <c r="C3020" t="s">
        <v>38</v>
      </c>
      <c r="D3020" t="str">
        <f t="shared" si="94"/>
        <v>05-Feb-2009</v>
      </c>
      <c r="E3020">
        <v>15</v>
      </c>
      <c r="F3020" s="13">
        <v>150.24</v>
      </c>
      <c r="G3020">
        <v>0.08</v>
      </c>
      <c r="H3020" t="s">
        <v>19</v>
      </c>
      <c r="I3020" s="13">
        <v>-102.93</v>
      </c>
      <c r="J3020">
        <v>9.98</v>
      </c>
      <c r="K3020">
        <v>12.52</v>
      </c>
      <c r="L3020" t="s">
        <v>377</v>
      </c>
      <c r="M3020" t="s">
        <v>373</v>
      </c>
      <c r="N3020" s="5" t="s">
        <v>373</v>
      </c>
      <c r="O3020" t="s">
        <v>28</v>
      </c>
      <c r="P3020" t="s">
        <v>32</v>
      </c>
      <c r="Q3020" t="s">
        <v>33</v>
      </c>
      <c r="R3020">
        <v>0.56999999999999995</v>
      </c>
      <c r="S3020" s="1">
        <v>39851</v>
      </c>
      <c r="T3020" t="str">
        <f t="shared" si="95"/>
        <v>07-Feb-2009</v>
      </c>
    </row>
    <row r="3021" spans="1:20" x14ac:dyDescent="0.3">
      <c r="A3021">
        <v>13090</v>
      </c>
      <c r="B3021" s="1">
        <v>40385</v>
      </c>
      <c r="C3021" t="s">
        <v>31</v>
      </c>
      <c r="D3021" t="str">
        <f t="shared" si="94"/>
        <v>26-Jul-2010</v>
      </c>
      <c r="E3021">
        <v>15</v>
      </c>
      <c r="F3021" s="13">
        <v>150.19999999999999</v>
      </c>
      <c r="G3021">
        <v>0.02</v>
      </c>
      <c r="H3021" t="s">
        <v>19</v>
      </c>
      <c r="I3021" s="13">
        <v>12.97</v>
      </c>
      <c r="J3021">
        <v>9.27</v>
      </c>
      <c r="K3021">
        <v>4.3899999999999997</v>
      </c>
      <c r="L3021" t="s">
        <v>384</v>
      </c>
      <c r="M3021" t="s">
        <v>373</v>
      </c>
      <c r="N3021" s="5" t="s">
        <v>373</v>
      </c>
      <c r="O3021" t="s">
        <v>28</v>
      </c>
      <c r="P3021" t="s">
        <v>21</v>
      </c>
      <c r="Q3021" t="s">
        <v>37</v>
      </c>
      <c r="R3021">
        <v>0.38</v>
      </c>
      <c r="S3021" s="1">
        <v>40386</v>
      </c>
      <c r="T3021" t="str">
        <f t="shared" si="95"/>
        <v>27-Jul-2010</v>
      </c>
    </row>
    <row r="3022" spans="1:20" x14ac:dyDescent="0.3">
      <c r="A3022">
        <v>8930</v>
      </c>
      <c r="B3022" s="1">
        <v>39952</v>
      </c>
      <c r="C3022" t="s">
        <v>38</v>
      </c>
      <c r="D3022" t="str">
        <f t="shared" si="94"/>
        <v>19-May-2009</v>
      </c>
      <c r="E3022">
        <v>14</v>
      </c>
      <c r="F3022" s="13">
        <v>145.86000000000001</v>
      </c>
      <c r="G3022">
        <v>0.04</v>
      </c>
      <c r="H3022" t="s">
        <v>19</v>
      </c>
      <c r="I3022" s="13">
        <v>-92.32</v>
      </c>
      <c r="J3022">
        <v>9.99</v>
      </c>
      <c r="K3022">
        <v>11.59</v>
      </c>
      <c r="L3022" t="s">
        <v>244</v>
      </c>
      <c r="M3022" t="s">
        <v>373</v>
      </c>
      <c r="N3022" s="5" t="s">
        <v>373</v>
      </c>
      <c r="O3022" t="s">
        <v>28</v>
      </c>
      <c r="P3022" t="s">
        <v>21</v>
      </c>
      <c r="Q3022" t="s">
        <v>37</v>
      </c>
      <c r="R3022">
        <v>0.4</v>
      </c>
      <c r="S3022" s="1">
        <v>39954</v>
      </c>
      <c r="T3022" t="str">
        <f t="shared" si="95"/>
        <v>21-May-2009</v>
      </c>
    </row>
    <row r="3023" spans="1:20" x14ac:dyDescent="0.3">
      <c r="A3023">
        <v>11714</v>
      </c>
      <c r="B3023" s="1">
        <v>40029</v>
      </c>
      <c r="C3023" t="s">
        <v>43</v>
      </c>
      <c r="D3023" t="str">
        <f t="shared" si="94"/>
        <v>04-Aug-2009</v>
      </c>
      <c r="E3023">
        <v>9</v>
      </c>
      <c r="F3023" s="13">
        <v>141.83000000000001</v>
      </c>
      <c r="G3023">
        <v>0.06</v>
      </c>
      <c r="H3023" t="s">
        <v>19</v>
      </c>
      <c r="I3023" s="13">
        <v>-35.69</v>
      </c>
      <c r="J3023">
        <v>15.73</v>
      </c>
      <c r="K3023">
        <v>7.42</v>
      </c>
      <c r="L3023" t="s">
        <v>380</v>
      </c>
      <c r="M3023" t="s">
        <v>373</v>
      </c>
      <c r="N3023" s="5" t="s">
        <v>373</v>
      </c>
      <c r="O3023" t="s">
        <v>28</v>
      </c>
      <c r="P3023" t="s">
        <v>21</v>
      </c>
      <c r="Q3023" t="s">
        <v>67</v>
      </c>
      <c r="R3023">
        <v>0.56000000000000005</v>
      </c>
      <c r="S3023" s="1">
        <v>40030</v>
      </c>
      <c r="T3023" t="str">
        <f t="shared" si="95"/>
        <v>05-Aug-2009</v>
      </c>
    </row>
    <row r="3024" spans="1:20" x14ac:dyDescent="0.3">
      <c r="A3024">
        <v>263</v>
      </c>
      <c r="B3024" s="1">
        <v>39949</v>
      </c>
      <c r="C3024" t="s">
        <v>23</v>
      </c>
      <c r="D3024" t="str">
        <f t="shared" si="94"/>
        <v>16-May-2009</v>
      </c>
      <c r="E3024">
        <v>25</v>
      </c>
      <c r="F3024" s="13">
        <v>136.77000000000001</v>
      </c>
      <c r="G3024">
        <v>0.09</v>
      </c>
      <c r="H3024" t="s">
        <v>19</v>
      </c>
      <c r="I3024" s="13">
        <v>-136.25</v>
      </c>
      <c r="J3024">
        <v>5.4</v>
      </c>
      <c r="K3024">
        <v>7.78</v>
      </c>
      <c r="L3024" t="s">
        <v>240</v>
      </c>
      <c r="M3024" t="s">
        <v>373</v>
      </c>
      <c r="N3024" s="5" t="s">
        <v>373</v>
      </c>
      <c r="O3024" t="s">
        <v>28</v>
      </c>
      <c r="P3024" t="s">
        <v>21</v>
      </c>
      <c r="Q3024" t="s">
        <v>26</v>
      </c>
      <c r="R3024">
        <v>0.37</v>
      </c>
      <c r="S3024" s="1">
        <v>39950</v>
      </c>
      <c r="T3024" t="str">
        <f t="shared" si="95"/>
        <v>17-May-2009</v>
      </c>
    </row>
    <row r="3025" spans="1:20" x14ac:dyDescent="0.3">
      <c r="A3025">
        <v>23366</v>
      </c>
      <c r="B3025" s="1">
        <v>40501</v>
      </c>
      <c r="C3025" t="s">
        <v>31</v>
      </c>
      <c r="D3025" t="str">
        <f t="shared" si="94"/>
        <v>19-Nov-2010</v>
      </c>
      <c r="E3025">
        <v>12</v>
      </c>
      <c r="F3025" s="13">
        <v>136.1</v>
      </c>
      <c r="G3025">
        <v>0.06</v>
      </c>
      <c r="H3025" t="s">
        <v>19</v>
      </c>
      <c r="I3025" s="13">
        <v>-3.78</v>
      </c>
      <c r="J3025">
        <v>10.52</v>
      </c>
      <c r="K3025">
        <v>7.94</v>
      </c>
      <c r="L3025" t="s">
        <v>385</v>
      </c>
      <c r="M3025" t="s">
        <v>373</v>
      </c>
      <c r="N3025" s="5" t="s">
        <v>373</v>
      </c>
      <c r="O3025" t="s">
        <v>28</v>
      </c>
      <c r="P3025" t="s">
        <v>32</v>
      </c>
      <c r="Q3025" t="s">
        <v>33</v>
      </c>
      <c r="R3025">
        <v>0.52</v>
      </c>
      <c r="S3025" s="1">
        <v>40503</v>
      </c>
      <c r="T3025" t="str">
        <f t="shared" si="95"/>
        <v>21-Nov-2010</v>
      </c>
    </row>
    <row r="3026" spans="1:20" x14ac:dyDescent="0.3">
      <c r="A3026">
        <v>15616</v>
      </c>
      <c r="B3026" s="1">
        <v>40991</v>
      </c>
      <c r="C3026" t="s">
        <v>43</v>
      </c>
      <c r="D3026" t="str">
        <f t="shared" si="94"/>
        <v>23-Mar-2012</v>
      </c>
      <c r="E3026">
        <v>34</v>
      </c>
      <c r="F3026" s="13">
        <v>134.06</v>
      </c>
      <c r="G3026">
        <v>0.09</v>
      </c>
      <c r="H3026" t="s">
        <v>19</v>
      </c>
      <c r="I3026" s="13">
        <v>5.98</v>
      </c>
      <c r="J3026">
        <v>4.13</v>
      </c>
      <c r="K3026">
        <v>1.17</v>
      </c>
      <c r="L3026" t="s">
        <v>218</v>
      </c>
      <c r="M3026" t="s">
        <v>373</v>
      </c>
      <c r="N3026" s="5" t="s">
        <v>373</v>
      </c>
      <c r="O3026" t="s">
        <v>28</v>
      </c>
      <c r="P3026" t="s">
        <v>21</v>
      </c>
      <c r="Q3026" t="s">
        <v>50</v>
      </c>
      <c r="R3026">
        <v>0.56999999999999995</v>
      </c>
      <c r="S3026" s="1">
        <v>40993</v>
      </c>
      <c r="T3026" t="str">
        <f t="shared" si="95"/>
        <v>25-Mar-2012</v>
      </c>
    </row>
    <row r="3027" spans="1:20" x14ac:dyDescent="0.3">
      <c r="A3027">
        <v>20225</v>
      </c>
      <c r="B3027" s="1">
        <v>40385</v>
      </c>
      <c r="C3027" t="s">
        <v>18</v>
      </c>
      <c r="D3027" t="str">
        <f t="shared" si="94"/>
        <v>26-Jul-2010</v>
      </c>
      <c r="E3027">
        <v>33</v>
      </c>
      <c r="F3027" s="13">
        <v>124.78</v>
      </c>
      <c r="G3027">
        <v>0.09</v>
      </c>
      <c r="H3027" t="s">
        <v>19</v>
      </c>
      <c r="I3027" s="13">
        <v>-122.67</v>
      </c>
      <c r="J3027">
        <v>3.98</v>
      </c>
      <c r="K3027">
        <v>5.26</v>
      </c>
      <c r="L3027" t="s">
        <v>311</v>
      </c>
      <c r="M3027" t="s">
        <v>373</v>
      </c>
      <c r="N3027" s="5" t="s">
        <v>373</v>
      </c>
      <c r="O3027" t="s">
        <v>28</v>
      </c>
      <c r="P3027" t="s">
        <v>21</v>
      </c>
      <c r="Q3027" t="s">
        <v>26</v>
      </c>
      <c r="R3027">
        <v>0.38</v>
      </c>
      <c r="S3027" s="1">
        <v>40392</v>
      </c>
      <c r="T3027" t="str">
        <f t="shared" si="95"/>
        <v>02-Aug-2010</v>
      </c>
    </row>
    <row r="3028" spans="1:20" x14ac:dyDescent="0.3">
      <c r="A3028">
        <v>20225</v>
      </c>
      <c r="B3028" s="1">
        <v>40385</v>
      </c>
      <c r="C3028" t="s">
        <v>18</v>
      </c>
      <c r="D3028" t="str">
        <f t="shared" si="94"/>
        <v>26-Jul-2010</v>
      </c>
      <c r="E3028">
        <v>22</v>
      </c>
      <c r="F3028" s="13">
        <v>123.4</v>
      </c>
      <c r="G3028">
        <v>0.1</v>
      </c>
      <c r="H3028" t="s">
        <v>19</v>
      </c>
      <c r="I3028" s="13">
        <v>30.5</v>
      </c>
      <c r="J3028">
        <v>5.84</v>
      </c>
      <c r="K3028">
        <v>0.83</v>
      </c>
      <c r="L3028" t="s">
        <v>311</v>
      </c>
      <c r="M3028" t="s">
        <v>373</v>
      </c>
      <c r="N3028" s="5" t="s">
        <v>373</v>
      </c>
      <c r="O3028" t="s">
        <v>28</v>
      </c>
      <c r="P3028" t="s">
        <v>21</v>
      </c>
      <c r="Q3028" t="s">
        <v>50</v>
      </c>
      <c r="R3028">
        <v>0.49</v>
      </c>
      <c r="S3028" s="1">
        <v>40392</v>
      </c>
      <c r="T3028" t="str">
        <f t="shared" si="95"/>
        <v>02-Aug-2010</v>
      </c>
    </row>
    <row r="3029" spans="1:20" x14ac:dyDescent="0.3">
      <c r="A3029">
        <v>31619</v>
      </c>
      <c r="B3029" s="1">
        <v>40073</v>
      </c>
      <c r="C3029" t="s">
        <v>18</v>
      </c>
      <c r="D3029" t="str">
        <f t="shared" si="94"/>
        <v>17-Sep-2009</v>
      </c>
      <c r="E3029">
        <v>11</v>
      </c>
      <c r="F3029" s="13">
        <v>114.87</v>
      </c>
      <c r="G3029">
        <v>0.1</v>
      </c>
      <c r="H3029" t="s">
        <v>19</v>
      </c>
      <c r="I3029" s="13">
        <v>-21.03</v>
      </c>
      <c r="J3029">
        <v>10.98</v>
      </c>
      <c r="K3029">
        <v>3.99</v>
      </c>
      <c r="L3029" t="s">
        <v>389</v>
      </c>
      <c r="M3029" t="s">
        <v>373</v>
      </c>
      <c r="N3029" s="5" t="s">
        <v>373</v>
      </c>
      <c r="O3029" t="s">
        <v>28</v>
      </c>
      <c r="P3029" t="s">
        <v>21</v>
      </c>
      <c r="Q3029" t="s">
        <v>25</v>
      </c>
      <c r="R3029">
        <v>0.57999999999999996</v>
      </c>
      <c r="S3029" s="1">
        <v>40080</v>
      </c>
      <c r="T3029" t="str">
        <f t="shared" si="95"/>
        <v>24-Sep-2009</v>
      </c>
    </row>
    <row r="3030" spans="1:20" x14ac:dyDescent="0.3">
      <c r="A3030">
        <v>10466</v>
      </c>
      <c r="B3030" s="1">
        <v>41268</v>
      </c>
      <c r="C3030" t="s">
        <v>23</v>
      </c>
      <c r="D3030" t="str">
        <f t="shared" si="94"/>
        <v>25-Dec-2012</v>
      </c>
      <c r="E3030">
        <v>27</v>
      </c>
      <c r="F3030" s="13">
        <v>114.86</v>
      </c>
      <c r="G3030">
        <v>7.0000000000000007E-2</v>
      </c>
      <c r="H3030" t="s">
        <v>19</v>
      </c>
      <c r="I3030" s="13">
        <v>16.21</v>
      </c>
      <c r="J3030">
        <v>4.28</v>
      </c>
      <c r="K3030">
        <v>0.94</v>
      </c>
      <c r="L3030" t="s">
        <v>241</v>
      </c>
      <c r="M3030" t="s">
        <v>373</v>
      </c>
      <c r="N3030" s="5" t="s">
        <v>373</v>
      </c>
      <c r="O3030" t="s">
        <v>28</v>
      </c>
      <c r="P3030" t="s">
        <v>21</v>
      </c>
      <c r="Q3030" t="s">
        <v>50</v>
      </c>
      <c r="R3030">
        <v>0.56000000000000005</v>
      </c>
      <c r="S3030" s="1">
        <v>41269</v>
      </c>
      <c r="T3030" t="str">
        <f t="shared" si="95"/>
        <v>26-Dec-2012</v>
      </c>
    </row>
    <row r="3031" spans="1:20" x14ac:dyDescent="0.3">
      <c r="A3031">
        <v>27169</v>
      </c>
      <c r="B3031" s="1">
        <v>40797</v>
      </c>
      <c r="C3031" t="s">
        <v>31</v>
      </c>
      <c r="D3031" t="str">
        <f t="shared" si="94"/>
        <v>11-Sep-2011</v>
      </c>
      <c r="E3031">
        <v>16</v>
      </c>
      <c r="F3031" s="13">
        <v>109.9</v>
      </c>
      <c r="G3031">
        <v>0.01</v>
      </c>
      <c r="H3031" t="s">
        <v>19</v>
      </c>
      <c r="I3031" s="13">
        <v>-28.95</v>
      </c>
      <c r="J3031">
        <v>6.54</v>
      </c>
      <c r="K3031">
        <v>5.27</v>
      </c>
      <c r="L3031" t="s">
        <v>155</v>
      </c>
      <c r="M3031" t="s">
        <v>373</v>
      </c>
      <c r="N3031" s="5" t="s">
        <v>373</v>
      </c>
      <c r="O3031" t="s">
        <v>28</v>
      </c>
      <c r="P3031" t="s">
        <v>21</v>
      </c>
      <c r="Q3031" t="s">
        <v>26</v>
      </c>
      <c r="R3031">
        <v>0.36</v>
      </c>
      <c r="S3031" s="1">
        <v>40798</v>
      </c>
      <c r="T3031" t="str">
        <f t="shared" si="95"/>
        <v>12-Sep-2011</v>
      </c>
    </row>
    <row r="3032" spans="1:20" x14ac:dyDescent="0.3">
      <c r="A3032">
        <v>27744</v>
      </c>
      <c r="B3032" s="1">
        <v>40393</v>
      </c>
      <c r="C3032" t="s">
        <v>43</v>
      </c>
      <c r="D3032" t="str">
        <f t="shared" si="94"/>
        <v>03-Aug-2010</v>
      </c>
      <c r="E3032">
        <v>22</v>
      </c>
      <c r="F3032" s="13">
        <v>106.69</v>
      </c>
      <c r="G3032">
        <v>0.01</v>
      </c>
      <c r="H3032" t="s">
        <v>19</v>
      </c>
      <c r="I3032" s="13">
        <v>-76.599999999999994</v>
      </c>
      <c r="J3032">
        <v>4.54</v>
      </c>
      <c r="K3032">
        <v>5.83</v>
      </c>
      <c r="L3032" t="s">
        <v>389</v>
      </c>
      <c r="M3032" t="s">
        <v>373</v>
      </c>
      <c r="N3032" s="5" t="s">
        <v>373</v>
      </c>
      <c r="O3032" t="s">
        <v>28</v>
      </c>
      <c r="P3032" t="s">
        <v>21</v>
      </c>
      <c r="Q3032" t="s">
        <v>26</v>
      </c>
      <c r="R3032">
        <v>0.36</v>
      </c>
      <c r="S3032" s="1">
        <v>40394</v>
      </c>
      <c r="T3032" t="str">
        <f t="shared" si="95"/>
        <v>04-Aug-2010</v>
      </c>
    </row>
    <row r="3033" spans="1:20" x14ac:dyDescent="0.3">
      <c r="A3033">
        <v>23778</v>
      </c>
      <c r="B3033" s="1">
        <v>40007</v>
      </c>
      <c r="C3033" t="s">
        <v>18</v>
      </c>
      <c r="D3033" t="str">
        <f t="shared" si="94"/>
        <v>13-Jul-2009</v>
      </c>
      <c r="E3033">
        <v>13</v>
      </c>
      <c r="F3033" s="13">
        <v>105.94</v>
      </c>
      <c r="G3033">
        <v>0.06</v>
      </c>
      <c r="H3033" t="s">
        <v>19</v>
      </c>
      <c r="I3033" s="13">
        <v>-566</v>
      </c>
      <c r="J3033">
        <v>4.4800000000000004</v>
      </c>
      <c r="K3033">
        <v>49</v>
      </c>
      <c r="L3033" t="s">
        <v>218</v>
      </c>
      <c r="M3033" t="s">
        <v>373</v>
      </c>
      <c r="N3033" s="5" t="s">
        <v>373</v>
      </c>
      <c r="O3033" t="s">
        <v>28</v>
      </c>
      <c r="P3033" t="s">
        <v>21</v>
      </c>
      <c r="Q3033" t="s">
        <v>25</v>
      </c>
      <c r="R3033">
        <v>0.6</v>
      </c>
      <c r="S3033" s="1">
        <v>40011</v>
      </c>
      <c r="T3033" t="str">
        <f t="shared" si="95"/>
        <v>17-Jul-2009</v>
      </c>
    </row>
    <row r="3034" spans="1:20" x14ac:dyDescent="0.3">
      <c r="A3034">
        <v>23555</v>
      </c>
      <c r="B3034" s="1">
        <v>41254</v>
      </c>
      <c r="C3034" t="s">
        <v>23</v>
      </c>
      <c r="D3034" t="str">
        <f t="shared" si="94"/>
        <v>11-Dec-2012</v>
      </c>
      <c r="E3034">
        <v>29</v>
      </c>
      <c r="F3034" s="13">
        <v>104.7</v>
      </c>
      <c r="G3034">
        <v>0.09</v>
      </c>
      <c r="H3034" t="s">
        <v>19</v>
      </c>
      <c r="I3034" s="13">
        <v>42.16</v>
      </c>
      <c r="J3034">
        <v>3.69</v>
      </c>
      <c r="K3034">
        <v>0.5</v>
      </c>
      <c r="L3034" t="s">
        <v>378</v>
      </c>
      <c r="M3034" t="s">
        <v>373</v>
      </c>
      <c r="N3034" s="5" t="s">
        <v>373</v>
      </c>
      <c r="O3034" t="s">
        <v>28</v>
      </c>
      <c r="P3034" t="s">
        <v>21</v>
      </c>
      <c r="Q3034" t="s">
        <v>48</v>
      </c>
      <c r="R3034">
        <v>0.38</v>
      </c>
      <c r="S3034" s="1">
        <v>41255</v>
      </c>
      <c r="T3034" t="str">
        <f t="shared" si="95"/>
        <v>12-Dec-2012</v>
      </c>
    </row>
    <row r="3035" spans="1:20" x14ac:dyDescent="0.3">
      <c r="A3035">
        <v>13218</v>
      </c>
      <c r="B3035" s="1">
        <v>39949</v>
      </c>
      <c r="C3035" t="s">
        <v>23</v>
      </c>
      <c r="D3035" t="str">
        <f t="shared" si="94"/>
        <v>16-May-2009</v>
      </c>
      <c r="E3035">
        <v>16</v>
      </c>
      <c r="F3035" s="13">
        <v>98.8</v>
      </c>
      <c r="G3035">
        <v>7.0000000000000007E-2</v>
      </c>
      <c r="H3035" t="s">
        <v>19</v>
      </c>
      <c r="I3035" s="13">
        <v>-62</v>
      </c>
      <c r="J3035">
        <v>5.98</v>
      </c>
      <c r="K3035">
        <v>7.15</v>
      </c>
      <c r="L3035" t="s">
        <v>382</v>
      </c>
      <c r="M3035" t="s">
        <v>373</v>
      </c>
      <c r="N3035" s="5" t="s">
        <v>373</v>
      </c>
      <c r="O3035" t="s">
        <v>28</v>
      </c>
      <c r="P3035" t="s">
        <v>21</v>
      </c>
      <c r="Q3035" t="s">
        <v>37</v>
      </c>
      <c r="R3035">
        <v>0.36</v>
      </c>
      <c r="S3035" s="1">
        <v>39951</v>
      </c>
      <c r="T3035" t="str">
        <f t="shared" si="95"/>
        <v>18-May-2009</v>
      </c>
    </row>
    <row r="3036" spans="1:20" x14ac:dyDescent="0.3">
      <c r="A3036">
        <v>28832</v>
      </c>
      <c r="B3036" s="1">
        <v>40445</v>
      </c>
      <c r="C3036" t="s">
        <v>38</v>
      </c>
      <c r="D3036" t="str">
        <f t="shared" si="94"/>
        <v>24-Sep-2010</v>
      </c>
      <c r="E3036">
        <v>45</v>
      </c>
      <c r="F3036" s="13">
        <v>98.64</v>
      </c>
      <c r="G3036">
        <v>0.03</v>
      </c>
      <c r="H3036" t="s">
        <v>19</v>
      </c>
      <c r="I3036" s="13">
        <v>-9.36</v>
      </c>
      <c r="J3036">
        <v>2.08</v>
      </c>
      <c r="K3036">
        <v>1.49</v>
      </c>
      <c r="L3036" t="s">
        <v>383</v>
      </c>
      <c r="M3036" t="s">
        <v>373</v>
      </c>
      <c r="N3036" s="5" t="s">
        <v>373</v>
      </c>
      <c r="O3036" t="s">
        <v>28</v>
      </c>
      <c r="P3036" t="s">
        <v>21</v>
      </c>
      <c r="Q3036" t="s">
        <v>26</v>
      </c>
      <c r="R3036">
        <v>0.38</v>
      </c>
      <c r="S3036" s="1">
        <v>40447</v>
      </c>
      <c r="T3036" t="str">
        <f t="shared" si="95"/>
        <v>26-Sep-2010</v>
      </c>
    </row>
    <row r="3037" spans="1:20" x14ac:dyDescent="0.3">
      <c r="A3037">
        <v>10052</v>
      </c>
      <c r="B3037" s="1">
        <v>40063</v>
      </c>
      <c r="C3037" t="s">
        <v>31</v>
      </c>
      <c r="D3037" t="str">
        <f t="shared" si="94"/>
        <v>07-Sep-2009</v>
      </c>
      <c r="E3037">
        <v>16</v>
      </c>
      <c r="F3037" s="13">
        <v>95.9</v>
      </c>
      <c r="G3037">
        <v>7.0000000000000007E-2</v>
      </c>
      <c r="H3037" t="s">
        <v>19</v>
      </c>
      <c r="I3037" s="13">
        <v>19.57</v>
      </c>
      <c r="J3037">
        <v>6.08</v>
      </c>
      <c r="K3037">
        <v>0.91</v>
      </c>
      <c r="L3037" t="s">
        <v>226</v>
      </c>
      <c r="M3037" t="s">
        <v>373</v>
      </c>
      <c r="N3037" s="5" t="s">
        <v>373</v>
      </c>
      <c r="O3037" t="s">
        <v>28</v>
      </c>
      <c r="P3037" t="s">
        <v>21</v>
      </c>
      <c r="Q3037" t="s">
        <v>50</v>
      </c>
      <c r="R3037">
        <v>0.51</v>
      </c>
      <c r="S3037" s="1">
        <v>40064</v>
      </c>
      <c r="T3037" t="str">
        <f t="shared" si="95"/>
        <v>08-Sep-2009</v>
      </c>
    </row>
    <row r="3038" spans="1:20" x14ac:dyDescent="0.3">
      <c r="A3038">
        <v>3654</v>
      </c>
      <c r="B3038" s="1">
        <v>41062</v>
      </c>
      <c r="C3038" t="s">
        <v>18</v>
      </c>
      <c r="D3038" t="str">
        <f t="shared" si="94"/>
        <v>02-Jun-2012</v>
      </c>
      <c r="E3038">
        <v>41</v>
      </c>
      <c r="F3038" s="13">
        <v>95.73</v>
      </c>
      <c r="G3038">
        <v>0</v>
      </c>
      <c r="H3038" t="s">
        <v>19</v>
      </c>
      <c r="I3038" s="13">
        <v>-151.15</v>
      </c>
      <c r="J3038">
        <v>2.08</v>
      </c>
      <c r="K3038">
        <v>5.33</v>
      </c>
      <c r="L3038" t="s">
        <v>219</v>
      </c>
      <c r="M3038" t="s">
        <v>373</v>
      </c>
      <c r="N3038" s="5" t="s">
        <v>373</v>
      </c>
      <c r="O3038" t="s">
        <v>28</v>
      </c>
      <c r="P3038" t="s">
        <v>32</v>
      </c>
      <c r="Q3038" t="s">
        <v>33</v>
      </c>
      <c r="R3038">
        <v>0.43</v>
      </c>
      <c r="S3038" s="1">
        <v>41067</v>
      </c>
      <c r="T3038" t="str">
        <f t="shared" si="95"/>
        <v>07-Jun-2012</v>
      </c>
    </row>
    <row r="3039" spans="1:20" x14ac:dyDescent="0.3">
      <c r="A3039">
        <v>19524</v>
      </c>
      <c r="B3039" s="1">
        <v>40192</v>
      </c>
      <c r="C3039" t="s">
        <v>43</v>
      </c>
      <c r="D3039" t="str">
        <f t="shared" si="94"/>
        <v>14-Jan-2010</v>
      </c>
      <c r="E3039">
        <v>9</v>
      </c>
      <c r="F3039" s="13">
        <v>92.02</v>
      </c>
      <c r="G3039">
        <v>7.0000000000000007E-2</v>
      </c>
      <c r="H3039" t="s">
        <v>19</v>
      </c>
      <c r="I3039" s="13">
        <v>-24.88</v>
      </c>
      <c r="J3039">
        <v>10.23</v>
      </c>
      <c r="K3039">
        <v>4.68</v>
      </c>
      <c r="L3039" t="s">
        <v>207</v>
      </c>
      <c r="M3039" t="s">
        <v>373</v>
      </c>
      <c r="N3039" s="5" t="s">
        <v>373</v>
      </c>
      <c r="O3039" t="s">
        <v>28</v>
      </c>
      <c r="P3039" t="s">
        <v>21</v>
      </c>
      <c r="Q3039" t="s">
        <v>67</v>
      </c>
      <c r="R3039">
        <v>0.59</v>
      </c>
      <c r="S3039" s="1">
        <v>40193</v>
      </c>
      <c r="T3039" t="str">
        <f t="shared" si="95"/>
        <v>15-Jan-2010</v>
      </c>
    </row>
    <row r="3040" spans="1:20" x14ac:dyDescent="0.3">
      <c r="A3040">
        <v>12965</v>
      </c>
      <c r="B3040" s="1">
        <v>40354</v>
      </c>
      <c r="C3040" t="s">
        <v>38</v>
      </c>
      <c r="D3040" t="str">
        <f t="shared" si="94"/>
        <v>25-Jun-2010</v>
      </c>
      <c r="E3040">
        <v>21</v>
      </c>
      <c r="F3040" s="13">
        <v>90.78</v>
      </c>
      <c r="G3040">
        <v>0.06</v>
      </c>
      <c r="H3040" t="s">
        <v>19</v>
      </c>
      <c r="I3040" s="13">
        <v>-71.84</v>
      </c>
      <c r="J3040">
        <v>4.24</v>
      </c>
      <c r="K3040">
        <v>5.41</v>
      </c>
      <c r="L3040" t="s">
        <v>242</v>
      </c>
      <c r="M3040" t="s">
        <v>373</v>
      </c>
      <c r="N3040" s="5" t="s">
        <v>373</v>
      </c>
      <c r="O3040" t="s">
        <v>28</v>
      </c>
      <c r="P3040" t="s">
        <v>21</v>
      </c>
      <c r="Q3040" t="s">
        <v>26</v>
      </c>
      <c r="R3040">
        <v>0.35</v>
      </c>
      <c r="S3040" s="1">
        <v>40355</v>
      </c>
      <c r="T3040" t="str">
        <f t="shared" si="95"/>
        <v>26-Jun-2010</v>
      </c>
    </row>
    <row r="3041" spans="1:20" x14ac:dyDescent="0.3">
      <c r="A3041">
        <v>929</v>
      </c>
      <c r="B3041" s="1">
        <v>41183</v>
      </c>
      <c r="C3041" t="s">
        <v>23</v>
      </c>
      <c r="D3041" t="str">
        <f t="shared" si="94"/>
        <v>01-Oct-2012</v>
      </c>
      <c r="E3041">
        <v>39</v>
      </c>
      <c r="F3041" s="13">
        <v>84.33</v>
      </c>
      <c r="G3041">
        <v>0.04</v>
      </c>
      <c r="H3041" t="s">
        <v>19</v>
      </c>
      <c r="I3041" s="13">
        <v>-64.290000000000006</v>
      </c>
      <c r="J3041">
        <v>2.08</v>
      </c>
      <c r="K3041">
        <v>2.56</v>
      </c>
      <c r="L3041" t="s">
        <v>256</v>
      </c>
      <c r="M3041" t="s">
        <v>373</v>
      </c>
      <c r="N3041" s="5" t="s">
        <v>373</v>
      </c>
      <c r="O3041" t="s">
        <v>28</v>
      </c>
      <c r="P3041" t="s">
        <v>21</v>
      </c>
      <c r="Q3041" t="s">
        <v>67</v>
      </c>
      <c r="R3041">
        <v>0.55000000000000004</v>
      </c>
      <c r="S3041" s="1">
        <v>41185</v>
      </c>
      <c r="T3041" t="str">
        <f t="shared" si="95"/>
        <v>03-Oct-2012</v>
      </c>
    </row>
    <row r="3042" spans="1:20" x14ac:dyDescent="0.3">
      <c r="A3042">
        <v>2535</v>
      </c>
      <c r="B3042" s="1">
        <v>40322</v>
      </c>
      <c r="C3042" t="s">
        <v>18</v>
      </c>
      <c r="D3042" t="str">
        <f t="shared" si="94"/>
        <v>24-May-2010</v>
      </c>
      <c r="E3042">
        <v>6</v>
      </c>
      <c r="F3042" s="13">
        <v>82.72</v>
      </c>
      <c r="G3042">
        <v>0.08</v>
      </c>
      <c r="H3042" t="s">
        <v>19</v>
      </c>
      <c r="I3042" s="13">
        <v>-29.71</v>
      </c>
      <c r="J3042">
        <v>14.48</v>
      </c>
      <c r="K3042">
        <v>1.99</v>
      </c>
      <c r="L3042" t="s">
        <v>379</v>
      </c>
      <c r="M3042" t="s">
        <v>373</v>
      </c>
      <c r="N3042" s="5" t="s">
        <v>373</v>
      </c>
      <c r="O3042" t="s">
        <v>28</v>
      </c>
      <c r="P3042" t="s">
        <v>29</v>
      </c>
      <c r="Q3042" t="s">
        <v>41</v>
      </c>
      <c r="R3042">
        <v>0.49</v>
      </c>
      <c r="S3042" s="1">
        <v>40324</v>
      </c>
      <c r="T3042" t="str">
        <f t="shared" si="95"/>
        <v>26-May-2010</v>
      </c>
    </row>
    <row r="3043" spans="1:20" x14ac:dyDescent="0.3">
      <c r="A3043">
        <v>59072</v>
      </c>
      <c r="B3043" s="1">
        <v>39958</v>
      </c>
      <c r="C3043" t="s">
        <v>31</v>
      </c>
      <c r="D3043" t="str">
        <f t="shared" si="94"/>
        <v>25-May-2009</v>
      </c>
      <c r="E3043">
        <v>12</v>
      </c>
      <c r="F3043" s="13">
        <v>78.94</v>
      </c>
      <c r="G3043">
        <v>0.03</v>
      </c>
      <c r="H3043" t="s">
        <v>35</v>
      </c>
      <c r="I3043" s="13">
        <v>-51.7</v>
      </c>
      <c r="J3043">
        <v>5.44</v>
      </c>
      <c r="K3043">
        <v>7.46</v>
      </c>
      <c r="L3043" t="s">
        <v>375</v>
      </c>
      <c r="M3043" t="s">
        <v>373</v>
      </c>
      <c r="N3043" s="5" t="s">
        <v>373</v>
      </c>
      <c r="O3043" t="s">
        <v>28</v>
      </c>
      <c r="P3043" t="s">
        <v>21</v>
      </c>
      <c r="Q3043" t="s">
        <v>26</v>
      </c>
      <c r="R3043">
        <v>0.36</v>
      </c>
      <c r="S3043" s="1">
        <v>39960</v>
      </c>
      <c r="T3043" t="str">
        <f t="shared" si="95"/>
        <v>27-May-2009</v>
      </c>
    </row>
    <row r="3044" spans="1:20" x14ac:dyDescent="0.3">
      <c r="A3044">
        <v>59783</v>
      </c>
      <c r="B3044" s="1">
        <v>40409</v>
      </c>
      <c r="C3044" t="s">
        <v>18</v>
      </c>
      <c r="D3044" t="str">
        <f t="shared" si="94"/>
        <v>19-Aug-2010</v>
      </c>
      <c r="E3044">
        <v>36</v>
      </c>
      <c r="F3044" s="13">
        <v>77.430000000000007</v>
      </c>
      <c r="G3044">
        <v>0.01</v>
      </c>
      <c r="H3044" t="s">
        <v>19</v>
      </c>
      <c r="I3044" s="13">
        <v>-60.07</v>
      </c>
      <c r="J3044">
        <v>2.08</v>
      </c>
      <c r="K3044">
        <v>2.56</v>
      </c>
      <c r="L3044" t="s">
        <v>374</v>
      </c>
      <c r="M3044" t="s">
        <v>373</v>
      </c>
      <c r="N3044" s="5" t="s">
        <v>373</v>
      </c>
      <c r="O3044" t="s">
        <v>28</v>
      </c>
      <c r="P3044" t="s">
        <v>21</v>
      </c>
      <c r="Q3044" t="s">
        <v>67</v>
      </c>
      <c r="R3044">
        <v>0.55000000000000004</v>
      </c>
      <c r="S3044" s="1">
        <v>40414</v>
      </c>
      <c r="T3044" t="str">
        <f t="shared" si="95"/>
        <v>24-Aug-2010</v>
      </c>
    </row>
    <row r="3045" spans="1:20" x14ac:dyDescent="0.3">
      <c r="A3045">
        <v>19047</v>
      </c>
      <c r="B3045" s="1">
        <v>39841</v>
      </c>
      <c r="C3045" t="s">
        <v>23</v>
      </c>
      <c r="D3045" t="str">
        <f t="shared" si="94"/>
        <v>28-Jan-2009</v>
      </c>
      <c r="E3045">
        <v>1</v>
      </c>
      <c r="F3045" s="13">
        <v>67.489999999999995</v>
      </c>
      <c r="G3045">
        <v>0.06</v>
      </c>
      <c r="H3045" t="s">
        <v>19</v>
      </c>
      <c r="I3045" s="13">
        <v>-22.82</v>
      </c>
      <c r="J3045">
        <v>55.48</v>
      </c>
      <c r="K3045">
        <v>14.3</v>
      </c>
      <c r="L3045" t="s">
        <v>378</v>
      </c>
      <c r="M3045" t="s">
        <v>373</v>
      </c>
      <c r="N3045" s="5" t="s">
        <v>373</v>
      </c>
      <c r="O3045" t="s">
        <v>28</v>
      </c>
      <c r="P3045" t="s">
        <v>21</v>
      </c>
      <c r="Q3045" t="s">
        <v>37</v>
      </c>
      <c r="R3045">
        <v>0.37</v>
      </c>
      <c r="S3045" s="1">
        <v>39842</v>
      </c>
      <c r="T3045" t="str">
        <f t="shared" si="95"/>
        <v>29-Jan-2009</v>
      </c>
    </row>
    <row r="3046" spans="1:20" x14ac:dyDescent="0.3">
      <c r="A3046">
        <v>19207</v>
      </c>
      <c r="B3046" s="1">
        <v>40983</v>
      </c>
      <c r="C3046" t="s">
        <v>31</v>
      </c>
      <c r="D3046" t="str">
        <f t="shared" si="94"/>
        <v>15-Mar-2012</v>
      </c>
      <c r="E3046">
        <v>23</v>
      </c>
      <c r="F3046" s="13">
        <v>66.02</v>
      </c>
      <c r="G3046">
        <v>0.1</v>
      </c>
      <c r="H3046" t="s">
        <v>19</v>
      </c>
      <c r="I3046" s="13">
        <v>10.88</v>
      </c>
      <c r="J3046">
        <v>3.08</v>
      </c>
      <c r="K3046">
        <v>0.99</v>
      </c>
      <c r="L3046" t="s">
        <v>374</v>
      </c>
      <c r="M3046" t="s">
        <v>373</v>
      </c>
      <c r="N3046" s="5" t="s">
        <v>373</v>
      </c>
      <c r="O3046" t="s">
        <v>28</v>
      </c>
      <c r="P3046" t="s">
        <v>21</v>
      </c>
      <c r="Q3046" t="s">
        <v>48</v>
      </c>
      <c r="R3046">
        <v>0.37</v>
      </c>
      <c r="S3046" s="1">
        <v>40985</v>
      </c>
      <c r="T3046" t="str">
        <f t="shared" si="95"/>
        <v>17-Mar-2012</v>
      </c>
    </row>
    <row r="3047" spans="1:20" x14ac:dyDescent="0.3">
      <c r="A3047">
        <v>30759</v>
      </c>
      <c r="B3047" s="1">
        <v>39941</v>
      </c>
      <c r="C3047" t="s">
        <v>31</v>
      </c>
      <c r="D3047" t="str">
        <f t="shared" si="94"/>
        <v>08-May-2009</v>
      </c>
      <c r="E3047">
        <v>2</v>
      </c>
      <c r="F3047" s="13">
        <v>64.790000000000006</v>
      </c>
      <c r="G3047">
        <v>0.03</v>
      </c>
      <c r="H3047" t="s">
        <v>19</v>
      </c>
      <c r="I3047" s="13">
        <v>-41.32</v>
      </c>
      <c r="J3047">
        <v>29.34</v>
      </c>
      <c r="K3047">
        <v>7.87</v>
      </c>
      <c r="L3047" t="s">
        <v>232</v>
      </c>
      <c r="M3047" t="s">
        <v>373</v>
      </c>
      <c r="N3047" s="5" t="s">
        <v>373</v>
      </c>
      <c r="O3047" t="s">
        <v>28</v>
      </c>
      <c r="P3047" t="s">
        <v>32</v>
      </c>
      <c r="Q3047" t="s">
        <v>33</v>
      </c>
      <c r="R3047">
        <v>0.54</v>
      </c>
      <c r="S3047" s="1">
        <v>39943</v>
      </c>
      <c r="T3047" t="str">
        <f t="shared" si="95"/>
        <v>10-May-2009</v>
      </c>
    </row>
    <row r="3048" spans="1:20" x14ac:dyDescent="0.3">
      <c r="A3048">
        <v>5989</v>
      </c>
      <c r="B3048" s="1">
        <v>40830</v>
      </c>
      <c r="C3048" t="s">
        <v>38</v>
      </c>
      <c r="D3048" t="str">
        <f t="shared" si="94"/>
        <v>14-Oct-2011</v>
      </c>
      <c r="E3048">
        <v>21</v>
      </c>
      <c r="F3048" s="13">
        <v>56.77</v>
      </c>
      <c r="G3048">
        <v>0.06</v>
      </c>
      <c r="H3048" t="s">
        <v>19</v>
      </c>
      <c r="I3048" s="13">
        <v>-3.2</v>
      </c>
      <c r="J3048">
        <v>2.78</v>
      </c>
      <c r="K3048">
        <v>1.34</v>
      </c>
      <c r="L3048" t="s">
        <v>269</v>
      </c>
      <c r="M3048" t="s">
        <v>373</v>
      </c>
      <c r="N3048" s="5" t="s">
        <v>373</v>
      </c>
      <c r="O3048" t="s">
        <v>28</v>
      </c>
      <c r="P3048" t="s">
        <v>21</v>
      </c>
      <c r="Q3048" t="s">
        <v>50</v>
      </c>
      <c r="R3048">
        <v>0.45</v>
      </c>
      <c r="S3048" s="1">
        <v>40831</v>
      </c>
      <c r="T3048" t="str">
        <f t="shared" si="95"/>
        <v>15-Oct-2011</v>
      </c>
    </row>
    <row r="3049" spans="1:20" x14ac:dyDescent="0.3">
      <c r="A3049">
        <v>18530</v>
      </c>
      <c r="B3049" s="1">
        <v>40543</v>
      </c>
      <c r="C3049" t="s">
        <v>31</v>
      </c>
      <c r="D3049" t="str">
        <f t="shared" si="94"/>
        <v>31-Dec-2010</v>
      </c>
      <c r="E3049">
        <v>2</v>
      </c>
      <c r="F3049" s="13">
        <v>56.13</v>
      </c>
      <c r="G3049">
        <v>0.02</v>
      </c>
      <c r="H3049" t="s">
        <v>19</v>
      </c>
      <c r="I3049" s="13">
        <v>48.85</v>
      </c>
      <c r="J3049">
        <v>20.28</v>
      </c>
      <c r="K3049">
        <v>14.39</v>
      </c>
      <c r="L3049" t="s">
        <v>267</v>
      </c>
      <c r="M3049" t="s">
        <v>373</v>
      </c>
      <c r="N3049" s="5" t="s">
        <v>373</v>
      </c>
      <c r="O3049" t="s">
        <v>28</v>
      </c>
      <c r="P3049" t="s">
        <v>32</v>
      </c>
      <c r="Q3049" t="s">
        <v>33</v>
      </c>
      <c r="R3049">
        <v>0.47</v>
      </c>
      <c r="S3049" s="1">
        <v>40543</v>
      </c>
      <c r="T3049" t="str">
        <f t="shared" si="95"/>
        <v>31-Dec-2010</v>
      </c>
    </row>
    <row r="3050" spans="1:20" x14ac:dyDescent="0.3">
      <c r="A3050">
        <v>18402</v>
      </c>
      <c r="B3050" s="1">
        <v>40054</v>
      </c>
      <c r="C3050" t="s">
        <v>18</v>
      </c>
      <c r="D3050" t="str">
        <f t="shared" si="94"/>
        <v>29-Aug-2009</v>
      </c>
      <c r="E3050">
        <v>3</v>
      </c>
      <c r="F3050" s="13">
        <v>56.07</v>
      </c>
      <c r="G3050">
        <v>0</v>
      </c>
      <c r="H3050" t="s">
        <v>19</v>
      </c>
      <c r="I3050" s="13">
        <v>10.49</v>
      </c>
      <c r="J3050">
        <v>12.99</v>
      </c>
      <c r="K3050">
        <v>14.37</v>
      </c>
      <c r="L3050" t="s">
        <v>245</v>
      </c>
      <c r="M3050" t="s">
        <v>373</v>
      </c>
      <c r="N3050" s="5" t="s">
        <v>373</v>
      </c>
      <c r="O3050" t="s">
        <v>28</v>
      </c>
      <c r="P3050" t="s">
        <v>32</v>
      </c>
      <c r="Q3050" t="s">
        <v>33</v>
      </c>
      <c r="R3050">
        <v>0.73</v>
      </c>
      <c r="S3050" s="1">
        <v>40054</v>
      </c>
      <c r="T3050" t="str">
        <f t="shared" si="95"/>
        <v>29-Aug-2009</v>
      </c>
    </row>
    <row r="3051" spans="1:20" x14ac:dyDescent="0.3">
      <c r="A3051">
        <v>26437</v>
      </c>
      <c r="B3051" s="1">
        <v>40875</v>
      </c>
      <c r="C3051" t="s">
        <v>43</v>
      </c>
      <c r="D3051" t="str">
        <f t="shared" si="94"/>
        <v>28-Nov-2011</v>
      </c>
      <c r="E3051">
        <v>4</v>
      </c>
      <c r="F3051" s="13">
        <v>52.43</v>
      </c>
      <c r="G3051">
        <v>0.03</v>
      </c>
      <c r="H3051" t="s">
        <v>35</v>
      </c>
      <c r="I3051" s="13">
        <v>-12.98</v>
      </c>
      <c r="J3051">
        <v>9.65</v>
      </c>
      <c r="K3051">
        <v>6.22</v>
      </c>
      <c r="L3051" t="s">
        <v>236</v>
      </c>
      <c r="M3051" t="s">
        <v>373</v>
      </c>
      <c r="N3051" s="5" t="s">
        <v>373</v>
      </c>
      <c r="O3051" t="s">
        <v>28</v>
      </c>
      <c r="P3051" t="s">
        <v>32</v>
      </c>
      <c r="Q3051" t="s">
        <v>33</v>
      </c>
      <c r="R3051">
        <v>0.55000000000000004</v>
      </c>
      <c r="S3051" s="1">
        <v>40876</v>
      </c>
      <c r="T3051" t="str">
        <f t="shared" si="95"/>
        <v>29-Nov-2011</v>
      </c>
    </row>
    <row r="3052" spans="1:20" x14ac:dyDescent="0.3">
      <c r="A3052">
        <v>13569</v>
      </c>
      <c r="B3052" s="1">
        <v>40643</v>
      </c>
      <c r="C3052" t="s">
        <v>43</v>
      </c>
      <c r="D3052" t="str">
        <f t="shared" si="94"/>
        <v>10-Apr-2011</v>
      </c>
      <c r="E3052">
        <v>16</v>
      </c>
      <c r="F3052" s="13">
        <v>47.45</v>
      </c>
      <c r="G3052">
        <v>0.05</v>
      </c>
      <c r="H3052" t="s">
        <v>19</v>
      </c>
      <c r="I3052" s="13">
        <v>1.07</v>
      </c>
      <c r="J3052">
        <v>2.88</v>
      </c>
      <c r="K3052">
        <v>1.49</v>
      </c>
      <c r="L3052" t="s">
        <v>218</v>
      </c>
      <c r="M3052" t="s">
        <v>373</v>
      </c>
      <c r="N3052" s="5" t="s">
        <v>373</v>
      </c>
      <c r="O3052" t="s">
        <v>28</v>
      </c>
      <c r="P3052" t="s">
        <v>21</v>
      </c>
      <c r="Q3052" t="s">
        <v>26</v>
      </c>
      <c r="R3052">
        <v>0.36</v>
      </c>
      <c r="S3052" s="1">
        <v>40644</v>
      </c>
      <c r="T3052" t="str">
        <f t="shared" si="95"/>
        <v>11-Apr-2011</v>
      </c>
    </row>
    <row r="3053" spans="1:20" x14ac:dyDescent="0.3">
      <c r="A3053">
        <v>35456</v>
      </c>
      <c r="B3053" s="1">
        <v>41214</v>
      </c>
      <c r="C3053" t="s">
        <v>43</v>
      </c>
      <c r="D3053" t="str">
        <f t="shared" si="94"/>
        <v>01-Nov-2012</v>
      </c>
      <c r="E3053">
        <v>37</v>
      </c>
      <c r="F3053" s="13">
        <v>46.37</v>
      </c>
      <c r="G3053">
        <v>0.03</v>
      </c>
      <c r="H3053" t="s">
        <v>19</v>
      </c>
      <c r="I3053" s="13">
        <v>-19.809999999999999</v>
      </c>
      <c r="J3053">
        <v>1.26</v>
      </c>
      <c r="K3053">
        <v>0.7</v>
      </c>
      <c r="L3053" t="s">
        <v>374</v>
      </c>
      <c r="M3053" t="s">
        <v>373</v>
      </c>
      <c r="N3053" s="5" t="s">
        <v>373</v>
      </c>
      <c r="O3053" t="s">
        <v>28</v>
      </c>
      <c r="P3053" t="s">
        <v>21</v>
      </c>
      <c r="Q3053" t="s">
        <v>39</v>
      </c>
      <c r="R3053">
        <v>0.81</v>
      </c>
      <c r="S3053" s="1">
        <v>41216</v>
      </c>
      <c r="T3053" t="str">
        <f t="shared" si="95"/>
        <v>03-Nov-2012</v>
      </c>
    </row>
    <row r="3054" spans="1:20" x14ac:dyDescent="0.3">
      <c r="A3054">
        <v>12965</v>
      </c>
      <c r="B3054" s="1">
        <v>40354</v>
      </c>
      <c r="C3054" t="s">
        <v>38</v>
      </c>
      <c r="D3054" t="str">
        <f t="shared" si="94"/>
        <v>25-Jun-2010</v>
      </c>
      <c r="E3054">
        <v>7</v>
      </c>
      <c r="F3054" s="13">
        <v>44.74</v>
      </c>
      <c r="G3054">
        <v>0.04</v>
      </c>
      <c r="H3054" t="s">
        <v>19</v>
      </c>
      <c r="I3054" s="13">
        <v>-20.100000000000001</v>
      </c>
      <c r="J3054">
        <v>5.74</v>
      </c>
      <c r="K3054">
        <v>5.01</v>
      </c>
      <c r="L3054" t="s">
        <v>242</v>
      </c>
      <c r="M3054" t="s">
        <v>373</v>
      </c>
      <c r="N3054" s="5" t="s">
        <v>373</v>
      </c>
      <c r="O3054" t="s">
        <v>28</v>
      </c>
      <c r="P3054" t="s">
        <v>21</v>
      </c>
      <c r="Q3054" t="s">
        <v>26</v>
      </c>
      <c r="R3054">
        <v>0.39</v>
      </c>
      <c r="S3054" s="1">
        <v>40355</v>
      </c>
      <c r="T3054" t="str">
        <f t="shared" si="95"/>
        <v>26-Jun-2010</v>
      </c>
    </row>
    <row r="3055" spans="1:20" x14ac:dyDescent="0.3">
      <c r="A3055">
        <v>31590</v>
      </c>
      <c r="B3055" s="1">
        <v>40334</v>
      </c>
      <c r="C3055" t="s">
        <v>43</v>
      </c>
      <c r="D3055" t="str">
        <f t="shared" si="94"/>
        <v>05-Jun-2010</v>
      </c>
      <c r="E3055">
        <v>5</v>
      </c>
      <c r="F3055" s="13">
        <v>43.49</v>
      </c>
      <c r="G3055">
        <v>0.06</v>
      </c>
      <c r="H3055" t="s">
        <v>19</v>
      </c>
      <c r="I3055" s="13">
        <v>-21.44</v>
      </c>
      <c r="J3055">
        <v>8.33</v>
      </c>
      <c r="K3055">
        <v>1.99</v>
      </c>
      <c r="L3055" t="s">
        <v>256</v>
      </c>
      <c r="M3055" t="s">
        <v>373</v>
      </c>
      <c r="N3055" s="5" t="s">
        <v>373</v>
      </c>
      <c r="O3055" t="s">
        <v>28</v>
      </c>
      <c r="P3055" t="s">
        <v>29</v>
      </c>
      <c r="Q3055" t="s">
        <v>41</v>
      </c>
      <c r="R3055">
        <v>0.52</v>
      </c>
      <c r="S3055" s="1">
        <v>40335</v>
      </c>
      <c r="T3055" t="str">
        <f t="shared" si="95"/>
        <v>06-Jun-2010</v>
      </c>
    </row>
    <row r="3056" spans="1:20" x14ac:dyDescent="0.3">
      <c r="A3056">
        <v>20002</v>
      </c>
      <c r="B3056" s="1">
        <v>41133</v>
      </c>
      <c r="C3056" t="s">
        <v>38</v>
      </c>
      <c r="D3056" t="str">
        <f t="shared" si="94"/>
        <v>12-Aug-2012</v>
      </c>
      <c r="E3056">
        <v>9</v>
      </c>
      <c r="F3056" s="13">
        <v>41.03</v>
      </c>
      <c r="G3056">
        <v>0.1</v>
      </c>
      <c r="H3056" t="s">
        <v>19</v>
      </c>
      <c r="I3056" s="13">
        <v>-30.47</v>
      </c>
      <c r="J3056">
        <v>4.7699999999999996</v>
      </c>
      <c r="K3056">
        <v>2.39</v>
      </c>
      <c r="L3056" t="s">
        <v>375</v>
      </c>
      <c r="M3056" t="s">
        <v>373</v>
      </c>
      <c r="N3056" s="5" t="s">
        <v>373</v>
      </c>
      <c r="O3056" t="s">
        <v>28</v>
      </c>
      <c r="P3056" t="s">
        <v>29</v>
      </c>
      <c r="Q3056" t="s">
        <v>41</v>
      </c>
      <c r="R3056">
        <v>0.72</v>
      </c>
      <c r="S3056" s="1">
        <v>41134</v>
      </c>
      <c r="T3056" t="str">
        <f t="shared" si="95"/>
        <v>13-Aug-2012</v>
      </c>
    </row>
    <row r="3057" spans="1:20" x14ac:dyDescent="0.3">
      <c r="A3057">
        <v>6693</v>
      </c>
      <c r="B3057" s="1">
        <v>41053</v>
      </c>
      <c r="C3057" t="s">
        <v>43</v>
      </c>
      <c r="D3057" t="str">
        <f t="shared" si="94"/>
        <v>24-May-2012</v>
      </c>
      <c r="E3057">
        <v>16</v>
      </c>
      <c r="F3057" s="13">
        <v>40.85</v>
      </c>
      <c r="G3057">
        <v>0.09</v>
      </c>
      <c r="H3057" t="s">
        <v>19</v>
      </c>
      <c r="I3057" s="13">
        <v>6.46</v>
      </c>
      <c r="J3057">
        <v>2.62</v>
      </c>
      <c r="K3057">
        <v>0.8</v>
      </c>
      <c r="L3057" t="s">
        <v>228</v>
      </c>
      <c r="M3057" t="s">
        <v>373</v>
      </c>
      <c r="N3057" s="5" t="s">
        <v>373</v>
      </c>
      <c r="O3057" t="s">
        <v>28</v>
      </c>
      <c r="P3057" t="s">
        <v>21</v>
      </c>
      <c r="Q3057" t="s">
        <v>39</v>
      </c>
      <c r="R3057">
        <v>0.39</v>
      </c>
      <c r="S3057" s="1">
        <v>41055</v>
      </c>
      <c r="T3057" t="str">
        <f t="shared" si="95"/>
        <v>26-May-2012</v>
      </c>
    </row>
    <row r="3058" spans="1:20" x14ac:dyDescent="0.3">
      <c r="A3058">
        <v>13157</v>
      </c>
      <c r="B3058" s="1">
        <v>40950</v>
      </c>
      <c r="C3058" t="s">
        <v>38</v>
      </c>
      <c r="D3058" t="str">
        <f t="shared" si="94"/>
        <v>11-Feb-2012</v>
      </c>
      <c r="E3058">
        <v>2</v>
      </c>
      <c r="F3058" s="13">
        <v>38.93</v>
      </c>
      <c r="G3058">
        <v>7.0000000000000007E-2</v>
      </c>
      <c r="H3058" t="s">
        <v>19</v>
      </c>
      <c r="I3058" s="13">
        <v>-102.43</v>
      </c>
      <c r="J3058">
        <v>20.99</v>
      </c>
      <c r="K3058">
        <v>4.8099999999999996</v>
      </c>
      <c r="L3058" t="s">
        <v>245</v>
      </c>
      <c r="M3058" t="s">
        <v>373</v>
      </c>
      <c r="N3058" s="5" t="s">
        <v>373</v>
      </c>
      <c r="O3058" t="s">
        <v>28</v>
      </c>
      <c r="P3058" t="s">
        <v>29</v>
      </c>
      <c r="Q3058" t="s">
        <v>30</v>
      </c>
      <c r="R3058">
        <v>0.57999999999999996</v>
      </c>
      <c r="S3058" s="1">
        <v>40951</v>
      </c>
      <c r="T3058" t="str">
        <f t="shared" si="95"/>
        <v>12-Feb-2012</v>
      </c>
    </row>
    <row r="3059" spans="1:20" x14ac:dyDescent="0.3">
      <c r="A3059">
        <v>19041</v>
      </c>
      <c r="B3059" s="1">
        <v>40750</v>
      </c>
      <c r="C3059" t="s">
        <v>18</v>
      </c>
      <c r="D3059" t="str">
        <f t="shared" si="94"/>
        <v>26-Jul-2011</v>
      </c>
      <c r="E3059">
        <v>3</v>
      </c>
      <c r="F3059" s="13">
        <v>36.06</v>
      </c>
      <c r="G3059">
        <v>0.08</v>
      </c>
      <c r="H3059" t="s">
        <v>19</v>
      </c>
      <c r="I3059" s="13">
        <v>-18.5</v>
      </c>
      <c r="J3059">
        <v>10.89</v>
      </c>
      <c r="K3059">
        <v>4.5</v>
      </c>
      <c r="L3059" t="s">
        <v>267</v>
      </c>
      <c r="M3059" t="s">
        <v>373</v>
      </c>
      <c r="N3059" s="5" t="s">
        <v>373</v>
      </c>
      <c r="O3059" t="s">
        <v>28</v>
      </c>
      <c r="P3059" t="s">
        <v>21</v>
      </c>
      <c r="Q3059" t="s">
        <v>25</v>
      </c>
      <c r="R3059">
        <v>0.59</v>
      </c>
      <c r="S3059" s="1">
        <v>40754</v>
      </c>
      <c r="T3059" t="str">
        <f t="shared" si="95"/>
        <v>30-Jul-2011</v>
      </c>
    </row>
    <row r="3060" spans="1:20" x14ac:dyDescent="0.3">
      <c r="A3060">
        <v>59072</v>
      </c>
      <c r="B3060" s="1">
        <v>39958</v>
      </c>
      <c r="C3060" t="s">
        <v>31</v>
      </c>
      <c r="D3060" t="str">
        <f t="shared" si="94"/>
        <v>25-May-2009</v>
      </c>
      <c r="E3060">
        <v>2</v>
      </c>
      <c r="F3060" s="13">
        <v>35.665999999999997</v>
      </c>
      <c r="G3060">
        <v>0.06</v>
      </c>
      <c r="H3060" t="s">
        <v>19</v>
      </c>
      <c r="I3060" s="13">
        <v>-112.19</v>
      </c>
      <c r="J3060">
        <v>20.99</v>
      </c>
      <c r="K3060">
        <v>2.5</v>
      </c>
      <c r="L3060" t="s">
        <v>375</v>
      </c>
      <c r="M3060" t="s">
        <v>373</v>
      </c>
      <c r="N3060" s="5" t="s">
        <v>373</v>
      </c>
      <c r="O3060" t="s">
        <v>28</v>
      </c>
      <c r="P3060" t="s">
        <v>29</v>
      </c>
      <c r="Q3060" t="s">
        <v>30</v>
      </c>
      <c r="R3060">
        <v>0.81</v>
      </c>
      <c r="S3060" s="1">
        <v>39960</v>
      </c>
      <c r="T3060" t="str">
        <f t="shared" si="95"/>
        <v>27-May-2009</v>
      </c>
    </row>
    <row r="3061" spans="1:20" x14ac:dyDescent="0.3">
      <c r="A3061">
        <v>3078</v>
      </c>
      <c r="B3061" s="1">
        <v>40220</v>
      </c>
      <c r="C3061" t="s">
        <v>23</v>
      </c>
      <c r="D3061" t="str">
        <f t="shared" si="94"/>
        <v>11-Feb-2010</v>
      </c>
      <c r="E3061">
        <v>12</v>
      </c>
      <c r="F3061" s="13">
        <v>33.86</v>
      </c>
      <c r="G3061">
        <v>0.05</v>
      </c>
      <c r="H3061" t="s">
        <v>19</v>
      </c>
      <c r="I3061" s="13">
        <v>0.35</v>
      </c>
      <c r="J3061">
        <v>2.88</v>
      </c>
      <c r="K3061">
        <v>0.7</v>
      </c>
      <c r="L3061" t="s">
        <v>240</v>
      </c>
      <c r="M3061" t="s">
        <v>373</v>
      </c>
      <c r="N3061" s="5" t="s">
        <v>373</v>
      </c>
      <c r="O3061" t="s">
        <v>28</v>
      </c>
      <c r="P3061" t="s">
        <v>21</v>
      </c>
      <c r="Q3061" t="s">
        <v>50</v>
      </c>
      <c r="R3061">
        <v>0.56000000000000005</v>
      </c>
      <c r="S3061" s="1">
        <v>40221</v>
      </c>
      <c r="T3061" t="str">
        <f t="shared" si="95"/>
        <v>12-Feb-2010</v>
      </c>
    </row>
    <row r="3062" spans="1:20" x14ac:dyDescent="0.3">
      <c r="A3062">
        <v>19299</v>
      </c>
      <c r="B3062" s="1">
        <v>39890</v>
      </c>
      <c r="C3062" t="s">
        <v>31</v>
      </c>
      <c r="D3062" t="str">
        <f t="shared" si="94"/>
        <v>18-Mar-2009</v>
      </c>
      <c r="E3062">
        <v>10</v>
      </c>
      <c r="F3062" s="13">
        <v>29.23</v>
      </c>
      <c r="G3062">
        <v>0.05</v>
      </c>
      <c r="H3062" t="s">
        <v>19</v>
      </c>
      <c r="I3062" s="13">
        <v>8.1</v>
      </c>
      <c r="J3062">
        <v>2.88</v>
      </c>
      <c r="K3062">
        <v>0.5</v>
      </c>
      <c r="L3062" t="s">
        <v>246</v>
      </c>
      <c r="M3062" t="s">
        <v>373</v>
      </c>
      <c r="N3062" s="5" t="s">
        <v>373</v>
      </c>
      <c r="O3062" t="s">
        <v>28</v>
      </c>
      <c r="P3062" t="s">
        <v>21</v>
      </c>
      <c r="Q3062" t="s">
        <v>48</v>
      </c>
      <c r="R3062">
        <v>0.36</v>
      </c>
      <c r="S3062" s="1">
        <v>39892</v>
      </c>
      <c r="T3062" t="str">
        <f t="shared" si="95"/>
        <v>20-Mar-2009</v>
      </c>
    </row>
    <row r="3063" spans="1:20" x14ac:dyDescent="0.3">
      <c r="A3063">
        <v>23301</v>
      </c>
      <c r="B3063" s="1">
        <v>40651</v>
      </c>
      <c r="C3063" t="s">
        <v>23</v>
      </c>
      <c r="D3063" t="str">
        <f t="shared" si="94"/>
        <v>18-Apr-2011</v>
      </c>
      <c r="E3063">
        <v>4</v>
      </c>
      <c r="F3063" s="13">
        <v>28.46</v>
      </c>
      <c r="G3063">
        <v>0.02</v>
      </c>
      <c r="H3063" t="s">
        <v>19</v>
      </c>
      <c r="I3063" s="13">
        <v>-27.13</v>
      </c>
      <c r="J3063">
        <v>5.98</v>
      </c>
      <c r="K3063">
        <v>3.85</v>
      </c>
      <c r="L3063" t="s">
        <v>378</v>
      </c>
      <c r="M3063" t="s">
        <v>373</v>
      </c>
      <c r="N3063" s="5" t="s">
        <v>373</v>
      </c>
      <c r="O3063" t="s">
        <v>28</v>
      </c>
      <c r="P3063" t="s">
        <v>29</v>
      </c>
      <c r="Q3063" t="s">
        <v>41</v>
      </c>
      <c r="R3063">
        <v>0.68</v>
      </c>
      <c r="S3063" s="1">
        <v>40653</v>
      </c>
      <c r="T3063" t="str">
        <f t="shared" si="95"/>
        <v>20-Apr-2011</v>
      </c>
    </row>
    <row r="3064" spans="1:20" x14ac:dyDescent="0.3">
      <c r="A3064">
        <v>6054</v>
      </c>
      <c r="B3064" s="1">
        <v>40794</v>
      </c>
      <c r="C3064" t="s">
        <v>18</v>
      </c>
      <c r="D3064" t="str">
        <f t="shared" si="94"/>
        <v>08-Sep-2011</v>
      </c>
      <c r="E3064">
        <v>6</v>
      </c>
      <c r="F3064" s="13">
        <v>27.32</v>
      </c>
      <c r="G3064">
        <v>0.05</v>
      </c>
      <c r="H3064" t="s">
        <v>35</v>
      </c>
      <c r="I3064" s="13">
        <v>-5.87</v>
      </c>
      <c r="J3064">
        <v>2.08</v>
      </c>
      <c r="K3064">
        <v>5.33</v>
      </c>
      <c r="L3064" t="s">
        <v>353</v>
      </c>
      <c r="M3064" t="s">
        <v>373</v>
      </c>
      <c r="N3064" s="5" t="s">
        <v>373</v>
      </c>
      <c r="O3064" t="s">
        <v>28</v>
      </c>
      <c r="P3064" t="s">
        <v>32</v>
      </c>
      <c r="Q3064" t="s">
        <v>33</v>
      </c>
      <c r="R3064">
        <v>0.43</v>
      </c>
      <c r="S3064" s="1">
        <v>40796</v>
      </c>
      <c r="T3064" t="str">
        <f t="shared" si="95"/>
        <v>10-Sep-2011</v>
      </c>
    </row>
    <row r="3065" spans="1:20" x14ac:dyDescent="0.3">
      <c r="A3065">
        <v>23301</v>
      </c>
      <c r="B3065" s="1">
        <v>40651</v>
      </c>
      <c r="C3065" t="s">
        <v>23</v>
      </c>
      <c r="D3065" t="str">
        <f t="shared" si="94"/>
        <v>18-Apr-2011</v>
      </c>
      <c r="E3065">
        <v>3</v>
      </c>
      <c r="F3065" s="13">
        <v>23.44</v>
      </c>
      <c r="G3065">
        <v>0.05</v>
      </c>
      <c r="H3065" t="s">
        <v>19</v>
      </c>
      <c r="I3065" s="13">
        <v>-10.58</v>
      </c>
      <c r="J3065">
        <v>5.98</v>
      </c>
      <c r="K3065">
        <v>5.2</v>
      </c>
      <c r="L3065" t="s">
        <v>378</v>
      </c>
      <c r="M3065" t="s">
        <v>373</v>
      </c>
      <c r="N3065" s="5" t="s">
        <v>373</v>
      </c>
      <c r="O3065" t="s">
        <v>28</v>
      </c>
      <c r="P3065" t="s">
        <v>21</v>
      </c>
      <c r="Q3065" t="s">
        <v>37</v>
      </c>
      <c r="R3065">
        <v>0.36</v>
      </c>
      <c r="S3065" s="1">
        <v>40653</v>
      </c>
      <c r="T3065" t="str">
        <f t="shared" si="95"/>
        <v>20-Apr-2011</v>
      </c>
    </row>
    <row r="3066" spans="1:20" x14ac:dyDescent="0.3">
      <c r="A3066">
        <v>53120</v>
      </c>
      <c r="B3066" s="1">
        <v>41046</v>
      </c>
      <c r="C3066" t="s">
        <v>31</v>
      </c>
      <c r="D3066" t="str">
        <f t="shared" si="94"/>
        <v>17-May-2012</v>
      </c>
      <c r="E3066">
        <v>5</v>
      </c>
      <c r="F3066" s="13">
        <v>22.75</v>
      </c>
      <c r="G3066">
        <v>0.09</v>
      </c>
      <c r="H3066" t="s">
        <v>19</v>
      </c>
      <c r="I3066" s="13">
        <v>-0.45</v>
      </c>
      <c r="J3066">
        <v>4.76</v>
      </c>
      <c r="K3066">
        <v>0.88</v>
      </c>
      <c r="L3066" t="s">
        <v>374</v>
      </c>
      <c r="M3066" t="s">
        <v>373</v>
      </c>
      <c r="N3066" s="5" t="s">
        <v>373</v>
      </c>
      <c r="O3066" t="s">
        <v>28</v>
      </c>
      <c r="P3066" t="s">
        <v>21</v>
      </c>
      <c r="Q3066" t="s">
        <v>37</v>
      </c>
      <c r="R3066">
        <v>0.39</v>
      </c>
      <c r="S3066" s="1">
        <v>41048</v>
      </c>
      <c r="T3066" t="str">
        <f t="shared" si="95"/>
        <v>19-May-2012</v>
      </c>
    </row>
    <row r="3067" spans="1:20" x14ac:dyDescent="0.3">
      <c r="A3067">
        <v>55299</v>
      </c>
      <c r="B3067" s="1">
        <v>40998</v>
      </c>
      <c r="C3067" t="s">
        <v>18</v>
      </c>
      <c r="D3067" t="str">
        <f t="shared" si="94"/>
        <v>30-Mar-2012</v>
      </c>
      <c r="E3067">
        <v>20</v>
      </c>
      <c r="F3067" s="13">
        <v>22.28</v>
      </c>
      <c r="G3067">
        <v>0.09</v>
      </c>
      <c r="H3067" t="s">
        <v>19</v>
      </c>
      <c r="I3067" s="13">
        <v>-2.66</v>
      </c>
      <c r="J3067">
        <v>1.1399999999999999</v>
      </c>
      <c r="K3067">
        <v>0.7</v>
      </c>
      <c r="L3067" t="s">
        <v>315</v>
      </c>
      <c r="M3067" t="s">
        <v>373</v>
      </c>
      <c r="N3067" s="5" t="s">
        <v>373</v>
      </c>
      <c r="O3067" t="s">
        <v>28</v>
      </c>
      <c r="P3067" t="s">
        <v>21</v>
      </c>
      <c r="Q3067" t="s">
        <v>39</v>
      </c>
      <c r="R3067">
        <v>0.38</v>
      </c>
      <c r="S3067" s="1">
        <v>40998</v>
      </c>
      <c r="T3067" t="str">
        <f t="shared" si="95"/>
        <v>30-Mar-2012</v>
      </c>
    </row>
    <row r="3068" spans="1:20" x14ac:dyDescent="0.3">
      <c r="A3068">
        <v>22661</v>
      </c>
      <c r="B3068" s="1">
        <v>40447</v>
      </c>
      <c r="C3068" t="s">
        <v>31</v>
      </c>
      <c r="D3068" t="str">
        <f t="shared" si="94"/>
        <v>26-Sep-2010</v>
      </c>
      <c r="E3068">
        <v>11</v>
      </c>
      <c r="F3068" s="13">
        <v>18.260000000000002</v>
      </c>
      <c r="G3068">
        <v>0.05</v>
      </c>
      <c r="H3068" t="s">
        <v>19</v>
      </c>
      <c r="I3068" s="13">
        <v>-3.89</v>
      </c>
      <c r="J3068">
        <v>1.68</v>
      </c>
      <c r="K3068">
        <v>0.7</v>
      </c>
      <c r="L3068" t="s">
        <v>375</v>
      </c>
      <c r="M3068" t="s">
        <v>373</v>
      </c>
      <c r="N3068" s="5" t="s">
        <v>373</v>
      </c>
      <c r="O3068" t="s">
        <v>28</v>
      </c>
      <c r="P3068" t="s">
        <v>21</v>
      </c>
      <c r="Q3068" t="s">
        <v>50</v>
      </c>
      <c r="R3068">
        <v>0.6</v>
      </c>
      <c r="S3068" s="1">
        <v>40450</v>
      </c>
      <c r="T3068" t="str">
        <f t="shared" si="95"/>
        <v>29-Sep-2010</v>
      </c>
    </row>
    <row r="3069" spans="1:20" x14ac:dyDescent="0.3">
      <c r="A3069">
        <v>12099</v>
      </c>
      <c r="B3069" s="1">
        <v>40067</v>
      </c>
      <c r="C3069" t="s">
        <v>43</v>
      </c>
      <c r="D3069" t="str">
        <f t="shared" si="94"/>
        <v>11-Sep-2009</v>
      </c>
      <c r="E3069">
        <v>1</v>
      </c>
      <c r="F3069" s="13">
        <v>17.59</v>
      </c>
      <c r="G3069">
        <v>0.06</v>
      </c>
      <c r="H3069" t="s">
        <v>35</v>
      </c>
      <c r="I3069" s="13">
        <v>10.85</v>
      </c>
      <c r="J3069">
        <v>2.61</v>
      </c>
      <c r="K3069">
        <v>0.5</v>
      </c>
      <c r="L3069" t="s">
        <v>376</v>
      </c>
      <c r="M3069" t="s">
        <v>373</v>
      </c>
      <c r="N3069" s="5" t="s">
        <v>373</v>
      </c>
      <c r="O3069" t="s">
        <v>28</v>
      </c>
      <c r="P3069" t="s">
        <v>21</v>
      </c>
      <c r="Q3069" t="s">
        <v>48</v>
      </c>
      <c r="R3069">
        <v>0.39</v>
      </c>
      <c r="S3069" s="1">
        <v>40067</v>
      </c>
      <c r="T3069" t="str">
        <f t="shared" si="95"/>
        <v>11-Sep-2009</v>
      </c>
    </row>
    <row r="3070" spans="1:20" x14ac:dyDescent="0.3">
      <c r="A3070">
        <v>13570</v>
      </c>
      <c r="B3070" s="1">
        <v>41245</v>
      </c>
      <c r="C3070" t="s">
        <v>31</v>
      </c>
      <c r="D3070" t="str">
        <f t="shared" si="94"/>
        <v>02-Dec-2012</v>
      </c>
      <c r="E3070">
        <v>2</v>
      </c>
      <c r="F3070" s="13">
        <v>16.97</v>
      </c>
      <c r="G3070">
        <v>0.04</v>
      </c>
      <c r="H3070" t="s">
        <v>19</v>
      </c>
      <c r="I3070" s="13">
        <v>-8.8000000000000007</v>
      </c>
      <c r="J3070">
        <v>8.34</v>
      </c>
      <c r="K3070">
        <v>0.96</v>
      </c>
      <c r="L3070" t="s">
        <v>267</v>
      </c>
      <c r="M3070" t="s">
        <v>373</v>
      </c>
      <c r="N3070" s="5" t="s">
        <v>373</v>
      </c>
      <c r="O3070" t="s">
        <v>28</v>
      </c>
      <c r="P3070" t="s">
        <v>32</v>
      </c>
      <c r="Q3070" t="s">
        <v>33</v>
      </c>
      <c r="R3070">
        <v>0.43</v>
      </c>
      <c r="S3070" s="1">
        <v>41246</v>
      </c>
      <c r="T3070" t="str">
        <f t="shared" si="95"/>
        <v>03-Dec-2012</v>
      </c>
    </row>
    <row r="3071" spans="1:20" x14ac:dyDescent="0.3">
      <c r="A3071">
        <v>22083</v>
      </c>
      <c r="B3071" s="1">
        <v>39861</v>
      </c>
      <c r="C3071" t="s">
        <v>43</v>
      </c>
      <c r="D3071" t="str">
        <f t="shared" si="94"/>
        <v>17-Feb-2009</v>
      </c>
      <c r="E3071">
        <v>2</v>
      </c>
      <c r="F3071" s="13">
        <v>16.809999999999999</v>
      </c>
      <c r="G3071">
        <v>0.05</v>
      </c>
      <c r="H3071" t="s">
        <v>35</v>
      </c>
      <c r="I3071" s="13">
        <v>-4.1399999999999997</v>
      </c>
      <c r="J3071">
        <v>6.04</v>
      </c>
      <c r="K3071">
        <v>2.14</v>
      </c>
      <c r="L3071" t="s">
        <v>384</v>
      </c>
      <c r="M3071" t="s">
        <v>373</v>
      </c>
      <c r="N3071" s="5" t="s">
        <v>373</v>
      </c>
      <c r="O3071" t="s">
        <v>28</v>
      </c>
      <c r="P3071" t="s">
        <v>21</v>
      </c>
      <c r="Q3071" t="s">
        <v>37</v>
      </c>
      <c r="R3071">
        <v>0.38</v>
      </c>
      <c r="S3071" s="1">
        <v>39863</v>
      </c>
      <c r="T3071" t="str">
        <f t="shared" si="95"/>
        <v>19-Feb-2009</v>
      </c>
    </row>
    <row r="3072" spans="1:20" x14ac:dyDescent="0.3">
      <c r="A3072">
        <v>19207</v>
      </c>
      <c r="B3072" s="1">
        <v>40983</v>
      </c>
      <c r="C3072" t="s">
        <v>31</v>
      </c>
      <c r="D3072" t="str">
        <f t="shared" si="94"/>
        <v>15-Mar-2012</v>
      </c>
      <c r="E3072">
        <v>11</v>
      </c>
      <c r="F3072" s="13">
        <v>15.53</v>
      </c>
      <c r="G3072">
        <v>0</v>
      </c>
      <c r="H3072" t="s">
        <v>19</v>
      </c>
      <c r="I3072" s="13">
        <v>-5.92</v>
      </c>
      <c r="J3072">
        <v>1.26</v>
      </c>
      <c r="K3072">
        <v>0.7</v>
      </c>
      <c r="L3072" t="s">
        <v>374</v>
      </c>
      <c r="M3072" t="s">
        <v>373</v>
      </c>
      <c r="N3072" s="5" t="s">
        <v>373</v>
      </c>
      <c r="O3072" t="s">
        <v>28</v>
      </c>
      <c r="P3072" t="s">
        <v>21</v>
      </c>
      <c r="Q3072" t="s">
        <v>39</v>
      </c>
      <c r="R3072">
        <v>0.81</v>
      </c>
      <c r="S3072" s="1">
        <v>40984</v>
      </c>
      <c r="T3072" t="str">
        <f t="shared" si="95"/>
        <v>16-Mar-2012</v>
      </c>
    </row>
    <row r="3073" spans="1:20" x14ac:dyDescent="0.3">
      <c r="A3073">
        <v>24003</v>
      </c>
      <c r="B3073" s="1">
        <v>40117</v>
      </c>
      <c r="C3073" t="s">
        <v>43</v>
      </c>
      <c r="D3073" t="str">
        <f t="shared" si="94"/>
        <v>31-Oct-2009</v>
      </c>
      <c r="E3073">
        <v>9</v>
      </c>
      <c r="F3073" s="13">
        <v>11.89</v>
      </c>
      <c r="G3073">
        <v>0.06</v>
      </c>
      <c r="H3073" t="s">
        <v>19</v>
      </c>
      <c r="I3073" s="13">
        <v>-6.12</v>
      </c>
      <c r="J3073">
        <v>1.26</v>
      </c>
      <c r="K3073">
        <v>0.7</v>
      </c>
      <c r="L3073" t="s">
        <v>226</v>
      </c>
      <c r="M3073" t="s">
        <v>373</v>
      </c>
      <c r="N3073" s="5" t="s">
        <v>373</v>
      </c>
      <c r="O3073" t="s">
        <v>28</v>
      </c>
      <c r="P3073" t="s">
        <v>21</v>
      </c>
      <c r="Q3073" t="s">
        <v>39</v>
      </c>
      <c r="R3073">
        <v>0.81</v>
      </c>
      <c r="S3073" s="1">
        <v>40117</v>
      </c>
      <c r="T3073" t="str">
        <f t="shared" si="95"/>
        <v>31-Oct-2009</v>
      </c>
    </row>
    <row r="3074" spans="1:20" x14ac:dyDescent="0.3">
      <c r="A3074">
        <v>28933</v>
      </c>
      <c r="B3074" s="1">
        <v>40003</v>
      </c>
      <c r="C3074" t="s">
        <v>43</v>
      </c>
      <c r="D3074" t="str">
        <f t="shared" si="94"/>
        <v>09-Jul-2009</v>
      </c>
      <c r="E3074">
        <v>1</v>
      </c>
      <c r="F3074" s="13">
        <v>11.16</v>
      </c>
      <c r="G3074">
        <v>0.01</v>
      </c>
      <c r="H3074" t="s">
        <v>19</v>
      </c>
      <c r="I3074" s="13">
        <v>-7.25</v>
      </c>
      <c r="J3074">
        <v>5.58</v>
      </c>
      <c r="K3074">
        <v>5.3</v>
      </c>
      <c r="L3074" t="s">
        <v>242</v>
      </c>
      <c r="M3074" t="s">
        <v>373</v>
      </c>
      <c r="N3074" s="5" t="s">
        <v>373</v>
      </c>
      <c r="O3074" t="s">
        <v>28</v>
      </c>
      <c r="P3074" t="s">
        <v>21</v>
      </c>
      <c r="Q3074" t="s">
        <v>42</v>
      </c>
      <c r="R3074">
        <v>0.35</v>
      </c>
      <c r="S3074" s="1">
        <v>40004</v>
      </c>
      <c r="T3074" t="str">
        <f t="shared" ref="T3074:T3077" si="96">TEXT(S3074, "dd-mmm-yyyy")</f>
        <v>10-Jul-2009</v>
      </c>
    </row>
    <row r="3075" spans="1:20" x14ac:dyDescent="0.3">
      <c r="A3075">
        <v>7043</v>
      </c>
      <c r="B3075" s="1">
        <v>39838</v>
      </c>
      <c r="C3075" t="s">
        <v>43</v>
      </c>
      <c r="D3075" t="str">
        <f t="shared" si="94"/>
        <v>25-Jan-2009</v>
      </c>
      <c r="E3075">
        <v>4</v>
      </c>
      <c r="F3075" s="13">
        <v>11.08</v>
      </c>
      <c r="G3075">
        <v>0.06</v>
      </c>
      <c r="H3075" t="s">
        <v>19</v>
      </c>
      <c r="I3075" s="13">
        <v>-8.93</v>
      </c>
      <c r="J3075">
        <v>1.74</v>
      </c>
      <c r="K3075">
        <v>4.08</v>
      </c>
      <c r="L3075" t="s">
        <v>229</v>
      </c>
      <c r="M3075" t="s">
        <v>373</v>
      </c>
      <c r="N3075" s="5" t="s">
        <v>373</v>
      </c>
      <c r="O3075" t="s">
        <v>28</v>
      </c>
      <c r="P3075" t="s">
        <v>32</v>
      </c>
      <c r="Q3075" t="s">
        <v>33</v>
      </c>
      <c r="R3075">
        <v>0.53</v>
      </c>
      <c r="S3075" s="1">
        <v>39839</v>
      </c>
      <c r="T3075" t="str">
        <f t="shared" si="96"/>
        <v>26-Jan-2009</v>
      </c>
    </row>
    <row r="3076" spans="1:20" x14ac:dyDescent="0.3">
      <c r="A3076">
        <v>19047</v>
      </c>
      <c r="B3076" s="1">
        <v>39841</v>
      </c>
      <c r="C3076" t="s">
        <v>23</v>
      </c>
      <c r="D3076" t="str">
        <f t="shared" si="94"/>
        <v>28-Jan-2009</v>
      </c>
      <c r="E3076">
        <v>3</v>
      </c>
      <c r="F3076" s="13">
        <v>6.76</v>
      </c>
      <c r="G3076">
        <v>0.02</v>
      </c>
      <c r="H3076" t="s">
        <v>19</v>
      </c>
      <c r="I3076" s="13">
        <v>-4.28</v>
      </c>
      <c r="J3076">
        <v>1.68</v>
      </c>
      <c r="K3076">
        <v>1.57</v>
      </c>
      <c r="L3076" t="s">
        <v>378</v>
      </c>
      <c r="M3076" t="s">
        <v>373</v>
      </c>
      <c r="N3076" s="5" t="s">
        <v>373</v>
      </c>
      <c r="O3076" t="s">
        <v>28</v>
      </c>
      <c r="P3076" t="s">
        <v>21</v>
      </c>
      <c r="Q3076" t="s">
        <v>50</v>
      </c>
      <c r="R3076">
        <v>0.59</v>
      </c>
      <c r="S3076" s="1">
        <v>39843</v>
      </c>
      <c r="T3076" t="str">
        <f t="shared" si="96"/>
        <v>30-Jan-2009</v>
      </c>
    </row>
    <row r="3077" spans="1:20" ht="15" thickBot="1" x14ac:dyDescent="0.35">
      <c r="A3077">
        <v>23361</v>
      </c>
      <c r="B3077" s="1">
        <v>40362</v>
      </c>
      <c r="C3077" t="s">
        <v>43</v>
      </c>
      <c r="D3077" t="str">
        <f t="shared" si="94"/>
        <v>03-Jul-2010</v>
      </c>
      <c r="E3077">
        <v>2</v>
      </c>
      <c r="F3077" s="13">
        <v>3.23</v>
      </c>
      <c r="G3077">
        <v>0.06</v>
      </c>
      <c r="H3077" t="s">
        <v>19</v>
      </c>
      <c r="I3077" s="13">
        <v>-2.73</v>
      </c>
      <c r="J3077">
        <v>1.26</v>
      </c>
      <c r="K3077">
        <v>0.7</v>
      </c>
      <c r="L3077" t="s">
        <v>306</v>
      </c>
      <c r="M3077" t="s">
        <v>373</v>
      </c>
      <c r="N3077" s="6" t="s">
        <v>373</v>
      </c>
      <c r="O3077" t="s">
        <v>28</v>
      </c>
      <c r="P3077" t="s">
        <v>21</v>
      </c>
      <c r="Q3077" t="s">
        <v>39</v>
      </c>
      <c r="R3077">
        <v>0.81</v>
      </c>
      <c r="S3077" s="1">
        <v>40363</v>
      </c>
      <c r="T3077" t="str">
        <f t="shared" si="96"/>
        <v>04-Jul-2010</v>
      </c>
    </row>
    <row r="3078" spans="1:20" ht="15" thickTop="1" x14ac:dyDescent="0.3"/>
  </sheetData>
  <autoFilter ref="A1:U3077" xr:uid="{00000000-0001-0000-0300-000000000000}"/>
  <sortState xmlns:xlrd2="http://schemas.microsoft.com/office/spreadsheetml/2017/richdata2" ref="A2:T3077">
    <sortCondition ref="N2:N3077"/>
    <sortCondition ref="M2:M3077"/>
    <sortCondition descending="1" ref="F2:F3077"/>
  </sortState>
  <conditionalFormatting sqref="A1:T3077">
    <cfRule type="expression" dxfId="2" priority="2">
      <formula>XEW1048576&gt;=_xlfn.PERCENTILE.INC(_xlfn._xlws.FILTER($F$2:$F$1000, ($N$2:$N$1000=$N1048576)*($M$2:$M$1000=$M1048576)), 0.9)</formula>
    </cfRule>
  </conditionalFormatting>
  <conditionalFormatting sqref="I2:I3077">
    <cfRule type="colorScale" priority="1">
      <colorScale>
        <cfvo type="num" val="-15000"/>
        <cfvo type="num" val="0"/>
        <cfvo type="num" val="15000"/>
        <color rgb="FFFF0000"/>
        <color theme="0"/>
        <color rgb="FF00B050"/>
      </colorScale>
    </cfRule>
  </conditionalFormatting>
  <printOptions gridLines="1"/>
  <pageMargins left="0.25" right="0.25" top="0.25" bottom="0.25" header="0.3" footer="0.3"/>
  <pageSetup scale="71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F48D-2A8F-40B0-8BB8-CA5C40E8E0F6}">
  <sheetPr>
    <pageSetUpPr fitToPage="1"/>
  </sheetPr>
  <dimension ref="A1:D8"/>
  <sheetViews>
    <sheetView workbookViewId="0">
      <selection activeCell="D7" sqref="D7"/>
    </sheetView>
  </sheetViews>
  <sheetFormatPr defaultRowHeight="14.4" x14ac:dyDescent="0.3"/>
  <cols>
    <col min="1" max="1" width="22" bestFit="1" customWidth="1"/>
    <col min="2" max="2" width="12.109375" bestFit="1" customWidth="1"/>
    <col min="3" max="3" width="18.88671875" bestFit="1" customWidth="1"/>
    <col min="4" max="4" width="8.6640625" bestFit="1" customWidth="1"/>
    <col min="5" max="6" width="10" bestFit="1" customWidth="1"/>
    <col min="7" max="7" width="9.6640625" bestFit="1" customWidth="1"/>
    <col min="8" max="8" width="10" bestFit="1" customWidth="1"/>
    <col min="9" max="9" width="9" bestFit="1" customWidth="1"/>
    <col min="10" max="10" width="10.77734375" bestFit="1" customWidth="1"/>
  </cols>
  <sheetData>
    <row r="1" spans="1:4" ht="21" x14ac:dyDescent="0.4">
      <c r="A1" s="10" t="s">
        <v>420</v>
      </c>
      <c r="B1" s="9"/>
    </row>
    <row r="2" spans="1:4" x14ac:dyDescent="0.3">
      <c r="A2" s="15"/>
      <c r="B2" s="15"/>
      <c r="C2" s="15"/>
      <c r="D2" s="15"/>
    </row>
    <row r="3" spans="1:4" x14ac:dyDescent="0.3">
      <c r="A3" s="4" t="s">
        <v>12</v>
      </c>
      <c r="B3" t="s">
        <v>86</v>
      </c>
    </row>
    <row r="5" spans="1:4" x14ac:dyDescent="0.3">
      <c r="A5" s="4" t="s">
        <v>15</v>
      </c>
      <c r="B5" t="s">
        <v>419</v>
      </c>
    </row>
    <row r="6" spans="1:4" x14ac:dyDescent="0.3">
      <c r="A6" s="7" t="s">
        <v>46</v>
      </c>
      <c r="B6" s="8">
        <v>-4576.8300000000008</v>
      </c>
    </row>
    <row r="7" spans="1:4" x14ac:dyDescent="0.3">
      <c r="A7" s="7" t="s">
        <v>22</v>
      </c>
      <c r="B7" s="8">
        <v>-7288.48</v>
      </c>
    </row>
    <row r="8" spans="1:4" x14ac:dyDescent="0.3">
      <c r="A8" s="7" t="s">
        <v>51</v>
      </c>
      <c r="B8" s="8">
        <v>-17507.230000000003</v>
      </c>
    </row>
  </sheetData>
  <mergeCells count="1">
    <mergeCell ref="A2:D2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682C-60AF-4100-8894-DEC2DEBE4B83}">
  <dimension ref="A1:D8"/>
  <sheetViews>
    <sheetView workbookViewId="0">
      <selection activeCell="D7" sqref="D7"/>
    </sheetView>
  </sheetViews>
  <sheetFormatPr defaultRowHeight="14.4" x14ac:dyDescent="0.3"/>
  <cols>
    <col min="1" max="1" width="27.5546875" bestFit="1" customWidth="1"/>
    <col min="2" max="2" width="21" bestFit="1" customWidth="1"/>
    <col min="3" max="3" width="18.88671875" bestFit="1" customWidth="1"/>
    <col min="4" max="4" width="8.6640625" bestFit="1" customWidth="1"/>
    <col min="5" max="6" width="10" bestFit="1" customWidth="1"/>
    <col min="7" max="7" width="9.6640625" bestFit="1" customWidth="1"/>
    <col min="8" max="8" width="10" bestFit="1" customWidth="1"/>
    <col min="9" max="9" width="9" bestFit="1" customWidth="1"/>
    <col min="10" max="10" width="10.77734375" bestFit="1" customWidth="1"/>
  </cols>
  <sheetData>
    <row r="1" spans="1:4" ht="21" x14ac:dyDescent="0.4">
      <c r="A1" s="10" t="s">
        <v>421</v>
      </c>
      <c r="B1" s="9"/>
    </row>
    <row r="2" spans="1:4" x14ac:dyDescent="0.3">
      <c r="A2" s="15"/>
      <c r="B2" s="15"/>
      <c r="C2" s="15"/>
      <c r="D2" s="15"/>
    </row>
    <row r="3" spans="1:4" x14ac:dyDescent="0.3">
      <c r="A3" s="4" t="s">
        <v>12</v>
      </c>
      <c r="B3" t="s">
        <v>69</v>
      </c>
    </row>
    <row r="5" spans="1:4" x14ac:dyDescent="0.3">
      <c r="A5" s="4" t="s">
        <v>15</v>
      </c>
      <c r="B5" t="s">
        <v>419</v>
      </c>
    </row>
    <row r="6" spans="1:4" x14ac:dyDescent="0.3">
      <c r="A6" s="7" t="s">
        <v>30</v>
      </c>
      <c r="B6" s="8">
        <v>11577</v>
      </c>
    </row>
    <row r="7" spans="1:4" x14ac:dyDescent="0.3">
      <c r="A7" s="7" t="s">
        <v>56</v>
      </c>
      <c r="B7" s="8">
        <v>11179.68</v>
      </c>
    </row>
    <row r="8" spans="1:4" x14ac:dyDescent="0.3">
      <c r="A8" s="7" t="s">
        <v>51</v>
      </c>
      <c r="B8" s="8">
        <v>9715.83</v>
      </c>
    </row>
  </sheetData>
  <mergeCells count="1">
    <mergeCell ref="A2:D2"/>
  </mergeCells>
  <pageMargins left="0.7" right="0.7" top="0.75" bottom="0.75" header="0.3" footer="0.3"/>
  <pageSetup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88B6-A517-4FA4-A967-BB0B697EA8BB}">
  <dimension ref="A1:D8"/>
  <sheetViews>
    <sheetView workbookViewId="0">
      <selection activeCell="D7" sqref="D7"/>
    </sheetView>
  </sheetViews>
  <sheetFormatPr defaultRowHeight="14.4" x14ac:dyDescent="0.3"/>
  <cols>
    <col min="1" max="1" width="27.5546875" bestFit="1" customWidth="1"/>
    <col min="2" max="2" width="12.109375" bestFit="1" customWidth="1"/>
    <col min="3" max="3" width="18.88671875" bestFit="1" customWidth="1"/>
    <col min="4" max="4" width="8.6640625" bestFit="1" customWidth="1"/>
    <col min="5" max="6" width="10" bestFit="1" customWidth="1"/>
    <col min="7" max="7" width="9.6640625" bestFit="1" customWidth="1"/>
    <col min="8" max="8" width="10" bestFit="1" customWidth="1"/>
    <col min="9" max="9" width="9" bestFit="1" customWidth="1"/>
    <col min="10" max="10" width="10.77734375" bestFit="1" customWidth="1"/>
  </cols>
  <sheetData>
    <row r="1" spans="1:4" ht="21" x14ac:dyDescent="0.4">
      <c r="A1" s="10" t="s">
        <v>422</v>
      </c>
      <c r="B1" s="9"/>
    </row>
    <row r="2" spans="1:4" x14ac:dyDescent="0.3">
      <c r="A2" s="15"/>
      <c r="B2" s="15"/>
      <c r="C2" s="15"/>
      <c r="D2" s="15"/>
    </row>
    <row r="3" spans="1:4" x14ac:dyDescent="0.3">
      <c r="A3" s="4" t="s">
        <v>12</v>
      </c>
      <c r="B3" t="s">
        <v>20</v>
      </c>
    </row>
    <row r="5" spans="1:4" x14ac:dyDescent="0.3">
      <c r="A5" s="4" t="s">
        <v>15</v>
      </c>
      <c r="B5" t="s">
        <v>419</v>
      </c>
    </row>
    <row r="6" spans="1:4" x14ac:dyDescent="0.3">
      <c r="A6" s="7" t="s">
        <v>30</v>
      </c>
      <c r="B6" s="8">
        <v>1241.71</v>
      </c>
    </row>
    <row r="7" spans="1:4" x14ac:dyDescent="0.3">
      <c r="A7" s="7" t="s">
        <v>41</v>
      </c>
      <c r="B7" s="8">
        <v>1029.6200000000001</v>
      </c>
    </row>
    <row r="8" spans="1:4" x14ac:dyDescent="0.3">
      <c r="A8" s="7" t="s">
        <v>42</v>
      </c>
      <c r="B8" s="8">
        <v>353.2</v>
      </c>
    </row>
  </sheetData>
  <mergeCells count="1">
    <mergeCell ref="A2:D2"/>
  </mergeCells>
  <pageMargins left="0.7" right="0.7" top="0.75" bottom="0.75" header="0.3" footer="0.3"/>
  <pageSetup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F793-72A2-4CA6-ADD6-18C385DD8F19}">
  <dimension ref="A1:D8"/>
  <sheetViews>
    <sheetView workbookViewId="0">
      <selection activeCell="D7" sqref="D7"/>
    </sheetView>
  </sheetViews>
  <sheetFormatPr defaultRowHeight="14.4" x14ac:dyDescent="0.3"/>
  <cols>
    <col min="1" max="1" width="27.5546875" bestFit="1" customWidth="1"/>
    <col min="2" max="2" width="12.109375" bestFit="1" customWidth="1"/>
    <col min="3" max="3" width="18.88671875" bestFit="1" customWidth="1"/>
    <col min="4" max="4" width="8.6640625" bestFit="1" customWidth="1"/>
    <col min="5" max="6" width="10" bestFit="1" customWidth="1"/>
    <col min="7" max="7" width="9.6640625" bestFit="1" customWidth="1"/>
    <col min="8" max="8" width="10" bestFit="1" customWidth="1"/>
    <col min="9" max="9" width="9" bestFit="1" customWidth="1"/>
    <col min="10" max="10" width="10.77734375" bestFit="1" customWidth="1"/>
  </cols>
  <sheetData>
    <row r="1" spans="1:4" ht="21" x14ac:dyDescent="0.4">
      <c r="A1" s="10" t="s">
        <v>423</v>
      </c>
      <c r="B1" s="9"/>
    </row>
    <row r="2" spans="1:4" x14ac:dyDescent="0.3">
      <c r="A2" s="15"/>
      <c r="B2" s="15"/>
      <c r="C2" s="15"/>
      <c r="D2" s="15"/>
    </row>
    <row r="3" spans="1:4" x14ac:dyDescent="0.3">
      <c r="A3" s="4" t="s">
        <v>12</v>
      </c>
      <c r="B3" t="s">
        <v>161</v>
      </c>
    </row>
    <row r="5" spans="1:4" x14ac:dyDescent="0.3">
      <c r="A5" s="4" t="s">
        <v>15</v>
      </c>
      <c r="B5" t="s">
        <v>419</v>
      </c>
    </row>
    <row r="6" spans="1:4" x14ac:dyDescent="0.3">
      <c r="A6" s="7" t="s">
        <v>26</v>
      </c>
      <c r="B6" s="8">
        <v>30614.19</v>
      </c>
    </row>
    <row r="7" spans="1:4" x14ac:dyDescent="0.3">
      <c r="A7" s="7" t="s">
        <v>74</v>
      </c>
      <c r="B7" s="8">
        <v>28131.409999999996</v>
      </c>
    </row>
    <row r="8" spans="1:4" x14ac:dyDescent="0.3">
      <c r="A8" s="7" t="s">
        <v>30</v>
      </c>
      <c r="B8" s="8">
        <v>26490.3</v>
      </c>
    </row>
  </sheetData>
  <mergeCells count="1">
    <mergeCell ref="A2:D2"/>
  </mergeCells>
  <pageMargins left="0.7" right="0.7" top="0.75" bottom="0.75" header="0.3" footer="0.3"/>
  <pageSetup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E2A1-EA9B-498A-B2E9-5428B4E81E37}">
  <dimension ref="A1:D8"/>
  <sheetViews>
    <sheetView workbookViewId="0">
      <selection activeCell="D7" sqref="D7"/>
    </sheetView>
  </sheetViews>
  <sheetFormatPr defaultRowHeight="14.4" x14ac:dyDescent="0.3"/>
  <cols>
    <col min="1" max="1" width="27.5546875" bestFit="1" customWidth="1"/>
    <col min="2" max="2" width="12.109375" bestFit="1" customWidth="1"/>
    <col min="3" max="3" width="18.88671875" bestFit="1" customWidth="1"/>
    <col min="4" max="4" width="8.6640625" bestFit="1" customWidth="1"/>
    <col min="5" max="6" width="10" bestFit="1" customWidth="1"/>
    <col min="7" max="7" width="9.6640625" bestFit="1" customWidth="1"/>
    <col min="8" max="8" width="10" bestFit="1" customWidth="1"/>
    <col min="9" max="9" width="9" bestFit="1" customWidth="1"/>
    <col min="10" max="10" width="10.77734375" bestFit="1" customWidth="1"/>
  </cols>
  <sheetData>
    <row r="1" spans="1:4" ht="21" x14ac:dyDescent="0.4">
      <c r="A1" s="10" t="s">
        <v>424</v>
      </c>
      <c r="B1" s="9"/>
    </row>
    <row r="2" spans="1:4" x14ac:dyDescent="0.3">
      <c r="A2" s="15"/>
      <c r="B2" s="15"/>
      <c r="C2" s="15"/>
      <c r="D2" s="15"/>
    </row>
    <row r="3" spans="1:4" x14ac:dyDescent="0.3">
      <c r="A3" s="4" t="s">
        <v>12</v>
      </c>
      <c r="B3" t="s">
        <v>102</v>
      </c>
    </row>
    <row r="5" spans="1:4" x14ac:dyDescent="0.3">
      <c r="A5" s="4" t="s">
        <v>15</v>
      </c>
      <c r="B5" t="s">
        <v>419</v>
      </c>
    </row>
    <row r="6" spans="1:4" x14ac:dyDescent="0.3">
      <c r="A6" s="7" t="s">
        <v>74</v>
      </c>
      <c r="B6" s="8">
        <v>91913.54</v>
      </c>
    </row>
    <row r="7" spans="1:4" x14ac:dyDescent="0.3">
      <c r="A7" s="7" t="s">
        <v>30</v>
      </c>
      <c r="B7" s="8">
        <v>25566.6</v>
      </c>
    </row>
    <row r="8" spans="1:4" x14ac:dyDescent="0.3">
      <c r="A8" s="7" t="s">
        <v>41</v>
      </c>
      <c r="B8" s="8">
        <v>14588.310000000003</v>
      </c>
    </row>
  </sheetData>
  <mergeCells count="1">
    <mergeCell ref="A2:D2"/>
  </mergeCells>
  <pageMargins left="0.7" right="0.7" top="0.75" bottom="0.75" header="0.3" footer="0.3"/>
  <pageSetup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3D65-A243-49D7-81C5-FC0388F80F08}">
  <dimension ref="A1:D8"/>
  <sheetViews>
    <sheetView workbookViewId="0">
      <selection activeCell="D7" sqref="D7"/>
    </sheetView>
  </sheetViews>
  <sheetFormatPr defaultRowHeight="14.4" x14ac:dyDescent="0.3"/>
  <cols>
    <col min="1" max="1" width="26.44140625" bestFit="1" customWidth="1"/>
    <col min="2" max="2" width="12.109375" bestFit="1" customWidth="1"/>
    <col min="3" max="3" width="18.88671875" bestFit="1" customWidth="1"/>
    <col min="4" max="4" width="8.6640625" bestFit="1" customWidth="1"/>
    <col min="5" max="6" width="10" bestFit="1" customWidth="1"/>
    <col min="7" max="7" width="9.6640625" bestFit="1" customWidth="1"/>
    <col min="8" max="8" width="10" bestFit="1" customWidth="1"/>
    <col min="9" max="9" width="9" bestFit="1" customWidth="1"/>
    <col min="10" max="10" width="10.77734375" bestFit="1" customWidth="1"/>
  </cols>
  <sheetData>
    <row r="1" spans="1:4" ht="21" x14ac:dyDescent="0.4">
      <c r="A1" s="10" t="s">
        <v>425</v>
      </c>
      <c r="B1" s="9"/>
    </row>
    <row r="2" spans="1:4" x14ac:dyDescent="0.3">
      <c r="A2" s="15"/>
      <c r="B2" s="15"/>
      <c r="C2" s="15"/>
      <c r="D2" s="15"/>
    </row>
    <row r="3" spans="1:4" x14ac:dyDescent="0.3">
      <c r="A3" s="4" t="s">
        <v>12</v>
      </c>
      <c r="B3" t="s">
        <v>258</v>
      </c>
    </row>
    <row r="5" spans="1:4" x14ac:dyDescent="0.3">
      <c r="A5" s="4" t="s">
        <v>15</v>
      </c>
      <c r="B5" t="s">
        <v>419</v>
      </c>
    </row>
    <row r="6" spans="1:4" x14ac:dyDescent="0.3">
      <c r="A6" s="7" t="s">
        <v>74</v>
      </c>
      <c r="B6" s="8">
        <v>14107.25</v>
      </c>
    </row>
    <row r="7" spans="1:4" x14ac:dyDescent="0.3">
      <c r="A7" s="7" t="s">
        <v>56</v>
      </c>
      <c r="B7" s="8">
        <v>12410.029999999999</v>
      </c>
    </row>
    <row r="8" spans="1:4" x14ac:dyDescent="0.3">
      <c r="A8" s="7" t="s">
        <v>26</v>
      </c>
      <c r="B8" s="8">
        <v>11471.529999999999</v>
      </c>
    </row>
  </sheetData>
  <mergeCells count="1">
    <mergeCell ref="A2:D2"/>
  </mergeCells>
  <pageMargins left="0.7" right="0.7" top="0.75" bottom="0.75" header="0.3" footer="0.3"/>
  <pageSetup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A167-E526-4D95-BF20-714FC24CCF65}">
  <dimension ref="A1:D8"/>
  <sheetViews>
    <sheetView workbookViewId="0">
      <selection activeCell="D7" sqref="D7"/>
    </sheetView>
  </sheetViews>
  <sheetFormatPr defaultRowHeight="14.4" x14ac:dyDescent="0.3"/>
  <cols>
    <col min="1" max="1" width="27.5546875" bestFit="1" customWidth="1"/>
    <col min="2" max="2" width="12.109375" bestFit="1" customWidth="1"/>
    <col min="3" max="3" width="18.88671875" bestFit="1" customWidth="1"/>
    <col min="4" max="4" width="8.6640625" bestFit="1" customWidth="1"/>
    <col min="5" max="6" width="10" bestFit="1" customWidth="1"/>
    <col min="7" max="7" width="9.6640625" bestFit="1" customWidth="1"/>
    <col min="8" max="8" width="10" bestFit="1" customWidth="1"/>
    <col min="9" max="9" width="9" bestFit="1" customWidth="1"/>
    <col min="10" max="10" width="10.77734375" bestFit="1" customWidth="1"/>
  </cols>
  <sheetData>
    <row r="1" spans="1:4" ht="21" x14ac:dyDescent="0.4">
      <c r="A1" s="10" t="s">
        <v>426</v>
      </c>
      <c r="B1" s="9"/>
    </row>
    <row r="2" spans="1:4" x14ac:dyDescent="0.3">
      <c r="A2" s="15"/>
      <c r="B2" s="15"/>
      <c r="C2" s="15"/>
      <c r="D2" s="15"/>
    </row>
    <row r="3" spans="1:4" x14ac:dyDescent="0.3">
      <c r="A3" s="4" t="s">
        <v>12</v>
      </c>
      <c r="B3" t="s">
        <v>105</v>
      </c>
    </row>
    <row r="5" spans="1:4" x14ac:dyDescent="0.3">
      <c r="A5" s="4" t="s">
        <v>15</v>
      </c>
      <c r="B5" t="s">
        <v>419</v>
      </c>
    </row>
    <row r="6" spans="1:4" x14ac:dyDescent="0.3">
      <c r="A6" s="7" t="s">
        <v>26</v>
      </c>
      <c r="B6" s="8">
        <v>43848.63</v>
      </c>
    </row>
    <row r="7" spans="1:4" x14ac:dyDescent="0.3">
      <c r="A7" s="7" t="s">
        <v>30</v>
      </c>
      <c r="B7" s="8">
        <v>25480.369999999995</v>
      </c>
    </row>
    <row r="8" spans="1:4" x14ac:dyDescent="0.3">
      <c r="A8" s="7" t="s">
        <v>74</v>
      </c>
      <c r="B8" s="8">
        <v>18675.98</v>
      </c>
    </row>
  </sheetData>
  <mergeCells count="1">
    <mergeCell ref="A2:D2"/>
  </mergeCells>
  <pageMargins left="0.7" right="0.7" top="0.75" bottom="0.75" header="0.3" footer="0.3"/>
  <pageSetup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3653-2296-4723-AEBC-793D48558172}">
  <dimension ref="A1:D8"/>
  <sheetViews>
    <sheetView workbookViewId="0">
      <selection activeCell="D7" sqref="D7"/>
    </sheetView>
  </sheetViews>
  <sheetFormatPr defaultRowHeight="14.4" x14ac:dyDescent="0.3"/>
  <cols>
    <col min="1" max="1" width="27.5546875" bestFit="1" customWidth="1"/>
    <col min="2" max="2" width="12.109375" bestFit="1" customWidth="1"/>
    <col min="3" max="3" width="18.88671875" bestFit="1" customWidth="1"/>
    <col min="4" max="4" width="8.6640625" bestFit="1" customWidth="1"/>
    <col min="5" max="6" width="10" bestFit="1" customWidth="1"/>
    <col min="7" max="7" width="9.6640625" bestFit="1" customWidth="1"/>
    <col min="8" max="8" width="10" bestFit="1" customWidth="1"/>
    <col min="9" max="9" width="9" bestFit="1" customWidth="1"/>
    <col min="10" max="10" width="10.77734375" bestFit="1" customWidth="1"/>
  </cols>
  <sheetData>
    <row r="1" spans="1:4" ht="21" x14ac:dyDescent="0.4">
      <c r="A1" s="10" t="s">
        <v>427</v>
      </c>
      <c r="B1" s="9"/>
    </row>
    <row r="2" spans="1:4" x14ac:dyDescent="0.3">
      <c r="A2" s="15"/>
      <c r="B2" s="15"/>
      <c r="C2" s="15"/>
      <c r="D2" s="15"/>
    </row>
    <row r="3" spans="1:4" x14ac:dyDescent="0.3">
      <c r="A3" s="4" t="s">
        <v>12</v>
      </c>
      <c r="B3" t="s">
        <v>373</v>
      </c>
    </row>
    <row r="5" spans="1:4" x14ac:dyDescent="0.3">
      <c r="A5" s="4" t="s">
        <v>15</v>
      </c>
      <c r="B5" t="s">
        <v>419</v>
      </c>
    </row>
    <row r="6" spans="1:4" x14ac:dyDescent="0.3">
      <c r="A6" s="7" t="s">
        <v>30</v>
      </c>
      <c r="B6" s="8">
        <v>11420.99</v>
      </c>
    </row>
    <row r="7" spans="1:4" x14ac:dyDescent="0.3">
      <c r="A7" s="7" t="s">
        <v>25</v>
      </c>
      <c r="B7" s="8">
        <v>4216.58</v>
      </c>
    </row>
    <row r="8" spans="1:4" x14ac:dyDescent="0.3">
      <c r="A8" s="7" t="s">
        <v>26</v>
      </c>
      <c r="B8" s="8">
        <v>3966.9700000000003</v>
      </c>
    </row>
  </sheetData>
  <mergeCells count="1">
    <mergeCell ref="A2:D2"/>
  </mergeCells>
  <pageMargins left="0.7" right="0.7" top="0.75" bottom="0.75" header="0.3" footer="0.3"/>
  <pageSetup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DE9F7-31AA-4EFE-9D31-0F075C0F6BB9}">
  <dimension ref="A1:J9"/>
  <sheetViews>
    <sheetView workbookViewId="0">
      <selection activeCell="D7" sqref="D7"/>
    </sheetView>
  </sheetViews>
  <sheetFormatPr defaultRowHeight="14.4" x14ac:dyDescent="0.3"/>
  <cols>
    <col min="1" max="1" width="25.109375" bestFit="1" customWidth="1"/>
    <col min="2" max="2" width="15.5546875" bestFit="1" customWidth="1"/>
    <col min="3" max="3" width="18.88671875" bestFit="1" customWidth="1"/>
    <col min="4" max="4" width="8.6640625" bestFit="1" customWidth="1"/>
    <col min="5" max="5" width="9.6640625" bestFit="1" customWidth="1"/>
    <col min="6" max="6" width="9" bestFit="1" customWidth="1"/>
    <col min="7" max="7" width="9.6640625" bestFit="1" customWidth="1"/>
    <col min="8" max="9" width="8.6640625" bestFit="1" customWidth="1"/>
    <col min="10" max="10" width="10.77734375" bestFit="1" customWidth="1"/>
  </cols>
  <sheetData>
    <row r="1" spans="1:10" ht="21.6" customHeight="1" thickBot="1" x14ac:dyDescent="0.45">
      <c r="A1" s="16" t="s">
        <v>429</v>
      </c>
      <c r="B1" s="16"/>
      <c r="C1" s="16"/>
      <c r="D1" s="16"/>
      <c r="E1" s="16"/>
    </row>
    <row r="2" spans="1:10" ht="15" thickTop="1" x14ac:dyDescent="0.3">
      <c r="A2" s="11"/>
      <c r="B2" s="11"/>
      <c r="C2" s="11"/>
      <c r="D2" s="11"/>
    </row>
    <row r="5" spans="1:10" x14ac:dyDescent="0.3">
      <c r="A5" s="4" t="s">
        <v>419</v>
      </c>
      <c r="B5" s="4" t="s">
        <v>428</v>
      </c>
    </row>
    <row r="6" spans="1:10" x14ac:dyDescent="0.3">
      <c r="A6" s="4" t="s">
        <v>15</v>
      </c>
      <c r="B6" t="s">
        <v>86</v>
      </c>
      <c r="C6" t="s">
        <v>69</v>
      </c>
      <c r="D6" t="s">
        <v>20</v>
      </c>
      <c r="E6" t="s">
        <v>161</v>
      </c>
      <c r="F6" t="s">
        <v>102</v>
      </c>
      <c r="G6" t="s">
        <v>258</v>
      </c>
      <c r="H6" t="s">
        <v>105</v>
      </c>
      <c r="I6" t="s">
        <v>373</v>
      </c>
      <c r="J6" t="s">
        <v>418</v>
      </c>
    </row>
    <row r="7" spans="1:10" x14ac:dyDescent="0.3">
      <c r="A7" s="7" t="s">
        <v>46</v>
      </c>
      <c r="B7" s="8">
        <v>-4576.8300000000008</v>
      </c>
      <c r="C7" s="8">
        <v>-2108.96</v>
      </c>
      <c r="D7" s="8"/>
      <c r="E7" s="8">
        <v>-16168.820000000002</v>
      </c>
      <c r="F7" s="8">
        <v>-3924.8299999999995</v>
      </c>
      <c r="G7" s="8">
        <v>-6562.6200000000008</v>
      </c>
      <c r="H7" s="8">
        <v>-1982.4199999999996</v>
      </c>
      <c r="I7" s="8">
        <v>-106.26000000000005</v>
      </c>
      <c r="J7" s="12">
        <v>-35430.74</v>
      </c>
    </row>
    <row r="8" spans="1:10" x14ac:dyDescent="0.3">
      <c r="A8" s="7" t="s">
        <v>45</v>
      </c>
      <c r="B8" s="8">
        <v>-842.37</v>
      </c>
      <c r="C8" s="8">
        <v>-3269.73</v>
      </c>
      <c r="D8" s="8">
        <v>-338.27</v>
      </c>
      <c r="E8" s="8">
        <v>-2933.27</v>
      </c>
      <c r="F8" s="8">
        <v>10188.439999999999</v>
      </c>
      <c r="G8" s="8">
        <v>-11366.96</v>
      </c>
      <c r="H8" s="8">
        <v>1150.0499999999993</v>
      </c>
      <c r="I8" s="8">
        <v>-1893.6499999999996</v>
      </c>
      <c r="J8" s="12">
        <v>-9305.760000000002</v>
      </c>
    </row>
    <row r="9" spans="1:10" x14ac:dyDescent="0.3">
      <c r="A9" s="7" t="s">
        <v>67</v>
      </c>
      <c r="B9" s="8">
        <v>-196.09</v>
      </c>
      <c r="C9" s="8">
        <v>-8.64</v>
      </c>
      <c r="D9" s="8">
        <v>-1759.58</v>
      </c>
      <c r="E9" s="8">
        <v>-326.76</v>
      </c>
      <c r="F9" s="8">
        <v>-482.27999999999992</v>
      </c>
      <c r="G9" s="8">
        <v>-359.2</v>
      </c>
      <c r="H9" s="8">
        <v>-13.140000000000011</v>
      </c>
      <c r="I9" s="8">
        <v>-184.93</v>
      </c>
      <c r="J9" s="12">
        <v>-3330.619999999999</v>
      </c>
    </row>
  </sheetData>
  <mergeCells count="1">
    <mergeCell ref="A1:E1"/>
  </mergeCells>
  <conditionalFormatting pivot="1" sqref="B8:I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7:I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7:J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9:I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J7:J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Corporate</vt:lpstr>
      <vt:lpstr>Atlantic</vt:lpstr>
      <vt:lpstr>Northwest Territories</vt:lpstr>
      <vt:lpstr>Nunavut</vt:lpstr>
      <vt:lpstr>Ontario</vt:lpstr>
      <vt:lpstr>Prarie</vt:lpstr>
      <vt:lpstr>Quebec</vt:lpstr>
      <vt:lpstr>West</vt:lpstr>
      <vt:lpstr>Yukon</vt:lpstr>
      <vt:lpstr>Loss-categories</vt:lpstr>
      <vt:lpstr>Corporate!Print_Titles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RidhimaNew</dc:creator>
  <cp:lastModifiedBy>Ridhima Atrey</cp:lastModifiedBy>
  <cp:lastPrinted>2025-07-13T18:21:03Z</cp:lastPrinted>
  <dcterms:created xsi:type="dcterms:W3CDTF">2025-07-10T19:39:58Z</dcterms:created>
  <dcterms:modified xsi:type="dcterms:W3CDTF">2025-07-14T07:31:09Z</dcterms:modified>
</cp:coreProperties>
</file>